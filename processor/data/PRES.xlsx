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e\Documents\MEGA\Thomas\2025\Torre3\"/>
    </mc:Choice>
  </mc:AlternateContent>
  <xr:revisionPtr revIDLastSave="0" documentId="8_{453E1E0F-EE8B-41AD-A61D-4E963301479C}" xr6:coauthVersionLast="47" xr6:coauthVersionMax="47" xr10:uidLastSave="{00000000-0000-0000-0000-000000000000}"/>
  <bookViews>
    <workbookView xWindow="-108" yWindow="-108" windowWidth="30936" windowHeight="16776" xr2:uid="{C9A15DF0-9888-4C91-A2BE-7E8F76E33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49" i="1" l="1"/>
  <c r="F2449" i="1"/>
  <c r="G2381" i="1"/>
  <c r="G2447" i="1"/>
  <c r="E2381" i="1"/>
  <c r="F2381" i="1"/>
  <c r="F2447" i="1"/>
  <c r="G2435" i="1"/>
  <c r="G2445" i="1"/>
  <c r="E2435" i="1"/>
  <c r="F2435" i="1"/>
  <c r="F2445" i="1"/>
  <c r="G2444" i="1"/>
  <c r="G2443" i="1"/>
  <c r="G2442" i="1"/>
  <c r="G2441" i="1"/>
  <c r="G2440" i="1"/>
  <c r="G2439" i="1"/>
  <c r="G2438" i="1"/>
  <c r="G2437" i="1"/>
  <c r="G2436" i="1"/>
  <c r="G2410" i="1"/>
  <c r="G2433" i="1"/>
  <c r="E2410" i="1"/>
  <c r="F2410" i="1"/>
  <c r="F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397" i="1"/>
  <c r="G2408" i="1"/>
  <c r="E2397" i="1"/>
  <c r="F2397" i="1"/>
  <c r="F2408" i="1"/>
  <c r="G2407" i="1"/>
  <c r="G2406" i="1"/>
  <c r="G2405" i="1"/>
  <c r="G2404" i="1"/>
  <c r="G2403" i="1"/>
  <c r="G2402" i="1"/>
  <c r="G2401" i="1"/>
  <c r="G2400" i="1"/>
  <c r="G2399" i="1"/>
  <c r="G2398" i="1"/>
  <c r="G2382" i="1"/>
  <c r="G2395" i="1"/>
  <c r="E2382" i="1"/>
  <c r="F2382" i="1"/>
  <c r="F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74" i="1"/>
  <c r="G2379" i="1"/>
  <c r="E2374" i="1"/>
  <c r="F2374" i="1"/>
  <c r="F2379" i="1"/>
  <c r="G2378" i="1"/>
  <c r="G2377" i="1"/>
  <c r="G2376" i="1"/>
  <c r="G2375" i="1"/>
  <c r="G2289" i="1"/>
  <c r="G2372" i="1"/>
  <c r="E2289" i="1"/>
  <c r="F2289" i="1"/>
  <c r="F2372" i="1"/>
  <c r="G2338" i="1"/>
  <c r="G2370" i="1"/>
  <c r="E2338" i="1"/>
  <c r="F2338" i="1"/>
  <c r="F2370" i="1"/>
  <c r="G2354" i="1"/>
  <c r="G2368" i="1"/>
  <c r="E2354" i="1"/>
  <c r="F2354" i="1"/>
  <c r="F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39" i="1"/>
  <c r="G2352" i="1"/>
  <c r="E2339" i="1"/>
  <c r="F2339" i="1"/>
  <c r="F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2" i="1"/>
  <c r="G2336" i="1"/>
  <c r="E2332" i="1"/>
  <c r="F2332" i="1"/>
  <c r="F2336" i="1"/>
  <c r="G2335" i="1"/>
  <c r="G2334" i="1"/>
  <c r="G2333" i="1"/>
  <c r="G2325" i="1"/>
  <c r="G2330" i="1"/>
  <c r="E2325" i="1"/>
  <c r="F2325" i="1"/>
  <c r="F2330" i="1"/>
  <c r="G2329" i="1"/>
  <c r="G2328" i="1"/>
  <c r="G2327" i="1"/>
  <c r="G2326" i="1"/>
  <c r="G2314" i="1"/>
  <c r="G2323" i="1"/>
  <c r="E2314" i="1"/>
  <c r="F2314" i="1"/>
  <c r="F2323" i="1"/>
  <c r="G2322" i="1"/>
  <c r="G2321" i="1"/>
  <c r="G2320" i="1"/>
  <c r="G2319" i="1"/>
  <c r="G2318" i="1"/>
  <c r="G2317" i="1"/>
  <c r="G2316" i="1"/>
  <c r="G2315" i="1"/>
  <c r="G2310" i="1"/>
  <c r="G2312" i="1"/>
  <c r="E2310" i="1"/>
  <c r="F2310" i="1"/>
  <c r="F2312" i="1"/>
  <c r="G2311" i="1"/>
  <c r="G2290" i="1"/>
  <c r="G2308" i="1"/>
  <c r="E2290" i="1"/>
  <c r="F2290" i="1"/>
  <c r="F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129" i="1"/>
  <c r="G2287" i="1"/>
  <c r="E2129" i="1"/>
  <c r="F2129" i="1"/>
  <c r="F2287" i="1"/>
  <c r="G2271" i="1"/>
  <c r="G2285" i="1"/>
  <c r="E2271" i="1"/>
  <c r="F2271" i="1"/>
  <c r="F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19" i="1"/>
  <c r="G2269" i="1"/>
  <c r="E2219" i="1"/>
  <c r="F2219" i="1"/>
  <c r="F2269" i="1"/>
  <c r="G2264" i="1"/>
  <c r="G2267" i="1"/>
  <c r="E2264" i="1"/>
  <c r="F2264" i="1"/>
  <c r="F2267" i="1"/>
  <c r="G2266" i="1"/>
  <c r="G2265" i="1"/>
  <c r="G2254" i="1"/>
  <c r="G2262" i="1"/>
  <c r="E2254" i="1"/>
  <c r="F2254" i="1"/>
  <c r="F2262" i="1"/>
  <c r="G2261" i="1"/>
  <c r="G2260" i="1"/>
  <c r="G2259" i="1"/>
  <c r="G2258" i="1"/>
  <c r="G2257" i="1"/>
  <c r="G2256" i="1"/>
  <c r="G2255" i="1"/>
  <c r="G2248" i="1"/>
  <c r="G2252" i="1"/>
  <c r="E2248" i="1"/>
  <c r="F2248" i="1"/>
  <c r="F2252" i="1"/>
  <c r="G2251" i="1"/>
  <c r="G2250" i="1"/>
  <c r="G2249" i="1"/>
  <c r="G2235" i="1"/>
  <c r="G2246" i="1"/>
  <c r="E2235" i="1"/>
  <c r="F2235" i="1"/>
  <c r="F2246" i="1"/>
  <c r="G2245" i="1"/>
  <c r="G2244" i="1"/>
  <c r="G2243" i="1"/>
  <c r="G2242" i="1"/>
  <c r="G2241" i="1"/>
  <c r="G2240" i="1"/>
  <c r="G2239" i="1"/>
  <c r="G2238" i="1"/>
  <c r="G2237" i="1"/>
  <c r="G2236" i="1"/>
  <c r="G2220" i="1"/>
  <c r="G2233" i="1"/>
  <c r="E2220" i="1"/>
  <c r="F2220" i="1"/>
  <c r="F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10" i="1"/>
  <c r="G2217" i="1"/>
  <c r="E2210" i="1"/>
  <c r="F2210" i="1"/>
  <c r="F2217" i="1"/>
  <c r="G2216" i="1"/>
  <c r="G2215" i="1"/>
  <c r="G2214" i="1"/>
  <c r="G2213" i="1"/>
  <c r="G2212" i="1"/>
  <c r="G2211" i="1"/>
  <c r="G2204" i="1"/>
  <c r="G2208" i="1"/>
  <c r="E2204" i="1"/>
  <c r="F2204" i="1"/>
  <c r="F2208" i="1"/>
  <c r="G2207" i="1"/>
  <c r="G2206" i="1"/>
  <c r="G2205" i="1"/>
  <c r="G2197" i="1"/>
  <c r="G2202" i="1"/>
  <c r="E2197" i="1"/>
  <c r="F2197" i="1"/>
  <c r="F2202" i="1"/>
  <c r="G2201" i="1"/>
  <c r="G2200" i="1"/>
  <c r="G2199" i="1"/>
  <c r="G2198" i="1"/>
  <c r="G2192" i="1"/>
  <c r="G2195" i="1"/>
  <c r="E2192" i="1"/>
  <c r="F2192" i="1"/>
  <c r="F2195" i="1"/>
  <c r="G2194" i="1"/>
  <c r="G2193" i="1"/>
  <c r="G2184" i="1"/>
  <c r="G2190" i="1"/>
  <c r="E2184" i="1"/>
  <c r="F2184" i="1"/>
  <c r="F2190" i="1"/>
  <c r="G2189" i="1"/>
  <c r="G2188" i="1"/>
  <c r="G2187" i="1"/>
  <c r="G2186" i="1"/>
  <c r="G2185" i="1"/>
  <c r="G2179" i="1"/>
  <c r="G2182" i="1"/>
  <c r="E2179" i="1"/>
  <c r="F2179" i="1"/>
  <c r="F2182" i="1"/>
  <c r="G2181" i="1"/>
  <c r="G2180" i="1"/>
  <c r="G2175" i="1"/>
  <c r="G2177" i="1"/>
  <c r="E2175" i="1"/>
  <c r="F2175" i="1"/>
  <c r="F2177" i="1"/>
  <c r="G2176" i="1"/>
  <c r="G2168" i="1"/>
  <c r="G2173" i="1"/>
  <c r="E2168" i="1"/>
  <c r="F2168" i="1"/>
  <c r="F2173" i="1"/>
  <c r="G2172" i="1"/>
  <c r="G2171" i="1"/>
  <c r="G2170" i="1"/>
  <c r="G2169" i="1"/>
  <c r="G2157" i="1"/>
  <c r="G2166" i="1"/>
  <c r="E2157" i="1"/>
  <c r="F2157" i="1"/>
  <c r="F2166" i="1"/>
  <c r="G2165" i="1"/>
  <c r="G2164" i="1"/>
  <c r="G2163" i="1"/>
  <c r="G2162" i="1"/>
  <c r="G2161" i="1"/>
  <c r="G2160" i="1"/>
  <c r="G2159" i="1"/>
  <c r="G2158" i="1"/>
  <c r="G2152" i="1"/>
  <c r="G2155" i="1"/>
  <c r="E2152" i="1"/>
  <c r="F2152" i="1"/>
  <c r="F2155" i="1"/>
  <c r="G2154" i="1"/>
  <c r="G2153" i="1"/>
  <c r="G2130" i="1"/>
  <c r="G2150" i="1"/>
  <c r="E2130" i="1"/>
  <c r="F2130" i="1"/>
  <c r="F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1973" i="1"/>
  <c r="G2127" i="1"/>
  <c r="E1973" i="1"/>
  <c r="F1973" i="1"/>
  <c r="F2127" i="1"/>
  <c r="G2111" i="1"/>
  <c r="G2125" i="1"/>
  <c r="E2111" i="1"/>
  <c r="F2111" i="1"/>
  <c r="F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059" i="1"/>
  <c r="G2109" i="1"/>
  <c r="E2059" i="1"/>
  <c r="F2059" i="1"/>
  <c r="F2109" i="1"/>
  <c r="G2104" i="1"/>
  <c r="G2107" i="1"/>
  <c r="E2104" i="1"/>
  <c r="F2104" i="1"/>
  <c r="F2107" i="1"/>
  <c r="G2106" i="1"/>
  <c r="G2105" i="1"/>
  <c r="G2094" i="1"/>
  <c r="G2102" i="1"/>
  <c r="E2094" i="1"/>
  <c r="F2094" i="1"/>
  <c r="F2102" i="1"/>
  <c r="G2101" i="1"/>
  <c r="G2100" i="1"/>
  <c r="G2099" i="1"/>
  <c r="G2098" i="1"/>
  <c r="G2097" i="1"/>
  <c r="G2096" i="1"/>
  <c r="G2095" i="1"/>
  <c r="G2088" i="1"/>
  <c r="G2092" i="1"/>
  <c r="E2088" i="1"/>
  <c r="F2088" i="1"/>
  <c r="F2092" i="1"/>
  <c r="G2091" i="1"/>
  <c r="G2090" i="1"/>
  <c r="G2089" i="1"/>
  <c r="G2075" i="1"/>
  <c r="G2086" i="1"/>
  <c r="E2075" i="1"/>
  <c r="F2075" i="1"/>
  <c r="F2086" i="1"/>
  <c r="G2085" i="1"/>
  <c r="G2084" i="1"/>
  <c r="G2083" i="1"/>
  <c r="G2082" i="1"/>
  <c r="G2081" i="1"/>
  <c r="G2080" i="1"/>
  <c r="G2079" i="1"/>
  <c r="G2078" i="1"/>
  <c r="G2077" i="1"/>
  <c r="G2076" i="1"/>
  <c r="G2060" i="1"/>
  <c r="G2073" i="1"/>
  <c r="E2060" i="1"/>
  <c r="F2060" i="1"/>
  <c r="F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50" i="1"/>
  <c r="G2057" i="1"/>
  <c r="E2050" i="1"/>
  <c r="F2050" i="1"/>
  <c r="F2057" i="1"/>
  <c r="G2056" i="1"/>
  <c r="G2055" i="1"/>
  <c r="G2054" i="1"/>
  <c r="G2053" i="1"/>
  <c r="G2052" i="1"/>
  <c r="G2051" i="1"/>
  <c r="G2044" i="1"/>
  <c r="G2048" i="1"/>
  <c r="E2044" i="1"/>
  <c r="F2044" i="1"/>
  <c r="F2048" i="1"/>
  <c r="G2047" i="1"/>
  <c r="G2046" i="1"/>
  <c r="G2045" i="1"/>
  <c r="G2037" i="1"/>
  <c r="G2042" i="1"/>
  <c r="E2037" i="1"/>
  <c r="F2037" i="1"/>
  <c r="F2042" i="1"/>
  <c r="G2041" i="1"/>
  <c r="G2040" i="1"/>
  <c r="G2039" i="1"/>
  <c r="G2038" i="1"/>
  <c r="G2033" i="1"/>
  <c r="G2035" i="1"/>
  <c r="E2033" i="1"/>
  <c r="F2033" i="1"/>
  <c r="F2035" i="1"/>
  <c r="G2034" i="1"/>
  <c r="G2025" i="1"/>
  <c r="G2031" i="1"/>
  <c r="E2025" i="1"/>
  <c r="F2025" i="1"/>
  <c r="F2031" i="1"/>
  <c r="G2030" i="1"/>
  <c r="G2029" i="1"/>
  <c r="G2028" i="1"/>
  <c r="G2027" i="1"/>
  <c r="G2026" i="1"/>
  <c r="G2020" i="1"/>
  <c r="G2023" i="1"/>
  <c r="E2020" i="1"/>
  <c r="F2020" i="1"/>
  <c r="F2023" i="1"/>
  <c r="G2022" i="1"/>
  <c r="G2021" i="1"/>
  <c r="G2016" i="1"/>
  <c r="G2018" i="1"/>
  <c r="E2016" i="1"/>
  <c r="F2016" i="1"/>
  <c r="F2018" i="1"/>
  <c r="G2017" i="1"/>
  <c r="G2011" i="1"/>
  <c r="G2014" i="1"/>
  <c r="E2011" i="1"/>
  <c r="F2011" i="1"/>
  <c r="F2014" i="1"/>
  <c r="G2013" i="1"/>
  <c r="G2012" i="1"/>
  <c r="G2000" i="1"/>
  <c r="G2009" i="1"/>
  <c r="E2000" i="1"/>
  <c r="F2000" i="1"/>
  <c r="F2009" i="1"/>
  <c r="G2008" i="1"/>
  <c r="G2007" i="1"/>
  <c r="G2006" i="1"/>
  <c r="G2005" i="1"/>
  <c r="G2004" i="1"/>
  <c r="G2003" i="1"/>
  <c r="G2002" i="1"/>
  <c r="G2001" i="1"/>
  <c r="G1995" i="1"/>
  <c r="G1998" i="1"/>
  <c r="E1995" i="1"/>
  <c r="F1995" i="1"/>
  <c r="F1998" i="1"/>
  <c r="G1997" i="1"/>
  <c r="G1996" i="1"/>
  <c r="G1974" i="1"/>
  <c r="G1993" i="1"/>
  <c r="E1974" i="1"/>
  <c r="F1974" i="1"/>
  <c r="F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817" i="1"/>
  <c r="G1971" i="1"/>
  <c r="E1817" i="1"/>
  <c r="F1817" i="1"/>
  <c r="F1971" i="1"/>
  <c r="G1955" i="1"/>
  <c r="G1969" i="1"/>
  <c r="E1955" i="1"/>
  <c r="F1955" i="1"/>
  <c r="F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03" i="1"/>
  <c r="G1953" i="1"/>
  <c r="E1903" i="1"/>
  <c r="F1903" i="1"/>
  <c r="F1953" i="1"/>
  <c r="G1948" i="1"/>
  <c r="G1951" i="1"/>
  <c r="E1948" i="1"/>
  <c r="F1948" i="1"/>
  <c r="F1951" i="1"/>
  <c r="G1950" i="1"/>
  <c r="G1949" i="1"/>
  <c r="G1938" i="1"/>
  <c r="G1946" i="1"/>
  <c r="E1938" i="1"/>
  <c r="F1938" i="1"/>
  <c r="F1946" i="1"/>
  <c r="G1945" i="1"/>
  <c r="G1944" i="1"/>
  <c r="G1943" i="1"/>
  <c r="G1942" i="1"/>
  <c r="G1941" i="1"/>
  <c r="G1940" i="1"/>
  <c r="G1939" i="1"/>
  <c r="G1932" i="1"/>
  <c r="G1936" i="1"/>
  <c r="E1932" i="1"/>
  <c r="F1932" i="1"/>
  <c r="F1936" i="1"/>
  <c r="G1935" i="1"/>
  <c r="G1934" i="1"/>
  <c r="G1933" i="1"/>
  <c r="G1919" i="1"/>
  <c r="G1930" i="1"/>
  <c r="E1919" i="1"/>
  <c r="F1919" i="1"/>
  <c r="F1930" i="1"/>
  <c r="G1929" i="1"/>
  <c r="G1928" i="1"/>
  <c r="G1927" i="1"/>
  <c r="G1926" i="1"/>
  <c r="G1925" i="1"/>
  <c r="G1924" i="1"/>
  <c r="G1923" i="1"/>
  <c r="G1922" i="1"/>
  <c r="G1921" i="1"/>
  <c r="G1920" i="1"/>
  <c r="G1904" i="1"/>
  <c r="G1917" i="1"/>
  <c r="E1904" i="1"/>
  <c r="F1904" i="1"/>
  <c r="F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894" i="1"/>
  <c r="G1901" i="1"/>
  <c r="E1894" i="1"/>
  <c r="F1894" i="1"/>
  <c r="F1901" i="1"/>
  <c r="G1900" i="1"/>
  <c r="G1899" i="1"/>
  <c r="G1898" i="1"/>
  <c r="G1897" i="1"/>
  <c r="G1896" i="1"/>
  <c r="G1895" i="1"/>
  <c r="G1888" i="1"/>
  <c r="G1892" i="1"/>
  <c r="E1888" i="1"/>
  <c r="F1888" i="1"/>
  <c r="F1892" i="1"/>
  <c r="G1891" i="1"/>
  <c r="G1890" i="1"/>
  <c r="G1889" i="1"/>
  <c r="G1881" i="1"/>
  <c r="G1886" i="1"/>
  <c r="E1881" i="1"/>
  <c r="F1881" i="1"/>
  <c r="F1886" i="1"/>
  <c r="G1885" i="1"/>
  <c r="G1884" i="1"/>
  <c r="G1883" i="1"/>
  <c r="G1882" i="1"/>
  <c r="G1877" i="1"/>
  <c r="G1879" i="1"/>
  <c r="E1877" i="1"/>
  <c r="F1877" i="1"/>
  <c r="F1879" i="1"/>
  <c r="G1878" i="1"/>
  <c r="G1869" i="1"/>
  <c r="G1875" i="1"/>
  <c r="E1869" i="1"/>
  <c r="F1869" i="1"/>
  <c r="F1875" i="1"/>
  <c r="G1874" i="1"/>
  <c r="G1873" i="1"/>
  <c r="G1872" i="1"/>
  <c r="G1871" i="1"/>
  <c r="G1870" i="1"/>
  <c r="G1864" i="1"/>
  <c r="G1867" i="1"/>
  <c r="E1864" i="1"/>
  <c r="F1864" i="1"/>
  <c r="F1867" i="1"/>
  <c r="G1866" i="1"/>
  <c r="G1865" i="1"/>
  <c r="G1860" i="1"/>
  <c r="G1862" i="1"/>
  <c r="E1860" i="1"/>
  <c r="F1860" i="1"/>
  <c r="F1862" i="1"/>
  <c r="G1861" i="1"/>
  <c r="G1855" i="1"/>
  <c r="G1858" i="1"/>
  <c r="E1855" i="1"/>
  <c r="F1855" i="1"/>
  <c r="F1858" i="1"/>
  <c r="G1857" i="1"/>
  <c r="G1856" i="1"/>
  <c r="G1844" i="1"/>
  <c r="G1853" i="1"/>
  <c r="E1844" i="1"/>
  <c r="F1844" i="1"/>
  <c r="F1853" i="1"/>
  <c r="G1852" i="1"/>
  <c r="G1851" i="1"/>
  <c r="G1850" i="1"/>
  <c r="G1849" i="1"/>
  <c r="G1848" i="1"/>
  <c r="G1847" i="1"/>
  <c r="G1846" i="1"/>
  <c r="G1845" i="1"/>
  <c r="G1839" i="1"/>
  <c r="G1842" i="1"/>
  <c r="E1839" i="1"/>
  <c r="F1839" i="1"/>
  <c r="F1842" i="1"/>
  <c r="G1841" i="1"/>
  <c r="G1840" i="1"/>
  <c r="G1818" i="1"/>
  <c r="G1837" i="1"/>
  <c r="E1818" i="1"/>
  <c r="F1818" i="1"/>
  <c r="F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661" i="1"/>
  <c r="G1815" i="1"/>
  <c r="E1661" i="1"/>
  <c r="F1661" i="1"/>
  <c r="F1815" i="1"/>
  <c r="G1799" i="1"/>
  <c r="G1813" i="1"/>
  <c r="E1799" i="1"/>
  <c r="F1799" i="1"/>
  <c r="F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47" i="1"/>
  <c r="G1797" i="1"/>
  <c r="E1747" i="1"/>
  <c r="F1747" i="1"/>
  <c r="F1797" i="1"/>
  <c r="G1792" i="1"/>
  <c r="G1795" i="1"/>
  <c r="E1792" i="1"/>
  <c r="F1792" i="1"/>
  <c r="F1795" i="1"/>
  <c r="G1794" i="1"/>
  <c r="G1793" i="1"/>
  <c r="G1782" i="1"/>
  <c r="G1790" i="1"/>
  <c r="E1782" i="1"/>
  <c r="F1782" i="1"/>
  <c r="F1790" i="1"/>
  <c r="G1789" i="1"/>
  <c r="G1788" i="1"/>
  <c r="G1787" i="1"/>
  <c r="G1786" i="1"/>
  <c r="G1785" i="1"/>
  <c r="G1784" i="1"/>
  <c r="G1783" i="1"/>
  <c r="G1776" i="1"/>
  <c r="G1780" i="1"/>
  <c r="E1776" i="1"/>
  <c r="F1776" i="1"/>
  <c r="F1780" i="1"/>
  <c r="G1779" i="1"/>
  <c r="G1778" i="1"/>
  <c r="G1777" i="1"/>
  <c r="G1763" i="1"/>
  <c r="G1774" i="1"/>
  <c r="E1763" i="1"/>
  <c r="F1763" i="1"/>
  <c r="F1774" i="1"/>
  <c r="G1773" i="1"/>
  <c r="G1772" i="1"/>
  <c r="G1771" i="1"/>
  <c r="G1770" i="1"/>
  <c r="G1769" i="1"/>
  <c r="G1768" i="1"/>
  <c r="G1767" i="1"/>
  <c r="G1766" i="1"/>
  <c r="G1765" i="1"/>
  <c r="G1764" i="1"/>
  <c r="G1748" i="1"/>
  <c r="G1761" i="1"/>
  <c r="E1748" i="1"/>
  <c r="F1748" i="1"/>
  <c r="F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38" i="1"/>
  <c r="G1745" i="1"/>
  <c r="E1738" i="1"/>
  <c r="F1738" i="1"/>
  <c r="F1745" i="1"/>
  <c r="G1744" i="1"/>
  <c r="G1743" i="1"/>
  <c r="G1742" i="1"/>
  <c r="G1741" i="1"/>
  <c r="G1740" i="1"/>
  <c r="G1739" i="1"/>
  <c r="G1732" i="1"/>
  <c r="G1736" i="1"/>
  <c r="E1732" i="1"/>
  <c r="F1732" i="1"/>
  <c r="F1736" i="1"/>
  <c r="G1735" i="1"/>
  <c r="G1734" i="1"/>
  <c r="G1733" i="1"/>
  <c r="G1725" i="1"/>
  <c r="G1730" i="1"/>
  <c r="E1725" i="1"/>
  <c r="F1725" i="1"/>
  <c r="F1730" i="1"/>
  <c r="G1729" i="1"/>
  <c r="G1728" i="1"/>
  <c r="G1727" i="1"/>
  <c r="G1726" i="1"/>
  <c r="G1721" i="1"/>
  <c r="G1723" i="1"/>
  <c r="E1721" i="1"/>
  <c r="F1721" i="1"/>
  <c r="F1723" i="1"/>
  <c r="G1722" i="1"/>
  <c r="G1713" i="1"/>
  <c r="G1719" i="1"/>
  <c r="E1713" i="1"/>
  <c r="F1713" i="1"/>
  <c r="F1719" i="1"/>
  <c r="G1718" i="1"/>
  <c r="G1717" i="1"/>
  <c r="G1716" i="1"/>
  <c r="G1715" i="1"/>
  <c r="G1714" i="1"/>
  <c r="G1708" i="1"/>
  <c r="G1711" i="1"/>
  <c r="E1708" i="1"/>
  <c r="F1708" i="1"/>
  <c r="F1711" i="1"/>
  <c r="G1710" i="1"/>
  <c r="G1709" i="1"/>
  <c r="G1704" i="1"/>
  <c r="G1706" i="1"/>
  <c r="E1704" i="1"/>
  <c r="F1704" i="1"/>
  <c r="F1706" i="1"/>
  <c r="G1705" i="1"/>
  <c r="G1699" i="1"/>
  <c r="G1702" i="1"/>
  <c r="E1699" i="1"/>
  <c r="F1699" i="1"/>
  <c r="F1702" i="1"/>
  <c r="G1701" i="1"/>
  <c r="G1700" i="1"/>
  <c r="G1688" i="1"/>
  <c r="G1697" i="1"/>
  <c r="E1688" i="1"/>
  <c r="F1688" i="1"/>
  <c r="F1697" i="1"/>
  <c r="G1696" i="1"/>
  <c r="G1695" i="1"/>
  <c r="G1694" i="1"/>
  <c r="G1693" i="1"/>
  <c r="G1692" i="1"/>
  <c r="G1691" i="1"/>
  <c r="G1690" i="1"/>
  <c r="G1689" i="1"/>
  <c r="G1683" i="1"/>
  <c r="G1686" i="1"/>
  <c r="E1683" i="1"/>
  <c r="F1683" i="1"/>
  <c r="F1686" i="1"/>
  <c r="G1685" i="1"/>
  <c r="G1684" i="1"/>
  <c r="G1662" i="1"/>
  <c r="G1681" i="1"/>
  <c r="E1662" i="1"/>
  <c r="F1662" i="1"/>
  <c r="F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505" i="1"/>
  <c r="G1659" i="1"/>
  <c r="E1505" i="1"/>
  <c r="F1505" i="1"/>
  <c r="F1659" i="1"/>
  <c r="G1643" i="1"/>
  <c r="G1657" i="1"/>
  <c r="E1643" i="1"/>
  <c r="F1643" i="1"/>
  <c r="F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591" i="1"/>
  <c r="G1641" i="1"/>
  <c r="E1591" i="1"/>
  <c r="F1591" i="1"/>
  <c r="F1641" i="1"/>
  <c r="G1636" i="1"/>
  <c r="G1639" i="1"/>
  <c r="E1636" i="1"/>
  <c r="F1636" i="1"/>
  <c r="F1639" i="1"/>
  <c r="G1638" i="1"/>
  <c r="G1637" i="1"/>
  <c r="G1626" i="1"/>
  <c r="G1634" i="1"/>
  <c r="E1626" i="1"/>
  <c r="F1626" i="1"/>
  <c r="F1634" i="1"/>
  <c r="G1633" i="1"/>
  <c r="G1632" i="1"/>
  <c r="G1631" i="1"/>
  <c r="G1630" i="1"/>
  <c r="G1629" i="1"/>
  <c r="G1628" i="1"/>
  <c r="G1627" i="1"/>
  <c r="G1620" i="1"/>
  <c r="G1624" i="1"/>
  <c r="E1620" i="1"/>
  <c r="F1620" i="1"/>
  <c r="F1624" i="1"/>
  <c r="G1623" i="1"/>
  <c r="G1622" i="1"/>
  <c r="G1621" i="1"/>
  <c r="G1607" i="1"/>
  <c r="G1618" i="1"/>
  <c r="E1607" i="1"/>
  <c r="F1607" i="1"/>
  <c r="F1618" i="1"/>
  <c r="G1617" i="1"/>
  <c r="G1616" i="1"/>
  <c r="G1615" i="1"/>
  <c r="G1614" i="1"/>
  <c r="G1613" i="1"/>
  <c r="G1612" i="1"/>
  <c r="G1611" i="1"/>
  <c r="G1610" i="1"/>
  <c r="G1609" i="1"/>
  <c r="G1608" i="1"/>
  <c r="G1592" i="1"/>
  <c r="G1605" i="1"/>
  <c r="E1592" i="1"/>
  <c r="F1592" i="1"/>
  <c r="F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82" i="1"/>
  <c r="G1589" i="1"/>
  <c r="E1582" i="1"/>
  <c r="F1582" i="1"/>
  <c r="F1589" i="1"/>
  <c r="G1588" i="1"/>
  <c r="G1587" i="1"/>
  <c r="G1586" i="1"/>
  <c r="G1585" i="1"/>
  <c r="G1584" i="1"/>
  <c r="G1583" i="1"/>
  <c r="G1576" i="1"/>
  <c r="G1580" i="1"/>
  <c r="E1576" i="1"/>
  <c r="F1576" i="1"/>
  <c r="F1580" i="1"/>
  <c r="G1579" i="1"/>
  <c r="G1578" i="1"/>
  <c r="G1577" i="1"/>
  <c r="G1569" i="1"/>
  <c r="G1574" i="1"/>
  <c r="E1569" i="1"/>
  <c r="F1569" i="1"/>
  <c r="F1574" i="1"/>
  <c r="G1573" i="1"/>
  <c r="G1572" i="1"/>
  <c r="G1571" i="1"/>
  <c r="G1570" i="1"/>
  <c r="G1565" i="1"/>
  <c r="G1567" i="1"/>
  <c r="E1565" i="1"/>
  <c r="F1565" i="1"/>
  <c r="F1567" i="1"/>
  <c r="G1566" i="1"/>
  <c r="G1557" i="1"/>
  <c r="G1563" i="1"/>
  <c r="E1557" i="1"/>
  <c r="F1557" i="1"/>
  <c r="F1563" i="1"/>
  <c r="G1562" i="1"/>
  <c r="G1561" i="1"/>
  <c r="G1560" i="1"/>
  <c r="G1559" i="1"/>
  <c r="G1558" i="1"/>
  <c r="G1552" i="1"/>
  <c r="G1555" i="1"/>
  <c r="E1552" i="1"/>
  <c r="F1552" i="1"/>
  <c r="F1555" i="1"/>
  <c r="G1554" i="1"/>
  <c r="G1553" i="1"/>
  <c r="G1548" i="1"/>
  <c r="G1550" i="1"/>
  <c r="E1548" i="1"/>
  <c r="F1548" i="1"/>
  <c r="F1550" i="1"/>
  <c r="G1549" i="1"/>
  <c r="G1543" i="1"/>
  <c r="G1546" i="1"/>
  <c r="E1543" i="1"/>
  <c r="F1543" i="1"/>
  <c r="F1546" i="1"/>
  <c r="G1545" i="1"/>
  <c r="G1544" i="1"/>
  <c r="G1532" i="1"/>
  <c r="G1541" i="1"/>
  <c r="E1532" i="1"/>
  <c r="F1532" i="1"/>
  <c r="F1541" i="1"/>
  <c r="G1540" i="1"/>
  <c r="G1539" i="1"/>
  <c r="G1538" i="1"/>
  <c r="G1537" i="1"/>
  <c r="G1536" i="1"/>
  <c r="G1535" i="1"/>
  <c r="G1534" i="1"/>
  <c r="G1533" i="1"/>
  <c r="G1527" i="1"/>
  <c r="G1530" i="1"/>
  <c r="E1527" i="1"/>
  <c r="F1527" i="1"/>
  <c r="F1530" i="1"/>
  <c r="G1529" i="1"/>
  <c r="G1528" i="1"/>
  <c r="G1506" i="1"/>
  <c r="G1525" i="1"/>
  <c r="E1506" i="1"/>
  <c r="F1506" i="1"/>
  <c r="F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349" i="1"/>
  <c r="G1503" i="1"/>
  <c r="E1349" i="1"/>
  <c r="F1349" i="1"/>
  <c r="F1503" i="1"/>
  <c r="G1487" i="1"/>
  <c r="G1501" i="1"/>
  <c r="E1487" i="1"/>
  <c r="F1487" i="1"/>
  <c r="F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35" i="1"/>
  <c r="G1485" i="1"/>
  <c r="E1435" i="1"/>
  <c r="F1435" i="1"/>
  <c r="F1485" i="1"/>
  <c r="G1480" i="1"/>
  <c r="G1483" i="1"/>
  <c r="E1480" i="1"/>
  <c r="F1480" i="1"/>
  <c r="F1483" i="1"/>
  <c r="G1482" i="1"/>
  <c r="G1481" i="1"/>
  <c r="G1470" i="1"/>
  <c r="G1478" i="1"/>
  <c r="E1470" i="1"/>
  <c r="F1470" i="1"/>
  <c r="F1478" i="1"/>
  <c r="G1477" i="1"/>
  <c r="G1476" i="1"/>
  <c r="G1475" i="1"/>
  <c r="G1474" i="1"/>
  <c r="G1473" i="1"/>
  <c r="G1472" i="1"/>
  <c r="G1471" i="1"/>
  <c r="G1464" i="1"/>
  <c r="G1468" i="1"/>
  <c r="E1464" i="1"/>
  <c r="F1464" i="1"/>
  <c r="F1468" i="1"/>
  <c r="G1467" i="1"/>
  <c r="G1466" i="1"/>
  <c r="G1465" i="1"/>
  <c r="G1451" i="1"/>
  <c r="G1462" i="1"/>
  <c r="E1451" i="1"/>
  <c r="F1451" i="1"/>
  <c r="F1462" i="1"/>
  <c r="G1461" i="1"/>
  <c r="G1460" i="1"/>
  <c r="G1459" i="1"/>
  <c r="G1458" i="1"/>
  <c r="G1457" i="1"/>
  <c r="G1456" i="1"/>
  <c r="G1455" i="1"/>
  <c r="G1454" i="1"/>
  <c r="G1453" i="1"/>
  <c r="G1452" i="1"/>
  <c r="G1436" i="1"/>
  <c r="G1449" i="1"/>
  <c r="E1436" i="1"/>
  <c r="F1436" i="1"/>
  <c r="F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26" i="1"/>
  <c r="G1433" i="1"/>
  <c r="E1426" i="1"/>
  <c r="F1426" i="1"/>
  <c r="F1433" i="1"/>
  <c r="G1432" i="1"/>
  <c r="G1431" i="1"/>
  <c r="G1430" i="1"/>
  <c r="G1429" i="1"/>
  <c r="G1428" i="1"/>
  <c r="G1427" i="1"/>
  <c r="G1420" i="1"/>
  <c r="G1424" i="1"/>
  <c r="E1420" i="1"/>
  <c r="F1420" i="1"/>
  <c r="F1424" i="1"/>
  <c r="G1423" i="1"/>
  <c r="G1422" i="1"/>
  <c r="G1421" i="1"/>
  <c r="G1413" i="1"/>
  <c r="G1418" i="1"/>
  <c r="E1413" i="1"/>
  <c r="F1413" i="1"/>
  <c r="F1418" i="1"/>
  <c r="G1417" i="1"/>
  <c r="G1416" i="1"/>
  <c r="G1415" i="1"/>
  <c r="G1414" i="1"/>
  <c r="G1409" i="1"/>
  <c r="G1411" i="1"/>
  <c r="E1409" i="1"/>
  <c r="F1409" i="1"/>
  <c r="F1411" i="1"/>
  <c r="G1410" i="1"/>
  <c r="G1401" i="1"/>
  <c r="G1407" i="1"/>
  <c r="E1401" i="1"/>
  <c r="F1401" i="1"/>
  <c r="F1407" i="1"/>
  <c r="G1406" i="1"/>
  <c r="G1405" i="1"/>
  <c r="G1404" i="1"/>
  <c r="G1403" i="1"/>
  <c r="G1402" i="1"/>
  <c r="G1396" i="1"/>
  <c r="G1399" i="1"/>
  <c r="E1396" i="1"/>
  <c r="F1396" i="1"/>
  <c r="F1399" i="1"/>
  <c r="G1398" i="1"/>
  <c r="G1397" i="1"/>
  <c r="G1392" i="1"/>
  <c r="G1394" i="1"/>
  <c r="E1392" i="1"/>
  <c r="F1392" i="1"/>
  <c r="F1394" i="1"/>
  <c r="G1393" i="1"/>
  <c r="G1387" i="1"/>
  <c r="G1390" i="1"/>
  <c r="E1387" i="1"/>
  <c r="F1387" i="1"/>
  <c r="F1390" i="1"/>
  <c r="G1389" i="1"/>
  <c r="G1388" i="1"/>
  <c r="G1376" i="1"/>
  <c r="G1385" i="1"/>
  <c r="E1376" i="1"/>
  <c r="F1376" i="1"/>
  <c r="F1385" i="1"/>
  <c r="G1384" i="1"/>
  <c r="G1383" i="1"/>
  <c r="G1382" i="1"/>
  <c r="G1381" i="1"/>
  <c r="G1380" i="1"/>
  <c r="G1379" i="1"/>
  <c r="G1378" i="1"/>
  <c r="G1377" i="1"/>
  <c r="G1371" i="1"/>
  <c r="G1374" i="1"/>
  <c r="E1371" i="1"/>
  <c r="F1371" i="1"/>
  <c r="F1374" i="1"/>
  <c r="G1373" i="1"/>
  <c r="G1372" i="1"/>
  <c r="G1350" i="1"/>
  <c r="G1369" i="1"/>
  <c r="E1350" i="1"/>
  <c r="F1350" i="1"/>
  <c r="F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193" i="1"/>
  <c r="G1347" i="1"/>
  <c r="E1193" i="1"/>
  <c r="F1193" i="1"/>
  <c r="F1347" i="1"/>
  <c r="G1331" i="1"/>
  <c r="G1345" i="1"/>
  <c r="E1331" i="1"/>
  <c r="F1331" i="1"/>
  <c r="F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279" i="1"/>
  <c r="G1329" i="1"/>
  <c r="E1279" i="1"/>
  <c r="F1279" i="1"/>
  <c r="F1329" i="1"/>
  <c r="G1324" i="1"/>
  <c r="G1327" i="1"/>
  <c r="E1324" i="1"/>
  <c r="F1324" i="1"/>
  <c r="F1327" i="1"/>
  <c r="G1326" i="1"/>
  <c r="G1325" i="1"/>
  <c r="G1314" i="1"/>
  <c r="G1322" i="1"/>
  <c r="E1314" i="1"/>
  <c r="F1314" i="1"/>
  <c r="F1322" i="1"/>
  <c r="G1321" i="1"/>
  <c r="G1320" i="1"/>
  <c r="G1319" i="1"/>
  <c r="G1318" i="1"/>
  <c r="G1317" i="1"/>
  <c r="G1316" i="1"/>
  <c r="G1315" i="1"/>
  <c r="G1308" i="1"/>
  <c r="G1312" i="1"/>
  <c r="E1308" i="1"/>
  <c r="F1308" i="1"/>
  <c r="F1312" i="1"/>
  <c r="G1311" i="1"/>
  <c r="G1310" i="1"/>
  <c r="G1309" i="1"/>
  <c r="G1295" i="1"/>
  <c r="G1306" i="1"/>
  <c r="E1295" i="1"/>
  <c r="F1295" i="1"/>
  <c r="F1306" i="1"/>
  <c r="G1305" i="1"/>
  <c r="G1304" i="1"/>
  <c r="G1303" i="1"/>
  <c r="G1302" i="1"/>
  <c r="G1301" i="1"/>
  <c r="G1300" i="1"/>
  <c r="G1299" i="1"/>
  <c r="G1298" i="1"/>
  <c r="G1297" i="1"/>
  <c r="G1296" i="1"/>
  <c r="G1280" i="1"/>
  <c r="G1293" i="1"/>
  <c r="E1280" i="1"/>
  <c r="F1280" i="1"/>
  <c r="F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70" i="1"/>
  <c r="G1277" i="1"/>
  <c r="E1270" i="1"/>
  <c r="F1270" i="1"/>
  <c r="F1277" i="1"/>
  <c r="G1276" i="1"/>
  <c r="G1275" i="1"/>
  <c r="G1274" i="1"/>
  <c r="G1273" i="1"/>
  <c r="G1272" i="1"/>
  <c r="G1271" i="1"/>
  <c r="G1264" i="1"/>
  <c r="G1268" i="1"/>
  <c r="E1264" i="1"/>
  <c r="F1264" i="1"/>
  <c r="F1268" i="1"/>
  <c r="G1267" i="1"/>
  <c r="G1266" i="1"/>
  <c r="G1265" i="1"/>
  <c r="G1257" i="1"/>
  <c r="G1262" i="1"/>
  <c r="E1257" i="1"/>
  <c r="F1257" i="1"/>
  <c r="F1262" i="1"/>
  <c r="G1261" i="1"/>
  <c r="G1260" i="1"/>
  <c r="G1259" i="1"/>
  <c r="G1258" i="1"/>
  <c r="G1253" i="1"/>
  <c r="G1255" i="1"/>
  <c r="E1253" i="1"/>
  <c r="F1253" i="1"/>
  <c r="F1255" i="1"/>
  <c r="G1254" i="1"/>
  <c r="G1245" i="1"/>
  <c r="G1251" i="1"/>
  <c r="E1245" i="1"/>
  <c r="F1245" i="1"/>
  <c r="F1251" i="1"/>
  <c r="G1250" i="1"/>
  <c r="G1249" i="1"/>
  <c r="G1248" i="1"/>
  <c r="G1247" i="1"/>
  <c r="G1246" i="1"/>
  <c r="G1240" i="1"/>
  <c r="G1243" i="1"/>
  <c r="E1240" i="1"/>
  <c r="F1240" i="1"/>
  <c r="F1243" i="1"/>
  <c r="G1242" i="1"/>
  <c r="G1241" i="1"/>
  <c r="G1236" i="1"/>
  <c r="G1238" i="1"/>
  <c r="E1236" i="1"/>
  <c r="F1236" i="1"/>
  <c r="F1238" i="1"/>
  <c r="G1237" i="1"/>
  <c r="G1231" i="1"/>
  <c r="G1234" i="1"/>
  <c r="E1231" i="1"/>
  <c r="F1231" i="1"/>
  <c r="F1234" i="1"/>
  <c r="G1233" i="1"/>
  <c r="G1232" i="1"/>
  <c r="G1220" i="1"/>
  <c r="G1229" i="1"/>
  <c r="E1220" i="1"/>
  <c r="F1220" i="1"/>
  <c r="F1229" i="1"/>
  <c r="G1228" i="1"/>
  <c r="G1227" i="1"/>
  <c r="G1226" i="1"/>
  <c r="G1225" i="1"/>
  <c r="G1224" i="1"/>
  <c r="G1223" i="1"/>
  <c r="G1222" i="1"/>
  <c r="G1221" i="1"/>
  <c r="G1215" i="1"/>
  <c r="G1218" i="1"/>
  <c r="E1215" i="1"/>
  <c r="F1215" i="1"/>
  <c r="F1218" i="1"/>
  <c r="G1217" i="1"/>
  <c r="G1216" i="1"/>
  <c r="G1194" i="1"/>
  <c r="G1213" i="1"/>
  <c r="E1194" i="1"/>
  <c r="F1194" i="1"/>
  <c r="F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037" i="1"/>
  <c r="G1191" i="1"/>
  <c r="E1037" i="1"/>
  <c r="F1037" i="1"/>
  <c r="F1191" i="1"/>
  <c r="G1175" i="1"/>
  <c r="G1189" i="1"/>
  <c r="E1175" i="1"/>
  <c r="F1175" i="1"/>
  <c r="F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23" i="1"/>
  <c r="G1173" i="1"/>
  <c r="E1123" i="1"/>
  <c r="F1123" i="1"/>
  <c r="F1173" i="1"/>
  <c r="G1168" i="1"/>
  <c r="G1171" i="1"/>
  <c r="E1168" i="1"/>
  <c r="F1168" i="1"/>
  <c r="F1171" i="1"/>
  <c r="G1170" i="1"/>
  <c r="G1169" i="1"/>
  <c r="G1158" i="1"/>
  <c r="G1166" i="1"/>
  <c r="E1158" i="1"/>
  <c r="F1158" i="1"/>
  <c r="F1166" i="1"/>
  <c r="G1165" i="1"/>
  <c r="G1164" i="1"/>
  <c r="G1163" i="1"/>
  <c r="G1162" i="1"/>
  <c r="G1161" i="1"/>
  <c r="G1160" i="1"/>
  <c r="G1159" i="1"/>
  <c r="G1152" i="1"/>
  <c r="G1156" i="1"/>
  <c r="E1152" i="1"/>
  <c r="F1152" i="1"/>
  <c r="F1156" i="1"/>
  <c r="G1155" i="1"/>
  <c r="G1154" i="1"/>
  <c r="G1153" i="1"/>
  <c r="G1139" i="1"/>
  <c r="G1150" i="1"/>
  <c r="E1139" i="1"/>
  <c r="F1139" i="1"/>
  <c r="F1150" i="1"/>
  <c r="G1149" i="1"/>
  <c r="G1148" i="1"/>
  <c r="G1147" i="1"/>
  <c r="G1146" i="1"/>
  <c r="G1145" i="1"/>
  <c r="G1144" i="1"/>
  <c r="G1143" i="1"/>
  <c r="G1142" i="1"/>
  <c r="G1141" i="1"/>
  <c r="G1140" i="1"/>
  <c r="G1124" i="1"/>
  <c r="G1137" i="1"/>
  <c r="E1124" i="1"/>
  <c r="F1124" i="1"/>
  <c r="F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14" i="1"/>
  <c r="G1121" i="1"/>
  <c r="E1114" i="1"/>
  <c r="F1114" i="1"/>
  <c r="F1121" i="1"/>
  <c r="G1120" i="1"/>
  <c r="G1119" i="1"/>
  <c r="G1118" i="1"/>
  <c r="G1117" i="1"/>
  <c r="G1116" i="1"/>
  <c r="G1115" i="1"/>
  <c r="G1108" i="1"/>
  <c r="G1112" i="1"/>
  <c r="E1108" i="1"/>
  <c r="F1108" i="1"/>
  <c r="F1112" i="1"/>
  <c r="G1111" i="1"/>
  <c r="G1110" i="1"/>
  <c r="G1109" i="1"/>
  <c r="G1101" i="1"/>
  <c r="G1106" i="1"/>
  <c r="E1101" i="1"/>
  <c r="F1101" i="1"/>
  <c r="F1106" i="1"/>
  <c r="G1105" i="1"/>
  <c r="G1104" i="1"/>
  <c r="G1103" i="1"/>
  <c r="G1102" i="1"/>
  <c r="G1097" i="1"/>
  <c r="G1099" i="1"/>
  <c r="E1097" i="1"/>
  <c r="F1097" i="1"/>
  <c r="F1099" i="1"/>
  <c r="G1098" i="1"/>
  <c r="G1089" i="1"/>
  <c r="G1095" i="1"/>
  <c r="E1089" i="1"/>
  <c r="F1089" i="1"/>
  <c r="F1095" i="1"/>
  <c r="G1094" i="1"/>
  <c r="G1093" i="1"/>
  <c r="G1092" i="1"/>
  <c r="G1091" i="1"/>
  <c r="G1090" i="1"/>
  <c r="G1084" i="1"/>
  <c r="G1087" i="1"/>
  <c r="E1084" i="1"/>
  <c r="F1084" i="1"/>
  <c r="F1087" i="1"/>
  <c r="G1086" i="1"/>
  <c r="G1085" i="1"/>
  <c r="G1080" i="1"/>
  <c r="G1082" i="1"/>
  <c r="E1080" i="1"/>
  <c r="F1080" i="1"/>
  <c r="F1082" i="1"/>
  <c r="G1081" i="1"/>
  <c r="G1075" i="1"/>
  <c r="G1078" i="1"/>
  <c r="E1075" i="1"/>
  <c r="F1075" i="1"/>
  <c r="F1078" i="1"/>
  <c r="G1077" i="1"/>
  <c r="G1076" i="1"/>
  <c r="G1064" i="1"/>
  <c r="G1073" i="1"/>
  <c r="E1064" i="1"/>
  <c r="F1064" i="1"/>
  <c r="F1073" i="1"/>
  <c r="G1072" i="1"/>
  <c r="G1071" i="1"/>
  <c r="G1070" i="1"/>
  <c r="G1069" i="1"/>
  <c r="G1068" i="1"/>
  <c r="G1067" i="1"/>
  <c r="G1066" i="1"/>
  <c r="G1065" i="1"/>
  <c r="G1059" i="1"/>
  <c r="G1062" i="1"/>
  <c r="E1059" i="1"/>
  <c r="F1059" i="1"/>
  <c r="F1062" i="1"/>
  <c r="G1061" i="1"/>
  <c r="G1060" i="1"/>
  <c r="G1038" i="1"/>
  <c r="G1057" i="1"/>
  <c r="E1038" i="1"/>
  <c r="F1038" i="1"/>
  <c r="F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881" i="1"/>
  <c r="G1035" i="1"/>
  <c r="E881" i="1"/>
  <c r="F881" i="1"/>
  <c r="F1035" i="1"/>
  <c r="G1019" i="1"/>
  <c r="G1033" i="1"/>
  <c r="E1019" i="1"/>
  <c r="F1019" i="1"/>
  <c r="F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967" i="1"/>
  <c r="G1017" i="1"/>
  <c r="E967" i="1"/>
  <c r="F967" i="1"/>
  <c r="F1017" i="1"/>
  <c r="G1012" i="1"/>
  <c r="G1015" i="1"/>
  <c r="E1012" i="1"/>
  <c r="F1012" i="1"/>
  <c r="F1015" i="1"/>
  <c r="G1014" i="1"/>
  <c r="G1013" i="1"/>
  <c r="G1002" i="1"/>
  <c r="G1010" i="1"/>
  <c r="E1002" i="1"/>
  <c r="F1002" i="1"/>
  <c r="F1010" i="1"/>
  <c r="G1009" i="1"/>
  <c r="G1008" i="1"/>
  <c r="G1007" i="1"/>
  <c r="G1006" i="1"/>
  <c r="G1005" i="1"/>
  <c r="G1004" i="1"/>
  <c r="G1003" i="1"/>
  <c r="G996" i="1"/>
  <c r="G1000" i="1"/>
  <c r="E996" i="1"/>
  <c r="F996" i="1"/>
  <c r="F1000" i="1"/>
  <c r="G999" i="1"/>
  <c r="G998" i="1"/>
  <c r="G997" i="1"/>
  <c r="G983" i="1"/>
  <c r="G994" i="1"/>
  <c r="E983" i="1"/>
  <c r="F983" i="1"/>
  <c r="F994" i="1"/>
  <c r="G993" i="1"/>
  <c r="G992" i="1"/>
  <c r="G991" i="1"/>
  <c r="G990" i="1"/>
  <c r="G989" i="1"/>
  <c r="G988" i="1"/>
  <c r="G987" i="1"/>
  <c r="G986" i="1"/>
  <c r="G985" i="1"/>
  <c r="G984" i="1"/>
  <c r="G968" i="1"/>
  <c r="G981" i="1"/>
  <c r="E968" i="1"/>
  <c r="F968" i="1"/>
  <c r="F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58" i="1"/>
  <c r="G965" i="1"/>
  <c r="E958" i="1"/>
  <c r="F958" i="1"/>
  <c r="F965" i="1"/>
  <c r="G964" i="1"/>
  <c r="G963" i="1"/>
  <c r="G962" i="1"/>
  <c r="G961" i="1"/>
  <c r="G960" i="1"/>
  <c r="G959" i="1"/>
  <c r="G952" i="1"/>
  <c r="G956" i="1"/>
  <c r="E952" i="1"/>
  <c r="F952" i="1"/>
  <c r="F956" i="1"/>
  <c r="G955" i="1"/>
  <c r="G954" i="1"/>
  <c r="G953" i="1"/>
  <c r="G945" i="1"/>
  <c r="G950" i="1"/>
  <c r="E945" i="1"/>
  <c r="F945" i="1"/>
  <c r="F950" i="1"/>
  <c r="G949" i="1"/>
  <c r="G948" i="1"/>
  <c r="G947" i="1"/>
  <c r="G946" i="1"/>
  <c r="G941" i="1"/>
  <c r="G943" i="1"/>
  <c r="E941" i="1"/>
  <c r="F941" i="1"/>
  <c r="F943" i="1"/>
  <c r="G942" i="1"/>
  <c r="G933" i="1"/>
  <c r="G939" i="1"/>
  <c r="E933" i="1"/>
  <c r="F933" i="1"/>
  <c r="F939" i="1"/>
  <c r="G938" i="1"/>
  <c r="G937" i="1"/>
  <c r="G936" i="1"/>
  <c r="G935" i="1"/>
  <c r="G934" i="1"/>
  <c r="G928" i="1"/>
  <c r="G931" i="1"/>
  <c r="E928" i="1"/>
  <c r="F928" i="1"/>
  <c r="F931" i="1"/>
  <c r="G930" i="1"/>
  <c r="G929" i="1"/>
  <c r="G924" i="1"/>
  <c r="G926" i="1"/>
  <c r="E924" i="1"/>
  <c r="F924" i="1"/>
  <c r="F926" i="1"/>
  <c r="G925" i="1"/>
  <c r="G919" i="1"/>
  <c r="G922" i="1"/>
  <c r="E919" i="1"/>
  <c r="F919" i="1"/>
  <c r="F922" i="1"/>
  <c r="G921" i="1"/>
  <c r="G920" i="1"/>
  <c r="G908" i="1"/>
  <c r="G917" i="1"/>
  <c r="E908" i="1"/>
  <c r="F908" i="1"/>
  <c r="F917" i="1"/>
  <c r="G916" i="1"/>
  <c r="G915" i="1"/>
  <c r="G914" i="1"/>
  <c r="G913" i="1"/>
  <c r="G912" i="1"/>
  <c r="G911" i="1"/>
  <c r="G910" i="1"/>
  <c r="G909" i="1"/>
  <c r="G903" i="1"/>
  <c r="G906" i="1"/>
  <c r="E903" i="1"/>
  <c r="F903" i="1"/>
  <c r="F906" i="1"/>
  <c r="G905" i="1"/>
  <c r="G904" i="1"/>
  <c r="G882" i="1"/>
  <c r="G901" i="1"/>
  <c r="E882" i="1"/>
  <c r="F882" i="1"/>
  <c r="F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725" i="1"/>
  <c r="G879" i="1"/>
  <c r="E725" i="1"/>
  <c r="F725" i="1"/>
  <c r="F879" i="1"/>
  <c r="G863" i="1"/>
  <c r="G877" i="1"/>
  <c r="E863" i="1"/>
  <c r="F863" i="1"/>
  <c r="F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11" i="1"/>
  <c r="G861" i="1"/>
  <c r="E811" i="1"/>
  <c r="F811" i="1"/>
  <c r="F861" i="1"/>
  <c r="G856" i="1"/>
  <c r="G859" i="1"/>
  <c r="E856" i="1"/>
  <c r="F856" i="1"/>
  <c r="F859" i="1"/>
  <c r="G858" i="1"/>
  <c r="G857" i="1"/>
  <c r="G846" i="1"/>
  <c r="G854" i="1"/>
  <c r="E846" i="1"/>
  <c r="F846" i="1"/>
  <c r="F854" i="1"/>
  <c r="G853" i="1"/>
  <c r="G852" i="1"/>
  <c r="G851" i="1"/>
  <c r="G850" i="1"/>
  <c r="G849" i="1"/>
  <c r="G848" i="1"/>
  <c r="G847" i="1"/>
  <c r="G840" i="1"/>
  <c r="G844" i="1"/>
  <c r="E840" i="1"/>
  <c r="F840" i="1"/>
  <c r="F844" i="1"/>
  <c r="G843" i="1"/>
  <c r="G842" i="1"/>
  <c r="G841" i="1"/>
  <c r="G827" i="1"/>
  <c r="G838" i="1"/>
  <c r="E827" i="1"/>
  <c r="F827" i="1"/>
  <c r="F838" i="1"/>
  <c r="G837" i="1"/>
  <c r="G836" i="1"/>
  <c r="G835" i="1"/>
  <c r="G834" i="1"/>
  <c r="G833" i="1"/>
  <c r="G832" i="1"/>
  <c r="G831" i="1"/>
  <c r="G830" i="1"/>
  <c r="G829" i="1"/>
  <c r="G828" i="1"/>
  <c r="G812" i="1"/>
  <c r="G825" i="1"/>
  <c r="E812" i="1"/>
  <c r="F812" i="1"/>
  <c r="F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02" i="1"/>
  <c r="G809" i="1"/>
  <c r="E802" i="1"/>
  <c r="F802" i="1"/>
  <c r="F809" i="1"/>
  <c r="G808" i="1"/>
  <c r="G807" i="1"/>
  <c r="G806" i="1"/>
  <c r="G805" i="1"/>
  <c r="G804" i="1"/>
  <c r="G803" i="1"/>
  <c r="G796" i="1"/>
  <c r="G800" i="1"/>
  <c r="E796" i="1"/>
  <c r="F796" i="1"/>
  <c r="F800" i="1"/>
  <c r="G799" i="1"/>
  <c r="G798" i="1"/>
  <c r="G797" i="1"/>
  <c r="G789" i="1"/>
  <c r="G794" i="1"/>
  <c r="E789" i="1"/>
  <c r="F789" i="1"/>
  <c r="F794" i="1"/>
  <c r="G793" i="1"/>
  <c r="G792" i="1"/>
  <c r="G791" i="1"/>
  <c r="G790" i="1"/>
  <c r="G785" i="1"/>
  <c r="G787" i="1"/>
  <c r="E785" i="1"/>
  <c r="F785" i="1"/>
  <c r="F787" i="1"/>
  <c r="G786" i="1"/>
  <c r="G777" i="1"/>
  <c r="G783" i="1"/>
  <c r="E777" i="1"/>
  <c r="F777" i="1"/>
  <c r="F783" i="1"/>
  <c r="G782" i="1"/>
  <c r="G781" i="1"/>
  <c r="G780" i="1"/>
  <c r="G779" i="1"/>
  <c r="G778" i="1"/>
  <c r="G772" i="1"/>
  <c r="G775" i="1"/>
  <c r="E772" i="1"/>
  <c r="F772" i="1"/>
  <c r="F775" i="1"/>
  <c r="G774" i="1"/>
  <c r="G773" i="1"/>
  <c r="G768" i="1"/>
  <c r="G770" i="1"/>
  <c r="E768" i="1"/>
  <c r="F768" i="1"/>
  <c r="F770" i="1"/>
  <c r="G769" i="1"/>
  <c r="G763" i="1"/>
  <c r="G766" i="1"/>
  <c r="E763" i="1"/>
  <c r="F763" i="1"/>
  <c r="F766" i="1"/>
  <c r="G765" i="1"/>
  <c r="G764" i="1"/>
  <c r="G752" i="1"/>
  <c r="G761" i="1"/>
  <c r="E752" i="1"/>
  <c r="F752" i="1"/>
  <c r="F761" i="1"/>
  <c r="G760" i="1"/>
  <c r="G759" i="1"/>
  <c r="G758" i="1"/>
  <c r="G757" i="1"/>
  <c r="G756" i="1"/>
  <c r="G755" i="1"/>
  <c r="G754" i="1"/>
  <c r="G753" i="1"/>
  <c r="G747" i="1"/>
  <c r="G750" i="1"/>
  <c r="E747" i="1"/>
  <c r="F747" i="1"/>
  <c r="F750" i="1"/>
  <c r="G749" i="1"/>
  <c r="G748" i="1"/>
  <c r="G726" i="1"/>
  <c r="G745" i="1"/>
  <c r="E726" i="1"/>
  <c r="F726" i="1"/>
  <c r="F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565" i="1"/>
  <c r="G723" i="1"/>
  <c r="E565" i="1"/>
  <c r="F565" i="1"/>
  <c r="F723" i="1"/>
  <c r="G706" i="1"/>
  <c r="G721" i="1"/>
  <c r="E706" i="1"/>
  <c r="F706" i="1"/>
  <c r="F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653" i="1"/>
  <c r="G704" i="1"/>
  <c r="E653" i="1"/>
  <c r="F653" i="1"/>
  <c r="F704" i="1"/>
  <c r="G699" i="1"/>
  <c r="G702" i="1"/>
  <c r="E699" i="1"/>
  <c r="F699" i="1"/>
  <c r="F702" i="1"/>
  <c r="G701" i="1"/>
  <c r="G700" i="1"/>
  <c r="G688" i="1"/>
  <c r="G697" i="1"/>
  <c r="E688" i="1"/>
  <c r="F688" i="1"/>
  <c r="F697" i="1"/>
  <c r="G696" i="1"/>
  <c r="G695" i="1"/>
  <c r="G694" i="1"/>
  <c r="G693" i="1"/>
  <c r="G692" i="1"/>
  <c r="G691" i="1"/>
  <c r="G690" i="1"/>
  <c r="G689" i="1"/>
  <c r="G682" i="1"/>
  <c r="G686" i="1"/>
  <c r="E682" i="1"/>
  <c r="F682" i="1"/>
  <c r="F686" i="1"/>
  <c r="G685" i="1"/>
  <c r="G684" i="1"/>
  <c r="G683" i="1"/>
  <c r="G669" i="1"/>
  <c r="G680" i="1"/>
  <c r="E669" i="1"/>
  <c r="F669" i="1"/>
  <c r="F680" i="1"/>
  <c r="G679" i="1"/>
  <c r="G678" i="1"/>
  <c r="G677" i="1"/>
  <c r="G676" i="1"/>
  <c r="G675" i="1"/>
  <c r="G674" i="1"/>
  <c r="G673" i="1"/>
  <c r="G672" i="1"/>
  <c r="G671" i="1"/>
  <c r="G670" i="1"/>
  <c r="G654" i="1"/>
  <c r="G667" i="1"/>
  <c r="E654" i="1"/>
  <c r="F654" i="1"/>
  <c r="F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46" i="1"/>
  <c r="G651" i="1"/>
  <c r="E646" i="1"/>
  <c r="F646" i="1"/>
  <c r="F651" i="1"/>
  <c r="G650" i="1"/>
  <c r="G649" i="1"/>
  <c r="G648" i="1"/>
  <c r="G647" i="1"/>
  <c r="G640" i="1"/>
  <c r="G644" i="1"/>
  <c r="E640" i="1"/>
  <c r="F640" i="1"/>
  <c r="F644" i="1"/>
  <c r="G643" i="1"/>
  <c r="G642" i="1"/>
  <c r="G641" i="1"/>
  <c r="G633" i="1"/>
  <c r="G638" i="1"/>
  <c r="E633" i="1"/>
  <c r="F633" i="1"/>
  <c r="F638" i="1"/>
  <c r="G637" i="1"/>
  <c r="G636" i="1"/>
  <c r="G635" i="1"/>
  <c r="G634" i="1"/>
  <c r="G629" i="1"/>
  <c r="G631" i="1"/>
  <c r="E629" i="1"/>
  <c r="F629" i="1"/>
  <c r="F631" i="1"/>
  <c r="G630" i="1"/>
  <c r="G621" i="1"/>
  <c r="G627" i="1"/>
  <c r="E621" i="1"/>
  <c r="F621" i="1"/>
  <c r="F627" i="1"/>
  <c r="G626" i="1"/>
  <c r="G625" i="1"/>
  <c r="G624" i="1"/>
  <c r="G623" i="1"/>
  <c r="G622" i="1"/>
  <c r="G616" i="1"/>
  <c r="G619" i="1"/>
  <c r="E616" i="1"/>
  <c r="F616" i="1"/>
  <c r="F619" i="1"/>
  <c r="G618" i="1"/>
  <c r="G617" i="1"/>
  <c r="G612" i="1"/>
  <c r="G614" i="1"/>
  <c r="E612" i="1"/>
  <c r="F612" i="1"/>
  <c r="F614" i="1"/>
  <c r="G613" i="1"/>
  <c r="G605" i="1"/>
  <c r="G610" i="1"/>
  <c r="E605" i="1"/>
  <c r="F605" i="1"/>
  <c r="F610" i="1"/>
  <c r="G609" i="1"/>
  <c r="G608" i="1"/>
  <c r="G607" i="1"/>
  <c r="G606" i="1"/>
  <c r="G594" i="1"/>
  <c r="G603" i="1"/>
  <c r="E594" i="1"/>
  <c r="F594" i="1"/>
  <c r="F603" i="1"/>
  <c r="G602" i="1"/>
  <c r="G601" i="1"/>
  <c r="G600" i="1"/>
  <c r="G599" i="1"/>
  <c r="G598" i="1"/>
  <c r="G597" i="1"/>
  <c r="G596" i="1"/>
  <c r="G595" i="1"/>
  <c r="G589" i="1"/>
  <c r="G592" i="1"/>
  <c r="E589" i="1"/>
  <c r="F589" i="1"/>
  <c r="F592" i="1"/>
  <c r="G591" i="1"/>
  <c r="G590" i="1"/>
  <c r="G566" i="1"/>
  <c r="G587" i="1"/>
  <c r="E566" i="1"/>
  <c r="F566" i="1"/>
  <c r="F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447" i="1"/>
  <c r="G563" i="1"/>
  <c r="E447" i="1"/>
  <c r="F447" i="1"/>
  <c r="F563" i="1"/>
  <c r="G553" i="1"/>
  <c r="G561" i="1"/>
  <c r="E553" i="1"/>
  <c r="F553" i="1"/>
  <c r="F561" i="1"/>
  <c r="G560" i="1"/>
  <c r="G559" i="1"/>
  <c r="G558" i="1"/>
  <c r="G557" i="1"/>
  <c r="G556" i="1"/>
  <c r="G555" i="1"/>
  <c r="G554" i="1"/>
  <c r="G516" i="1"/>
  <c r="G551" i="1"/>
  <c r="E516" i="1"/>
  <c r="F516" i="1"/>
  <c r="F551" i="1"/>
  <c r="G545" i="1"/>
  <c r="G549" i="1"/>
  <c r="E545" i="1"/>
  <c r="F545" i="1"/>
  <c r="F549" i="1"/>
  <c r="G548" i="1"/>
  <c r="G547" i="1"/>
  <c r="G546" i="1"/>
  <c r="G529" i="1"/>
  <c r="G543" i="1"/>
  <c r="E529" i="1"/>
  <c r="F529" i="1"/>
  <c r="F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17" i="1"/>
  <c r="G527" i="1"/>
  <c r="E517" i="1"/>
  <c r="F517" i="1"/>
  <c r="F527" i="1"/>
  <c r="G526" i="1"/>
  <c r="G525" i="1"/>
  <c r="G524" i="1"/>
  <c r="G523" i="1"/>
  <c r="G522" i="1"/>
  <c r="G521" i="1"/>
  <c r="G520" i="1"/>
  <c r="G519" i="1"/>
  <c r="G518" i="1"/>
  <c r="G509" i="1"/>
  <c r="G514" i="1"/>
  <c r="E509" i="1"/>
  <c r="F509" i="1"/>
  <c r="F514" i="1"/>
  <c r="G513" i="1"/>
  <c r="G512" i="1"/>
  <c r="G511" i="1"/>
  <c r="G510" i="1"/>
  <c r="G503" i="1"/>
  <c r="G507" i="1"/>
  <c r="E503" i="1"/>
  <c r="F503" i="1"/>
  <c r="F507" i="1"/>
  <c r="G506" i="1"/>
  <c r="G505" i="1"/>
  <c r="G504" i="1"/>
  <c r="G502" i="1"/>
  <c r="G498" i="1"/>
  <c r="G500" i="1"/>
  <c r="E498" i="1"/>
  <c r="F498" i="1"/>
  <c r="F500" i="1"/>
  <c r="G499" i="1"/>
  <c r="G493" i="1"/>
  <c r="G496" i="1"/>
  <c r="E493" i="1"/>
  <c r="F493" i="1"/>
  <c r="F496" i="1"/>
  <c r="G495" i="1"/>
  <c r="G494" i="1"/>
  <c r="G492" i="1"/>
  <c r="G487" i="1"/>
  <c r="G490" i="1"/>
  <c r="E487" i="1"/>
  <c r="F487" i="1"/>
  <c r="F490" i="1"/>
  <c r="G489" i="1"/>
  <c r="G488" i="1"/>
  <c r="G477" i="1"/>
  <c r="G485" i="1"/>
  <c r="E477" i="1"/>
  <c r="F477" i="1"/>
  <c r="F485" i="1"/>
  <c r="G484" i="1"/>
  <c r="G483" i="1"/>
  <c r="G482" i="1"/>
  <c r="G481" i="1"/>
  <c r="G480" i="1"/>
  <c r="G479" i="1"/>
  <c r="G478" i="1"/>
  <c r="G473" i="1"/>
  <c r="G475" i="1"/>
  <c r="E473" i="1"/>
  <c r="F473" i="1"/>
  <c r="F475" i="1"/>
  <c r="G474" i="1"/>
  <c r="G448" i="1"/>
  <c r="G471" i="1"/>
  <c r="E448" i="1"/>
  <c r="F448" i="1"/>
  <c r="F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328" i="1"/>
  <c r="G445" i="1"/>
  <c r="E328" i="1"/>
  <c r="F328" i="1"/>
  <c r="F445" i="1"/>
  <c r="G434" i="1"/>
  <c r="G443" i="1"/>
  <c r="E434" i="1"/>
  <c r="F434" i="1"/>
  <c r="F443" i="1"/>
  <c r="G442" i="1"/>
  <c r="G441" i="1"/>
  <c r="G440" i="1"/>
  <c r="G439" i="1"/>
  <c r="G438" i="1"/>
  <c r="G437" i="1"/>
  <c r="G436" i="1"/>
  <c r="G435" i="1"/>
  <c r="G397" i="1"/>
  <c r="G432" i="1"/>
  <c r="E397" i="1"/>
  <c r="F397" i="1"/>
  <c r="F432" i="1"/>
  <c r="G426" i="1"/>
  <c r="G430" i="1"/>
  <c r="E426" i="1"/>
  <c r="F426" i="1"/>
  <c r="F430" i="1"/>
  <c r="G429" i="1"/>
  <c r="G428" i="1"/>
  <c r="G427" i="1"/>
  <c r="G410" i="1"/>
  <c r="G424" i="1"/>
  <c r="E410" i="1"/>
  <c r="F410" i="1"/>
  <c r="F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398" i="1"/>
  <c r="G408" i="1"/>
  <c r="E398" i="1"/>
  <c r="F398" i="1"/>
  <c r="F408" i="1"/>
  <c r="G407" i="1"/>
  <c r="G406" i="1"/>
  <c r="G405" i="1"/>
  <c r="G404" i="1"/>
  <c r="G403" i="1"/>
  <c r="G402" i="1"/>
  <c r="G401" i="1"/>
  <c r="G400" i="1"/>
  <c r="G399" i="1"/>
  <c r="G390" i="1"/>
  <c r="G395" i="1"/>
  <c r="E390" i="1"/>
  <c r="F390" i="1"/>
  <c r="F395" i="1"/>
  <c r="G394" i="1"/>
  <c r="G393" i="1"/>
  <c r="G392" i="1"/>
  <c r="G391" i="1"/>
  <c r="G384" i="1"/>
  <c r="G388" i="1"/>
  <c r="E384" i="1"/>
  <c r="F384" i="1"/>
  <c r="F388" i="1"/>
  <c r="G387" i="1"/>
  <c r="G386" i="1"/>
  <c r="G385" i="1"/>
  <c r="G383" i="1"/>
  <c r="G379" i="1"/>
  <c r="G381" i="1"/>
  <c r="E379" i="1"/>
  <c r="F379" i="1"/>
  <c r="F381" i="1"/>
  <c r="G380" i="1"/>
  <c r="G374" i="1"/>
  <c r="G377" i="1"/>
  <c r="E374" i="1"/>
  <c r="F374" i="1"/>
  <c r="F377" i="1"/>
  <c r="G376" i="1"/>
  <c r="G375" i="1"/>
  <c r="G373" i="1"/>
  <c r="G368" i="1"/>
  <c r="G371" i="1"/>
  <c r="E368" i="1"/>
  <c r="F368" i="1"/>
  <c r="F371" i="1"/>
  <c r="G370" i="1"/>
  <c r="G369" i="1"/>
  <c r="G358" i="1"/>
  <c r="G366" i="1"/>
  <c r="E358" i="1"/>
  <c r="F358" i="1"/>
  <c r="F366" i="1"/>
  <c r="G365" i="1"/>
  <c r="G364" i="1"/>
  <c r="G363" i="1"/>
  <c r="G362" i="1"/>
  <c r="G361" i="1"/>
  <c r="G360" i="1"/>
  <c r="G359" i="1"/>
  <c r="G354" i="1"/>
  <c r="G356" i="1"/>
  <c r="E354" i="1"/>
  <c r="F354" i="1"/>
  <c r="F356" i="1"/>
  <c r="G355" i="1"/>
  <c r="G329" i="1"/>
  <c r="G352" i="1"/>
  <c r="E329" i="1"/>
  <c r="F329" i="1"/>
  <c r="F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188" i="1"/>
  <c r="G326" i="1"/>
  <c r="E188" i="1"/>
  <c r="F188" i="1"/>
  <c r="F326" i="1"/>
  <c r="G310" i="1"/>
  <c r="G324" i="1"/>
  <c r="E310" i="1"/>
  <c r="F310" i="1"/>
  <c r="F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268" i="1"/>
  <c r="G308" i="1"/>
  <c r="E268" i="1"/>
  <c r="F268" i="1"/>
  <c r="F308" i="1"/>
  <c r="G303" i="1"/>
  <c r="G306" i="1"/>
  <c r="E303" i="1"/>
  <c r="F303" i="1"/>
  <c r="F306" i="1"/>
  <c r="G305" i="1"/>
  <c r="G304" i="1"/>
  <c r="G297" i="1"/>
  <c r="G301" i="1"/>
  <c r="E297" i="1"/>
  <c r="F297" i="1"/>
  <c r="F301" i="1"/>
  <c r="G300" i="1"/>
  <c r="G299" i="1"/>
  <c r="G298" i="1"/>
  <c r="G281" i="1"/>
  <c r="G295" i="1"/>
  <c r="E281" i="1"/>
  <c r="F281" i="1"/>
  <c r="F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69" i="1"/>
  <c r="G279" i="1"/>
  <c r="E269" i="1"/>
  <c r="F269" i="1"/>
  <c r="F279" i="1"/>
  <c r="G278" i="1"/>
  <c r="G277" i="1"/>
  <c r="G276" i="1"/>
  <c r="G275" i="1"/>
  <c r="G274" i="1"/>
  <c r="G273" i="1"/>
  <c r="G272" i="1"/>
  <c r="G271" i="1"/>
  <c r="G270" i="1"/>
  <c r="G256" i="1"/>
  <c r="G266" i="1"/>
  <c r="E256" i="1"/>
  <c r="F256" i="1"/>
  <c r="F266" i="1"/>
  <c r="G265" i="1"/>
  <c r="G264" i="1"/>
  <c r="G263" i="1"/>
  <c r="G262" i="1"/>
  <c r="G261" i="1"/>
  <c r="G260" i="1"/>
  <c r="G259" i="1"/>
  <c r="G258" i="1"/>
  <c r="G257" i="1"/>
  <c r="G250" i="1"/>
  <c r="G254" i="1"/>
  <c r="E250" i="1"/>
  <c r="F250" i="1"/>
  <c r="F254" i="1"/>
  <c r="G253" i="1"/>
  <c r="G252" i="1"/>
  <c r="G251" i="1"/>
  <c r="G245" i="1"/>
  <c r="G248" i="1"/>
  <c r="E245" i="1"/>
  <c r="F245" i="1"/>
  <c r="F248" i="1"/>
  <c r="G247" i="1"/>
  <c r="G246" i="1"/>
  <c r="G238" i="1"/>
  <c r="G243" i="1"/>
  <c r="E238" i="1"/>
  <c r="F238" i="1"/>
  <c r="F243" i="1"/>
  <c r="G242" i="1"/>
  <c r="G241" i="1"/>
  <c r="G240" i="1"/>
  <c r="G239" i="1"/>
  <c r="G233" i="1"/>
  <c r="G236" i="1"/>
  <c r="E233" i="1"/>
  <c r="F233" i="1"/>
  <c r="F236" i="1"/>
  <c r="G235" i="1"/>
  <c r="G234" i="1"/>
  <c r="G229" i="1"/>
  <c r="G231" i="1"/>
  <c r="E229" i="1"/>
  <c r="F229" i="1"/>
  <c r="F231" i="1"/>
  <c r="G230" i="1"/>
  <c r="G223" i="1"/>
  <c r="G227" i="1"/>
  <c r="E223" i="1"/>
  <c r="F223" i="1"/>
  <c r="F227" i="1"/>
  <c r="G226" i="1"/>
  <c r="G225" i="1"/>
  <c r="G224" i="1"/>
  <c r="G213" i="1"/>
  <c r="G221" i="1"/>
  <c r="E213" i="1"/>
  <c r="F213" i="1"/>
  <c r="F221" i="1"/>
  <c r="G220" i="1"/>
  <c r="G219" i="1"/>
  <c r="G218" i="1"/>
  <c r="G217" i="1"/>
  <c r="G216" i="1"/>
  <c r="G215" i="1"/>
  <c r="G214" i="1"/>
  <c r="G209" i="1"/>
  <c r="G211" i="1"/>
  <c r="E209" i="1"/>
  <c r="F209" i="1"/>
  <c r="F211" i="1"/>
  <c r="G210" i="1"/>
  <c r="G189" i="1"/>
  <c r="G207" i="1"/>
  <c r="E189" i="1"/>
  <c r="F189" i="1"/>
  <c r="F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24" i="1"/>
  <c r="G186" i="1"/>
  <c r="E24" i="1"/>
  <c r="F24" i="1"/>
  <c r="F186" i="1"/>
  <c r="G168" i="1"/>
  <c r="G184" i="1"/>
  <c r="E168" i="1"/>
  <c r="F168" i="1"/>
  <c r="F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94" i="1"/>
  <c r="G166" i="1"/>
  <c r="E94" i="1"/>
  <c r="F94" i="1"/>
  <c r="F166" i="1"/>
  <c r="G160" i="1"/>
  <c r="G164" i="1"/>
  <c r="E160" i="1"/>
  <c r="F160" i="1"/>
  <c r="F164" i="1"/>
  <c r="G163" i="1"/>
  <c r="G162" i="1"/>
  <c r="G161" i="1"/>
  <c r="G145" i="1"/>
  <c r="G158" i="1"/>
  <c r="E145" i="1"/>
  <c r="F145" i="1"/>
  <c r="F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33" i="1"/>
  <c r="G143" i="1"/>
  <c r="E133" i="1"/>
  <c r="F133" i="1"/>
  <c r="F143" i="1"/>
  <c r="G142" i="1"/>
  <c r="G141" i="1"/>
  <c r="G140" i="1"/>
  <c r="G139" i="1"/>
  <c r="G138" i="1"/>
  <c r="G137" i="1"/>
  <c r="G136" i="1"/>
  <c r="G135" i="1"/>
  <c r="G134" i="1"/>
  <c r="G129" i="1"/>
  <c r="G131" i="1"/>
  <c r="E129" i="1"/>
  <c r="F129" i="1"/>
  <c r="F131" i="1"/>
  <c r="G130" i="1"/>
  <c r="G122" i="1"/>
  <c r="G127" i="1"/>
  <c r="E122" i="1"/>
  <c r="F122" i="1"/>
  <c r="F127" i="1"/>
  <c r="G126" i="1"/>
  <c r="G125" i="1"/>
  <c r="G124" i="1"/>
  <c r="G123" i="1"/>
  <c r="G95" i="1"/>
  <c r="G120" i="1"/>
  <c r="E95" i="1"/>
  <c r="F95" i="1"/>
  <c r="F120" i="1"/>
  <c r="G115" i="1"/>
  <c r="G118" i="1"/>
  <c r="E115" i="1"/>
  <c r="F115" i="1"/>
  <c r="F118" i="1"/>
  <c r="G117" i="1"/>
  <c r="G116" i="1"/>
  <c r="G108" i="1"/>
  <c r="G113" i="1"/>
  <c r="E108" i="1"/>
  <c r="F108" i="1"/>
  <c r="F113" i="1"/>
  <c r="G112" i="1"/>
  <c r="G111" i="1"/>
  <c r="G110" i="1"/>
  <c r="G109" i="1"/>
  <c r="G102" i="1"/>
  <c r="G106" i="1"/>
  <c r="E102" i="1"/>
  <c r="F102" i="1"/>
  <c r="F106" i="1"/>
  <c r="G105" i="1"/>
  <c r="G104" i="1"/>
  <c r="G103" i="1"/>
  <c r="G96" i="1"/>
  <c r="G100" i="1"/>
  <c r="E96" i="1"/>
  <c r="F96" i="1"/>
  <c r="F100" i="1"/>
  <c r="G99" i="1"/>
  <c r="G98" i="1"/>
  <c r="G97" i="1"/>
  <c r="G87" i="1"/>
  <c r="G92" i="1"/>
  <c r="E87" i="1"/>
  <c r="F87" i="1"/>
  <c r="F92" i="1"/>
  <c r="G91" i="1"/>
  <c r="G90" i="1"/>
  <c r="G89" i="1"/>
  <c r="G88" i="1"/>
  <c r="G81" i="1"/>
  <c r="G85" i="1"/>
  <c r="E81" i="1"/>
  <c r="F81" i="1"/>
  <c r="F85" i="1"/>
  <c r="G84" i="1"/>
  <c r="G83" i="1"/>
  <c r="G82" i="1"/>
  <c r="G76" i="1"/>
  <c r="G79" i="1"/>
  <c r="E76" i="1"/>
  <c r="F76" i="1"/>
  <c r="F79" i="1"/>
  <c r="G78" i="1"/>
  <c r="G77" i="1"/>
  <c r="G71" i="1"/>
  <c r="G74" i="1"/>
  <c r="E71" i="1"/>
  <c r="F71" i="1"/>
  <c r="F74" i="1"/>
  <c r="G73" i="1"/>
  <c r="G72" i="1"/>
  <c r="G65" i="1"/>
  <c r="G69" i="1"/>
  <c r="E65" i="1"/>
  <c r="F65" i="1"/>
  <c r="F69" i="1"/>
  <c r="G68" i="1"/>
  <c r="G67" i="1"/>
  <c r="G66" i="1"/>
  <c r="G55" i="1"/>
  <c r="G63" i="1"/>
  <c r="E55" i="1"/>
  <c r="F55" i="1"/>
  <c r="F63" i="1"/>
  <c r="G62" i="1"/>
  <c r="G61" i="1"/>
  <c r="G60" i="1"/>
  <c r="G59" i="1"/>
  <c r="G58" i="1"/>
  <c r="G57" i="1"/>
  <c r="G56" i="1"/>
  <c r="G51" i="1"/>
  <c r="G53" i="1"/>
  <c r="E51" i="1"/>
  <c r="F51" i="1"/>
  <c r="F53" i="1"/>
  <c r="G52" i="1"/>
  <c r="G25" i="1"/>
  <c r="G49" i="1"/>
  <c r="E25" i="1"/>
  <c r="F25" i="1"/>
  <c r="F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17" i="1"/>
  <c r="G22" i="1"/>
  <c r="E17" i="1"/>
  <c r="F17" i="1"/>
  <c r="F22" i="1"/>
  <c r="G21" i="1"/>
  <c r="G20" i="1"/>
  <c r="G19" i="1"/>
  <c r="G18" i="1"/>
  <c r="G4" i="1"/>
  <c r="G15" i="1"/>
  <c r="E4" i="1"/>
  <c r="F4" i="1"/>
  <c r="F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<sst xmlns="http://schemas.openxmlformats.org/spreadsheetml/2006/main" count="7746" uniqueCount="947">
  <si>
    <t>TORRE GIUALCA I</t>
  </si>
  <si>
    <t>Presupuesto</t>
  </si>
  <si>
    <t>Código</t>
  </si>
  <si>
    <t>Resumen</t>
  </si>
  <si>
    <t>ImpPres</t>
  </si>
  <si>
    <t>Nat</t>
  </si>
  <si>
    <t>Ud</t>
  </si>
  <si>
    <t>CanPres</t>
  </si>
  <si>
    <t>PrPres</t>
  </si>
  <si>
    <t xml:space="preserve">TGIU0001     </t>
  </si>
  <si>
    <t>PRELIMINARES</t>
  </si>
  <si>
    <t>Capítulo</t>
  </si>
  <si>
    <t/>
  </si>
  <si>
    <t xml:space="preserve">P0112001     </t>
  </si>
  <si>
    <t>Almacén y Oficina de la Obra</t>
  </si>
  <si>
    <t>Partida</t>
  </si>
  <si>
    <t>P.A.</t>
  </si>
  <si>
    <t xml:space="preserve">P0112350     </t>
  </si>
  <si>
    <t>Facilidades sanitarias obreros (Alq. baños portátiles)</t>
  </si>
  <si>
    <t>mes</t>
  </si>
  <si>
    <t xml:space="preserve">P0112200     </t>
  </si>
  <si>
    <t>Fumigación de Fondos y Paramentos de Suelo Fundación</t>
  </si>
  <si>
    <t>m2</t>
  </si>
  <si>
    <t xml:space="preserve">P0112300     </t>
  </si>
  <si>
    <t>Malla Saran negra 6' x 165'</t>
  </si>
  <si>
    <t>Roll</t>
  </si>
  <si>
    <t xml:space="preserve">P0100000     </t>
  </si>
  <si>
    <t>Verja Perimetral de Proyecto</t>
  </si>
  <si>
    <t>m</t>
  </si>
  <si>
    <t xml:space="preserve">P0100003     </t>
  </si>
  <si>
    <t>Limpieza Periódica y Final</t>
  </si>
  <si>
    <t xml:space="preserve">P0100100     </t>
  </si>
  <si>
    <t>Trazo y Replanteo. Topografía + trabajos auxiliares</t>
  </si>
  <si>
    <t xml:space="preserve">P0100015     </t>
  </si>
  <si>
    <t>Winche de Plataforma Electrico (2,200 lb)</t>
  </si>
  <si>
    <t xml:space="preserve">P01121002    </t>
  </si>
  <si>
    <t>DIAS/H Subida y Acarreo Interno de Materiales</t>
  </si>
  <si>
    <t xml:space="preserve">EQUPSO1      </t>
  </si>
  <si>
    <t>Equipos de Seguridad en Obra</t>
  </si>
  <si>
    <t>TGIU0001</t>
  </si>
  <si>
    <t xml:space="preserve">TGIU0002     </t>
  </si>
  <si>
    <t>MOVIMIENTO DE TIERRA</t>
  </si>
  <si>
    <t xml:space="preserve">P0201005     </t>
  </si>
  <si>
    <t>Corte Capa Vegetal e=0.20m</t>
  </si>
  <si>
    <t xml:space="preserve">P0201008     </t>
  </si>
  <si>
    <t>Excavación para platea de fundación, zapata de columnas y muros</t>
  </si>
  <si>
    <t>m³n</t>
  </si>
  <si>
    <t xml:space="preserve">P0202010     </t>
  </si>
  <si>
    <t>Relleno Compactado (12 km)</t>
  </si>
  <si>
    <t>m³c</t>
  </si>
  <si>
    <t xml:space="preserve">P0203010     </t>
  </si>
  <si>
    <t>Extraccion y bote de Mat de excavacion</t>
  </si>
  <si>
    <t>m3n</t>
  </si>
  <si>
    <t>TGIU0002</t>
  </si>
  <si>
    <t xml:space="preserve">TGIU0003     </t>
  </si>
  <si>
    <t>SEMISOTANO (-1.40@-2.90)</t>
  </si>
  <si>
    <t xml:space="preserve">TGIU00301    </t>
  </si>
  <si>
    <t>HORMIGON ARMADO</t>
  </si>
  <si>
    <t xml:space="preserve">P0303000     </t>
  </si>
  <si>
    <t>Hormigón de Limpieza</t>
  </si>
  <si>
    <t>m3</t>
  </si>
  <si>
    <t xml:space="preserve">P0303130     </t>
  </si>
  <si>
    <t>Zapata Z1 (1.20 x 1.50) e=0.50 Ø3/4"@0.20 Inf - Ø3/4"@0.20 Sup</t>
  </si>
  <si>
    <t xml:space="preserve">P0303135     </t>
  </si>
  <si>
    <t>Zapata Z2 (3.60 x 3.20) e=1.00 Ø3/4"@0.10 Inf - Ø3/4"@0.10 Sup</t>
  </si>
  <si>
    <t xml:space="preserve">P0303140     </t>
  </si>
  <si>
    <t>Zapata Z3 (4.20 x 4.90) e=1.20 Ø1"@0.10 Inf - Ø3/4"@0.10 Sup</t>
  </si>
  <si>
    <t xml:space="preserve">P0303145     </t>
  </si>
  <si>
    <t>Zapata Z4 (5.65 x 3.90) e=1.00 Ø3/4"@0.10 Inf - Ø3/4"@0.10 Sup</t>
  </si>
  <si>
    <t xml:space="preserve">P0303150     </t>
  </si>
  <si>
    <t>Zapata Z5 (21.80 x 6.85) e=1.20 Ø1"@0.10 Inf - Ø3/4"@0.10 Sup</t>
  </si>
  <si>
    <t xml:space="preserve">P0303155     </t>
  </si>
  <si>
    <t>Zapata Z6 (3.70 x 3.70) e=1.00 Ø3/4"@0.10 Inf</t>
  </si>
  <si>
    <t xml:space="preserve">P0303156     </t>
  </si>
  <si>
    <t>Zapata Z7 (4.70 x 4.70) e=1.20 Ø1"@0.10 Inf</t>
  </si>
  <si>
    <t xml:space="preserve">P0303157     </t>
  </si>
  <si>
    <t>Zapata Z8 (4.00 x 4.00) e=1.20 Ø3/4"@0.10 Inf</t>
  </si>
  <si>
    <t xml:space="preserve">P0303158     </t>
  </si>
  <si>
    <t>Platea Ascensor (3.59 x 4.33) e=1.20m (Foso Ascensor)</t>
  </si>
  <si>
    <t xml:space="preserve">P0303159     </t>
  </si>
  <si>
    <t>Viga VF</t>
  </si>
  <si>
    <t xml:space="preserve">P0303160     </t>
  </si>
  <si>
    <t>Muro H.A. MH1 e=0.40m (Ascensor)</t>
  </si>
  <si>
    <t xml:space="preserve">P0303161     </t>
  </si>
  <si>
    <t>Muro H.A. MH2 e=0.40m</t>
  </si>
  <si>
    <t xml:space="preserve">P0303162     </t>
  </si>
  <si>
    <t>Zapata MC (0.60 x 0.30) 8 Ø1/2" + Ø1/2 @0.20</t>
  </si>
  <si>
    <t xml:space="preserve">P0303163     </t>
  </si>
  <si>
    <t>Muro de Contención 0.20m Ø1/2"@0.20 Vert-AC, Ø3/8"@0.20 Hor-AC</t>
  </si>
  <si>
    <t xml:space="preserve">P0303061     </t>
  </si>
  <si>
    <t>Losa de Piso e=0.10m</t>
  </si>
  <si>
    <t>m³</t>
  </si>
  <si>
    <t xml:space="preserve">P20MISP2     </t>
  </si>
  <si>
    <t>Corte y Sellado Junta de Expansion de Piso</t>
  </si>
  <si>
    <t>ml</t>
  </si>
  <si>
    <t xml:space="preserve">P20MISP1     </t>
  </si>
  <si>
    <t>Junta de Aislamiento Columnas 1/2"</t>
  </si>
  <si>
    <t xml:space="preserve">P030320S     </t>
  </si>
  <si>
    <t>Columna C1  0.50 x 0.50 - 16 Ø1", 2 Est Ø3/8"@0.10</t>
  </si>
  <si>
    <t xml:space="preserve">P030321S     </t>
  </si>
  <si>
    <t>Columna C2  0.80 x 0.50 - 16 Ø1", 3 Est Ø3/8"@0.10</t>
  </si>
  <si>
    <t xml:space="preserve">P030322S     </t>
  </si>
  <si>
    <t>Columna C3  0.80 x 0.50 - 20 Ø1-1/4", 3 Est Ø3/8"@0.10</t>
  </si>
  <si>
    <t xml:space="preserve">P030323S     </t>
  </si>
  <si>
    <t>Columna C4  1.00 x 0.50 - 22 Ø1-1/4", 4 Est Ø3/8"@0.10</t>
  </si>
  <si>
    <t xml:space="preserve">P0303281     </t>
  </si>
  <si>
    <t>Rampa de escalera</t>
  </si>
  <si>
    <t>TGIU00301</t>
  </si>
  <si>
    <t xml:space="preserve">TGIU00304    </t>
  </si>
  <si>
    <t>MUROS Y DIVISIONES</t>
  </si>
  <si>
    <t xml:space="preserve">P0415005     </t>
  </si>
  <si>
    <t>Muro Bloques 15x20x40 SNP Ø3/8"@60</t>
  </si>
  <si>
    <t>m²</t>
  </si>
  <si>
    <t>TGIU00304</t>
  </si>
  <si>
    <t xml:space="preserve">TGIU00305    </t>
  </si>
  <si>
    <t>TERMINACIÓN DE SUPERFICIES</t>
  </si>
  <si>
    <t xml:space="preserve">P0501001     </t>
  </si>
  <si>
    <t>Fragüache (e=4mm)</t>
  </si>
  <si>
    <t xml:space="preserve">P0501101     </t>
  </si>
  <si>
    <t>Pañete en muros Interiores e=1.75cm</t>
  </si>
  <si>
    <t xml:space="preserve">P0501102     </t>
  </si>
  <si>
    <t>Pañete liso sobre muros exteriores e=2.00cm</t>
  </si>
  <si>
    <t xml:space="preserve">P0501107     </t>
  </si>
  <si>
    <t>Pañete liso en losa de techo y vigas e=1.75cm</t>
  </si>
  <si>
    <t xml:space="preserve">P0501105     </t>
  </si>
  <si>
    <t>Pañete liso en columnas cuadrada e=1.75cm</t>
  </si>
  <si>
    <t xml:space="preserve">P0502001     </t>
  </si>
  <si>
    <t>Cantos</t>
  </si>
  <si>
    <t xml:space="preserve">P0502054     </t>
  </si>
  <si>
    <t>Mochetas (A=15cm e=2cm)</t>
  </si>
  <si>
    <t>TGIU00305</t>
  </si>
  <si>
    <t xml:space="preserve">TGIU00306    </t>
  </si>
  <si>
    <t>TERMINACIÓN DE PISOS</t>
  </si>
  <si>
    <t xml:space="preserve">P0610001     </t>
  </si>
  <si>
    <t>Piso Porcelanato Interior Apartamento</t>
  </si>
  <si>
    <t xml:space="preserve">P0705010     </t>
  </si>
  <si>
    <t>Zocalos Porcelanato Interior h=10 cm</t>
  </si>
  <si>
    <t xml:space="preserve">P0650001     </t>
  </si>
  <si>
    <t>Piso de cemento pulido</t>
  </si>
  <si>
    <t>TGIU00306</t>
  </si>
  <si>
    <t xml:space="preserve">TGIU00311    </t>
  </si>
  <si>
    <t>TERMINACIÓN DE ESCALERAS</t>
  </si>
  <si>
    <t xml:space="preserve">P1201101     </t>
  </si>
  <si>
    <t>Escalones en escalera incluye zocalos</t>
  </si>
  <si>
    <t xml:space="preserve">P1201201     </t>
  </si>
  <si>
    <t>Piso en descansos escalera</t>
  </si>
  <si>
    <t>TGIU00311</t>
  </si>
  <si>
    <t xml:space="preserve">TGIU00314    </t>
  </si>
  <si>
    <t>PUERTAS</t>
  </si>
  <si>
    <t xml:space="preserve">P1502013     </t>
  </si>
  <si>
    <t>Puerta Polimetalica blanca tipo door tech (0.90-1.00 x2.10)</t>
  </si>
  <si>
    <t>u</t>
  </si>
  <si>
    <t xml:space="preserve">P1501004     </t>
  </si>
  <si>
    <t>Puerta Comercial de aluminio y vidrio (1.00x2.10) batiente</t>
  </si>
  <si>
    <t>TGIU00314</t>
  </si>
  <si>
    <t xml:space="preserve">TGIU00316    </t>
  </si>
  <si>
    <t>PINTURA</t>
  </si>
  <si>
    <t xml:space="preserve">P1801100     </t>
  </si>
  <si>
    <t>Pintura de Base Acrílica</t>
  </si>
  <si>
    <t xml:space="preserve">P1801101     </t>
  </si>
  <si>
    <t>Pintura Acrílica Interior</t>
  </si>
  <si>
    <t xml:space="preserve">P1801111     </t>
  </si>
  <si>
    <t>Pintura Económica en Losas y Vigas</t>
  </si>
  <si>
    <t>TGIU00316</t>
  </si>
  <si>
    <t xml:space="preserve">TGIU00318    </t>
  </si>
  <si>
    <t>MISCELANEOS</t>
  </si>
  <si>
    <t xml:space="preserve">P2201002     </t>
  </si>
  <si>
    <t>Malla Ciclonica 6 pies + Alambre Trinchera</t>
  </si>
  <si>
    <t xml:space="preserve">P07AE004     </t>
  </si>
  <si>
    <t>Paragomas</t>
  </si>
  <si>
    <t xml:space="preserve">PITRL0005    </t>
  </si>
  <si>
    <t>Pintura Tráfico parqueos</t>
  </si>
  <si>
    <t xml:space="preserve">P1201301     </t>
  </si>
  <si>
    <t>Barandas escalera</t>
  </si>
  <si>
    <t>TGIU00318</t>
  </si>
  <si>
    <t xml:space="preserve">TGIU00320    </t>
  </si>
  <si>
    <t>INSTALACION SANITARIA</t>
  </si>
  <si>
    <t xml:space="preserve">A.024CIST    </t>
  </si>
  <si>
    <t>CISTERNA</t>
  </si>
  <si>
    <t xml:space="preserve">MOVIMB       </t>
  </si>
  <si>
    <t xml:space="preserve">Exv01        </t>
  </si>
  <si>
    <t>Excavacion de Material existente con Retroexcavadora</t>
  </si>
  <si>
    <t xml:space="preserve">BoteMat      </t>
  </si>
  <si>
    <t>Bote de Material Producto de las excavaciones</t>
  </si>
  <si>
    <t xml:space="preserve">RELLREP      </t>
  </si>
  <si>
    <t>Relleno de Reposicion</t>
  </si>
  <si>
    <t>MOVIMB</t>
  </si>
  <si>
    <t xml:space="preserve">HORMIMB      </t>
  </si>
  <si>
    <t xml:space="preserve">P0303060     </t>
  </si>
  <si>
    <t>Losa de Piso</t>
  </si>
  <si>
    <t xml:space="preserve">P0303170     </t>
  </si>
  <si>
    <t>Muro H.A. e=0.25m</t>
  </si>
  <si>
    <t xml:space="preserve">LOSTCI       </t>
  </si>
  <si>
    <t>Losa de Techo</t>
  </si>
  <si>
    <t>HORMIMB</t>
  </si>
  <si>
    <t xml:space="preserve">TERMIMB      </t>
  </si>
  <si>
    <t>TERMINACION DE SUPERFICIE</t>
  </si>
  <si>
    <t xml:space="preserve">P0501113     </t>
  </si>
  <si>
    <t>Pañete maestreado</t>
  </si>
  <si>
    <t xml:space="preserve">P1101205     </t>
  </si>
  <si>
    <t>Fino de Fondo</t>
  </si>
  <si>
    <t xml:space="preserve">P1101210     </t>
  </si>
  <si>
    <t>Zabaleta Fondo</t>
  </si>
  <si>
    <t>TERMIMB</t>
  </si>
  <si>
    <t xml:space="preserve">MISCIMB      </t>
  </si>
  <si>
    <t xml:space="preserve">P20MISC1     </t>
  </si>
  <si>
    <t>Tapa de hierro SUMINISTRO INSTALADA</t>
  </si>
  <si>
    <t xml:space="preserve">P1805102     </t>
  </si>
  <si>
    <t>Pintura Impermeabilizante</t>
  </si>
  <si>
    <t>MISCIMB</t>
  </si>
  <si>
    <t>A.024CIST</t>
  </si>
  <si>
    <t xml:space="preserve">A.024EESP    </t>
  </si>
  <si>
    <t>ESTRUCTURAS ESPECIALES</t>
  </si>
  <si>
    <t xml:space="preserve">SAN02.2      </t>
  </si>
  <si>
    <t>Registro de inspección / Pluvial</t>
  </si>
  <si>
    <t>ud</t>
  </si>
  <si>
    <t xml:space="preserve">SAN02.21     </t>
  </si>
  <si>
    <t>Trampa de Grasa</t>
  </si>
  <si>
    <t xml:space="preserve">SAN02.1      </t>
  </si>
  <si>
    <t>Construcción de Septico</t>
  </si>
  <si>
    <t xml:space="preserve">DESR         </t>
  </si>
  <si>
    <t>Desarenador</t>
  </si>
  <si>
    <t>A.024EESP</t>
  </si>
  <si>
    <t xml:space="preserve">A.024BOMB    </t>
  </si>
  <si>
    <t>EQUIPOS DE BOMBEO</t>
  </si>
  <si>
    <t xml:space="preserve">BOMB2        </t>
  </si>
  <si>
    <t>Sistema de Bombeo de Agua Potable</t>
  </si>
  <si>
    <t>A.024BOMB</t>
  </si>
  <si>
    <t xml:space="preserve">A.024APOT    </t>
  </si>
  <si>
    <t>SISTEMA DE AGUA POTABLE FRIA Y CALIENTE</t>
  </si>
  <si>
    <t xml:space="preserve">PB010094     </t>
  </si>
  <si>
    <t>Replanteo de tuberías</t>
  </si>
  <si>
    <t xml:space="preserve">PB010093     </t>
  </si>
  <si>
    <t>Flushing y pruebas de tuberías</t>
  </si>
  <si>
    <t xml:space="preserve">A.0050PPR75  </t>
  </si>
  <si>
    <t>Tubería Ø3/4" PN20 PPR</t>
  </si>
  <si>
    <t xml:space="preserve">A.0050PPR1   </t>
  </si>
  <si>
    <t>Tubería Ø1" PN16 PPR</t>
  </si>
  <si>
    <t xml:space="preserve">A.0050PPR3   </t>
  </si>
  <si>
    <t>Tubería Ø3" PN16 PPR</t>
  </si>
  <si>
    <t xml:space="preserve">A.0050PPR3A  </t>
  </si>
  <si>
    <t>Tubería Ø3" PN16 PPR (Aerea)</t>
  </si>
  <si>
    <t xml:space="preserve">A.0240       </t>
  </si>
  <si>
    <t>Piezas PVC (incluye Tee, reducciones, Codos, Válvulas)</t>
  </si>
  <si>
    <t xml:space="preserve">A.0045CPPR1  </t>
  </si>
  <si>
    <t>Columna Ø1"PN16 PPR</t>
  </si>
  <si>
    <t xml:space="preserve">A.0045CPPR3  </t>
  </si>
  <si>
    <t>Columna Ø3" PN16 PPR</t>
  </si>
  <si>
    <t>A.024APOT</t>
  </si>
  <si>
    <t xml:space="preserve">A.024DAN     </t>
  </si>
  <si>
    <t>SISTEMA DE DRENAJE DE AGUAS NEGRAS</t>
  </si>
  <si>
    <t xml:space="preserve">AC1123       </t>
  </si>
  <si>
    <t>Tubería 3" PVC SDR-41 - Colgada</t>
  </si>
  <si>
    <t xml:space="preserve">A.02103      </t>
  </si>
  <si>
    <t>Tubería soterrada 3" PVC SDR-41</t>
  </si>
  <si>
    <t xml:space="preserve">A.02104      </t>
  </si>
  <si>
    <t>Tubería soterrada 4" PVC SDR-41</t>
  </si>
  <si>
    <t xml:space="preserve">A.02106      </t>
  </si>
  <si>
    <t>Tubería soterrada 6" PVC SDR-41</t>
  </si>
  <si>
    <t xml:space="preserve">A.02107      </t>
  </si>
  <si>
    <t>Tubería soterrada 8" PVC SDR-41</t>
  </si>
  <si>
    <t xml:space="preserve">A.0241       </t>
  </si>
  <si>
    <t>Suministro y colocación de piezas especiales</t>
  </si>
  <si>
    <t xml:space="preserve">A.0043AC     </t>
  </si>
  <si>
    <t>Bajante Descarga Ø1 1/2" PVC SDR-41 (A/C)</t>
  </si>
  <si>
    <t xml:space="preserve">A.0043BD3    </t>
  </si>
  <si>
    <t>Columna de ventilación y Descarga Ø3" PVC SDR-41</t>
  </si>
  <si>
    <t xml:space="preserve">A.0043BD4    </t>
  </si>
  <si>
    <t>Columna de ventilación y Descarga Ø4" PVC SDR-41</t>
  </si>
  <si>
    <t xml:space="preserve">A.0043BD6    </t>
  </si>
  <si>
    <t>Columna de ventilación y Descarga Ø6" PVC SDR-41</t>
  </si>
  <si>
    <t xml:space="preserve">A.0055DP4    </t>
  </si>
  <si>
    <t>Drenaje de piso Ø4"</t>
  </si>
  <si>
    <t>A.024DAN</t>
  </si>
  <si>
    <t xml:space="preserve">A.024SCIN    </t>
  </si>
  <si>
    <t>SISTEMA CONTRA INCENDIOS</t>
  </si>
  <si>
    <t xml:space="preserve">CD3          </t>
  </si>
  <si>
    <t>Tuberia Contra Incendio Ø3" HN (Colgada)</t>
  </si>
  <si>
    <t xml:space="preserve">GCI          </t>
  </si>
  <si>
    <t>Gabinete Contra Incendio</t>
  </si>
  <si>
    <t xml:space="preserve">VRP          </t>
  </si>
  <si>
    <t>Valvula Reguladora de Presion  Ø1 1/2"</t>
  </si>
  <si>
    <t>A.024SCIN</t>
  </si>
  <si>
    <t>TGIU00320</t>
  </si>
  <si>
    <t xml:space="preserve">TGIU00321    </t>
  </si>
  <si>
    <t>INSTALACION ELECTRICA</t>
  </si>
  <si>
    <t xml:space="preserve">A.0101       </t>
  </si>
  <si>
    <t>Panel de distribución (Parqueo N1-N2) tipo "Load Center"</t>
  </si>
  <si>
    <t xml:space="preserve">A.0102       </t>
  </si>
  <si>
    <t>Panel de distribución (A/C N1-N2) tipo "Load Center"</t>
  </si>
  <si>
    <t xml:space="preserve">A.0301       </t>
  </si>
  <si>
    <t>Lampara de parqueo 120V similar a "4APVTLD"</t>
  </si>
  <si>
    <t xml:space="preserve">A.0302       </t>
  </si>
  <si>
    <t>Luminaria 120V, 60Hz</t>
  </si>
  <si>
    <t xml:space="preserve">A.0304       </t>
  </si>
  <si>
    <t>Luminaria de emergencia 120V, 60Hz</t>
  </si>
  <si>
    <t xml:space="preserve">A.0162       </t>
  </si>
  <si>
    <t>Salida de luz en techo</t>
  </si>
  <si>
    <t xml:space="preserve">A.0163       </t>
  </si>
  <si>
    <t>Salidas de luz de pared</t>
  </si>
  <si>
    <t xml:space="preserve">A.0177       </t>
  </si>
  <si>
    <t>Interruptor sencillo</t>
  </si>
  <si>
    <t xml:space="preserve">A.0175       </t>
  </si>
  <si>
    <t>Interruptor Doble</t>
  </si>
  <si>
    <t xml:space="preserve">A.0180       </t>
  </si>
  <si>
    <t>Interruptor sencillo 3W</t>
  </si>
  <si>
    <t xml:space="preserve">A.0166       </t>
  </si>
  <si>
    <t>Salida de tomacorrientes doble, 110V, 1f, 60Hz</t>
  </si>
  <si>
    <t xml:space="preserve">A.0165       </t>
  </si>
  <si>
    <t>Salida de tomacorrientes 220V, 1f, 60Hz</t>
  </si>
  <si>
    <t xml:space="preserve">A.0167       </t>
  </si>
  <si>
    <t>Salida de tomacorrientes 208V, 3f, 60Hz</t>
  </si>
  <si>
    <t xml:space="preserve">A.0103       </t>
  </si>
  <si>
    <t>Panel Eléctrico 12 Espacios</t>
  </si>
  <si>
    <t xml:space="preserve">A.0150       </t>
  </si>
  <si>
    <t>Reg. Eléctrico  y / o telefónico</t>
  </si>
  <si>
    <t>TGIU00321</t>
  </si>
  <si>
    <t>TGIU0003</t>
  </si>
  <si>
    <t xml:space="preserve">TGIU0004     </t>
  </si>
  <si>
    <t>NIVEL 1 (LOBBY-PARQUEOS) N0.00</t>
  </si>
  <si>
    <t xml:space="preserve">TGIU00401    </t>
  </si>
  <si>
    <t xml:space="preserve">P03030BX     </t>
  </si>
  <si>
    <t>Viga Portico BX</t>
  </si>
  <si>
    <t xml:space="preserve">P03030DX     </t>
  </si>
  <si>
    <t>Viga Portico DX</t>
  </si>
  <si>
    <t xml:space="preserve">P03030EX     </t>
  </si>
  <si>
    <t>Viga Portico EX</t>
  </si>
  <si>
    <t xml:space="preserve">P03030FX     </t>
  </si>
  <si>
    <t>Viga Portico FX</t>
  </si>
  <si>
    <t xml:space="preserve">P030302Y     </t>
  </si>
  <si>
    <t>Viga Portico 2Y</t>
  </si>
  <si>
    <t xml:space="preserve">P030304Y     </t>
  </si>
  <si>
    <t>Viga Portico 4Y</t>
  </si>
  <si>
    <t xml:space="preserve">P030306Y     </t>
  </si>
  <si>
    <t>Viga Portico 6Y</t>
  </si>
  <si>
    <t xml:space="preserve">P03035E1     </t>
  </si>
  <si>
    <t>Losa de Entrepiso e=0.15m</t>
  </si>
  <si>
    <t xml:space="preserve">P0303590     </t>
  </si>
  <si>
    <t>Losa Aligerada H.A. e=0.28m</t>
  </si>
  <si>
    <t>TGIU00401</t>
  </si>
  <si>
    <t xml:space="preserve">TGIU00404    </t>
  </si>
  <si>
    <t>TGIU00404</t>
  </si>
  <si>
    <t xml:space="preserve">TGIU00405    </t>
  </si>
  <si>
    <t>TGIU00405</t>
  </si>
  <si>
    <t xml:space="preserve">TGIU00406    </t>
  </si>
  <si>
    <t>TGIU00406</t>
  </si>
  <si>
    <t xml:space="preserve">TGIU00408    </t>
  </si>
  <si>
    <t>REVESTIMIENTOS</t>
  </si>
  <si>
    <t xml:space="preserve">P08R1012     </t>
  </si>
  <si>
    <t>Revestimiento de cerámica (30 x 60)</t>
  </si>
  <si>
    <t>TGIU00408</t>
  </si>
  <si>
    <t xml:space="preserve">TGIU00411    </t>
  </si>
  <si>
    <t>TGIU00411</t>
  </si>
  <si>
    <t xml:space="preserve">TGIU00414    </t>
  </si>
  <si>
    <t xml:space="preserve">P1201300     </t>
  </si>
  <si>
    <t>Puerta de Metal Planta de Emergencia</t>
  </si>
  <si>
    <t xml:space="preserve">P1503010     </t>
  </si>
  <si>
    <t>Puerta Batiente, Vidrio Templado (0.93 x 2.30)</t>
  </si>
  <si>
    <t>TGIU00414</t>
  </si>
  <si>
    <t xml:space="preserve">TGIU00415    </t>
  </si>
  <si>
    <t>VENTANAS</t>
  </si>
  <si>
    <t xml:space="preserve">P1601045     </t>
  </si>
  <si>
    <t>Ventanas Corredera Aluminio y Vidrio</t>
  </si>
  <si>
    <t>p²</t>
  </si>
  <si>
    <t xml:space="preserve">P1601240     </t>
  </si>
  <si>
    <t>Ventanas Vidrio Fijo Templado</t>
  </si>
  <si>
    <t>TGIU00415</t>
  </si>
  <si>
    <t xml:space="preserve">TGIU00416    </t>
  </si>
  <si>
    <t>TGIU00416</t>
  </si>
  <si>
    <t xml:space="preserve">TGIU00418    </t>
  </si>
  <si>
    <t xml:space="preserve">P1201500     </t>
  </si>
  <si>
    <t>Puerta Enrrollable, Aluminio Lacado Blanco (3.97m x 2.65m)</t>
  </si>
  <si>
    <t xml:space="preserve">P1201505     </t>
  </si>
  <si>
    <t>Puerta Enrrollable, Aluminio Lacado Blanco (4.05m x 2.65m)</t>
  </si>
  <si>
    <t xml:space="preserve">P1201510     </t>
  </si>
  <si>
    <t>Puerta Enrrollable, Aluminio Lacado Blanco (3.40m x 2.65m)</t>
  </si>
  <si>
    <t xml:space="preserve">P1201515     </t>
  </si>
  <si>
    <t>Puerta Enrrollable, Aluminio Lacado Blanco (4.79m x 2.65m)</t>
  </si>
  <si>
    <t xml:space="preserve">P1201520     </t>
  </si>
  <si>
    <t>Puerta Enrrollable, Aluminio Lacado Blanco (4.67m x 2.65m)</t>
  </si>
  <si>
    <t xml:space="preserve">P07AE003     </t>
  </si>
  <si>
    <t>Aceras de hormigón</t>
  </si>
  <si>
    <t>TGIU00418</t>
  </si>
  <si>
    <t xml:space="preserve">TGIU00420    </t>
  </si>
  <si>
    <t xml:space="preserve">A.024APOT01  </t>
  </si>
  <si>
    <t>A.024APOT01</t>
  </si>
  <si>
    <t xml:space="preserve">A.024DAN01   </t>
  </si>
  <si>
    <t xml:space="preserve">A.0210PVC2   </t>
  </si>
  <si>
    <t>Tubería 2" PVC SDR-41</t>
  </si>
  <si>
    <t xml:space="preserve">A.0210PVC3   </t>
  </si>
  <si>
    <t>Tubería 3" PVC SDR-41</t>
  </si>
  <si>
    <t xml:space="preserve">A.0210PVC4   </t>
  </si>
  <si>
    <t>Tubería 4" PVC SDR-41</t>
  </si>
  <si>
    <t xml:space="preserve">A.0215APVC3  </t>
  </si>
  <si>
    <t>Tubería Colgada 3" PVC SDR-41</t>
  </si>
  <si>
    <t xml:space="preserve">A.0215APVC4  </t>
  </si>
  <si>
    <t>Tubería Colgada 4" PVC SDR-41</t>
  </si>
  <si>
    <t xml:space="preserve">A.0215APVC6  </t>
  </si>
  <si>
    <t>Tubería Colgada 6" PVC SDR-41</t>
  </si>
  <si>
    <t xml:space="preserve">A.0040BP3    </t>
  </si>
  <si>
    <t>Bajante Pluvial 3"  PVC SDR-41</t>
  </si>
  <si>
    <t xml:space="preserve">A.0055DP2    </t>
  </si>
  <si>
    <t>Drenaje de piso Ø2"</t>
  </si>
  <si>
    <t>A.024DAN01</t>
  </si>
  <si>
    <t xml:space="preserve">A.024SCIN01  </t>
  </si>
  <si>
    <t>A.024SCIN01</t>
  </si>
  <si>
    <t xml:space="preserve">A.024ASA01   </t>
  </si>
  <si>
    <t>APARATOS SANITARIOS</t>
  </si>
  <si>
    <t xml:space="preserve">A.0072       </t>
  </si>
  <si>
    <t>Inodoro ECO</t>
  </si>
  <si>
    <t xml:space="preserve">A.0080       </t>
  </si>
  <si>
    <t>Lavamanos ECO</t>
  </si>
  <si>
    <t>A.024ASA01</t>
  </si>
  <si>
    <t>TGIU00420</t>
  </si>
  <si>
    <t xml:space="preserve">TGIU00421    </t>
  </si>
  <si>
    <t xml:space="preserve">A.0105       </t>
  </si>
  <si>
    <t>Panel Eléctrico 24 Espacios</t>
  </si>
  <si>
    <t>TGIU00421</t>
  </si>
  <si>
    <t>TGIU0004</t>
  </si>
  <si>
    <t xml:space="preserve">TGIU0005     </t>
  </si>
  <si>
    <t>NIVEL 2 (PARQUEOS) N3.05</t>
  </si>
  <si>
    <t xml:space="preserve">TGIU00501    </t>
  </si>
  <si>
    <t xml:space="preserve">P0303165     </t>
  </si>
  <si>
    <t>Muro de H.A. 0.20m Ø1/2"@0.20 Vert-AC, Ø3/8"@0.20 Hor-AC</t>
  </si>
  <si>
    <t xml:space="preserve">P03030AX     </t>
  </si>
  <si>
    <t>Viga Portico AX (V1)</t>
  </si>
  <si>
    <t xml:space="preserve">P03030GX     </t>
  </si>
  <si>
    <t>Viga Portico GX ()</t>
  </si>
  <si>
    <t xml:space="preserve">P030301Y     </t>
  </si>
  <si>
    <t>Viga Portico 1Y ()</t>
  </si>
  <si>
    <t xml:space="preserve">P030307Y     </t>
  </si>
  <si>
    <t>Viga Portico 7Y()</t>
  </si>
  <si>
    <t xml:space="preserve">P03030V1     </t>
  </si>
  <si>
    <t>Viga V1() 0.20 x 0.50_4Ø1/2" Est Ø3/8"@0.10, 0.15</t>
  </si>
  <si>
    <t xml:space="preserve">P0303591     </t>
  </si>
  <si>
    <t>TGIU00501</t>
  </si>
  <si>
    <t xml:space="preserve">TGIU00504    </t>
  </si>
  <si>
    <t>TGIU00504</t>
  </si>
  <si>
    <t xml:space="preserve">TGIU00505    </t>
  </si>
  <si>
    <t>TGIU00505</t>
  </si>
  <si>
    <t xml:space="preserve">TGIU00506    </t>
  </si>
  <si>
    <t>TGIU00506</t>
  </si>
  <si>
    <t xml:space="preserve">TGIU00508    </t>
  </si>
  <si>
    <t xml:space="preserve">TGIU00511    </t>
  </si>
  <si>
    <t>TGIU00511</t>
  </si>
  <si>
    <t xml:space="preserve">TGIU00514    </t>
  </si>
  <si>
    <t>TGIU00514</t>
  </si>
  <si>
    <t xml:space="preserve">TGIU00515    </t>
  </si>
  <si>
    <t xml:space="preserve">TGIU00516    </t>
  </si>
  <si>
    <t>TGIU00516</t>
  </si>
  <si>
    <t xml:space="preserve">TGIU00518    </t>
  </si>
  <si>
    <t>TGIU00518</t>
  </si>
  <si>
    <t xml:space="preserve">TGIU00520    </t>
  </si>
  <si>
    <t xml:space="preserve">A.024APOT02  </t>
  </si>
  <si>
    <t>A.024APOT02</t>
  </si>
  <si>
    <t xml:space="preserve">A.024DAN02   </t>
  </si>
  <si>
    <t>A.024DAN02</t>
  </si>
  <si>
    <t xml:space="preserve">A.024SCIN02  </t>
  </si>
  <si>
    <t>A.024SCIN02</t>
  </si>
  <si>
    <t>TGIU00520</t>
  </si>
  <si>
    <t xml:space="preserve">TGIU00521    </t>
  </si>
  <si>
    <t>TGIU00521</t>
  </si>
  <si>
    <t>TGIU0005</t>
  </si>
  <si>
    <t xml:space="preserve">TGIU0006     </t>
  </si>
  <si>
    <t>NIVEL 3 (PARQUEOS) N5.60</t>
  </si>
  <si>
    <t xml:space="preserve">TGIU00601    </t>
  </si>
  <si>
    <t xml:space="preserve">P0303595     </t>
  </si>
  <si>
    <t>Losa Aligerada H.A. e=0.25m</t>
  </si>
  <si>
    <t>TGIU00601</t>
  </si>
  <si>
    <t xml:space="preserve">TGIU00604    </t>
  </si>
  <si>
    <t>TGIU00604</t>
  </si>
  <si>
    <t xml:space="preserve">TGIU00605    </t>
  </si>
  <si>
    <t>TGIU00605</t>
  </si>
  <si>
    <t xml:space="preserve">TGIU00606    </t>
  </si>
  <si>
    <t>TGIU00606</t>
  </si>
  <si>
    <t xml:space="preserve">TGIU00611    </t>
  </si>
  <si>
    <t>TGIU00611</t>
  </si>
  <si>
    <t xml:space="preserve">TGIU00614    </t>
  </si>
  <si>
    <t>TGIU00614</t>
  </si>
  <si>
    <t xml:space="preserve">TGIU00616    </t>
  </si>
  <si>
    <t>TGIU00616</t>
  </si>
  <si>
    <t xml:space="preserve">TGIU00618    </t>
  </si>
  <si>
    <t>TGIU00618</t>
  </si>
  <si>
    <t xml:space="preserve">TGIU00620    </t>
  </si>
  <si>
    <t xml:space="preserve">A.024APOT03  </t>
  </si>
  <si>
    <t>A.024APOT03</t>
  </si>
  <si>
    <t xml:space="preserve">A.024DAN03   </t>
  </si>
  <si>
    <t>A.024DAN03</t>
  </si>
  <si>
    <t xml:space="preserve">A.024SCIN03  </t>
  </si>
  <si>
    <t>A.024SCIN03</t>
  </si>
  <si>
    <t>TGIU00620</t>
  </si>
  <si>
    <t xml:space="preserve">TGIU00621    </t>
  </si>
  <si>
    <t>TGIU00621</t>
  </si>
  <si>
    <t>TGIU0006</t>
  </si>
  <si>
    <t xml:space="preserve">TGIU0007     </t>
  </si>
  <si>
    <t>NIVEL 4 APTOS &amp; AC N10.30</t>
  </si>
  <si>
    <t xml:space="preserve">TGIU00701    </t>
  </si>
  <si>
    <t>TGIU00701</t>
  </si>
  <si>
    <t xml:space="preserve">TGIU00704    </t>
  </si>
  <si>
    <t xml:space="preserve">P0410010     </t>
  </si>
  <si>
    <t>Muro Bloques 10x20x40 SNP Ø3/8"@80</t>
  </si>
  <si>
    <t>TGIU00704</t>
  </si>
  <si>
    <t xml:space="preserve">TGIU00705    </t>
  </si>
  <si>
    <t xml:space="preserve">P0501111     </t>
  </si>
  <si>
    <t>Duroyeso en muro interirores</t>
  </si>
  <si>
    <t>TGIU00705</t>
  </si>
  <si>
    <t xml:space="preserve">TGIU00706    </t>
  </si>
  <si>
    <t xml:space="preserve">P0610105     </t>
  </si>
  <si>
    <t>Piso Antideslizante exterior</t>
  </si>
  <si>
    <t xml:space="preserve">P0705015     </t>
  </si>
  <si>
    <t>Zocalos Exterior h=12 cm</t>
  </si>
  <si>
    <t>TGIU00706</t>
  </si>
  <si>
    <t xml:space="preserve">TGIU00708    </t>
  </si>
  <si>
    <t>TGIU00708</t>
  </si>
  <si>
    <t xml:space="preserve">TGIU00711    </t>
  </si>
  <si>
    <t>TGIU00711</t>
  </si>
  <si>
    <t xml:space="preserve">TGIU00714    </t>
  </si>
  <si>
    <t xml:space="preserve">P1501050     </t>
  </si>
  <si>
    <t>Puerta Madera Roble, 1.00m x 2.10m Principal</t>
  </si>
  <si>
    <t xml:space="preserve">P1501051     </t>
  </si>
  <si>
    <t>Puerta Madera Andiroba, 0.80-0.90m x 2.10m Interior</t>
  </si>
  <si>
    <t xml:space="preserve">P1501060     </t>
  </si>
  <si>
    <t>Puerta Madera Closet en Andiroba Interior</t>
  </si>
  <si>
    <t>TGIU00714</t>
  </si>
  <si>
    <t xml:space="preserve">TGIU00715    </t>
  </si>
  <si>
    <t>TGIU00715</t>
  </si>
  <si>
    <t xml:space="preserve">TGIU00716    </t>
  </si>
  <si>
    <t xml:space="preserve">P1801102     </t>
  </si>
  <si>
    <t>Pintura Acrílica Exterior</t>
  </si>
  <si>
    <t>TGIU00716</t>
  </si>
  <si>
    <t xml:space="preserve">TGIU00717    </t>
  </si>
  <si>
    <t>COCINA</t>
  </si>
  <si>
    <t xml:space="preserve">A.0192       </t>
  </si>
  <si>
    <t>Tope en Cocina (Granito Importado)</t>
  </si>
  <si>
    <t>pie</t>
  </si>
  <si>
    <t xml:space="preserve">A.0067       </t>
  </si>
  <si>
    <t>Gabinetes en Piso</t>
  </si>
  <si>
    <t xml:space="preserve">A.0065       </t>
  </si>
  <si>
    <t>Gabinetes en Pared</t>
  </si>
  <si>
    <t>TGIU00717</t>
  </si>
  <si>
    <t xml:space="preserve">TGIU00718    </t>
  </si>
  <si>
    <t xml:space="preserve">P1201310     </t>
  </si>
  <si>
    <t>Barandas balcon</t>
  </si>
  <si>
    <t xml:space="preserve">P0507001     </t>
  </si>
  <si>
    <t>Relleno de Mortero 0.10m</t>
  </si>
  <si>
    <t xml:space="preserve">A.0188       </t>
  </si>
  <si>
    <t>Suministro y Colocación de Plafones Densglass</t>
  </si>
  <si>
    <t>TGIU00718</t>
  </si>
  <si>
    <t xml:space="preserve">TGIU00720    </t>
  </si>
  <si>
    <t xml:space="preserve">A.024APOT04  </t>
  </si>
  <si>
    <t xml:space="preserve">A.0202A      </t>
  </si>
  <si>
    <t>Tubería Ø1/2" PPR</t>
  </si>
  <si>
    <t xml:space="preserve">A.0045CPPR15 </t>
  </si>
  <si>
    <t>Columna Ø1.5"PN16 PPR</t>
  </si>
  <si>
    <t xml:space="preserve">A.0045CPPR2  </t>
  </si>
  <si>
    <t>Columna Ø2" PN16 PPR</t>
  </si>
  <si>
    <t>A.024APOT04</t>
  </si>
  <si>
    <t xml:space="preserve">A.024DAN04   </t>
  </si>
  <si>
    <t>A.0215APVC2.1</t>
  </si>
  <si>
    <t>Tubería Colgada 2" PVC SDR-41</t>
  </si>
  <si>
    <t>A.024DAN04</t>
  </si>
  <si>
    <t xml:space="preserve">A.024SCIN04  </t>
  </si>
  <si>
    <t>A.024SCIN04</t>
  </si>
  <si>
    <t xml:space="preserve">A.024ASA04   </t>
  </si>
  <si>
    <t xml:space="preserve">A.0073       </t>
  </si>
  <si>
    <t>Suministro y colocación  inodoro c/asiento</t>
  </si>
  <si>
    <t xml:space="preserve">A.0081       </t>
  </si>
  <si>
    <t>Suministro y colocación Lavamanos Pedestal</t>
  </si>
  <si>
    <t xml:space="preserve">DUCH         </t>
  </si>
  <si>
    <t>Suministro y colocación ducha</t>
  </si>
  <si>
    <t xml:space="preserve">A.0243       </t>
  </si>
  <si>
    <t>Accesorios de Baño (espejos, toalleros, porta rollos)</t>
  </si>
  <si>
    <t xml:space="preserve">P2205084     </t>
  </si>
  <si>
    <t>Suministro y colocación fregadero doble</t>
  </si>
  <si>
    <t xml:space="preserve">P2205050     </t>
  </si>
  <si>
    <t>Suministro y colocación de Lavadero</t>
  </si>
  <si>
    <t xml:space="preserve">P2205080     </t>
  </si>
  <si>
    <t>Salidas para Lavadora</t>
  </si>
  <si>
    <t xml:space="preserve">A.0263       </t>
  </si>
  <si>
    <t>Jacuzzy</t>
  </si>
  <si>
    <t>A.024ASA04</t>
  </si>
  <si>
    <t xml:space="preserve">A.024M04     </t>
  </si>
  <si>
    <t xml:space="preserve">P2205150     </t>
  </si>
  <si>
    <t>Extraccion Mecanica de Baños</t>
  </si>
  <si>
    <t xml:space="preserve">CAL          </t>
  </si>
  <si>
    <t>Suministro e Instalacion de Calentador Electrico</t>
  </si>
  <si>
    <t>A.024M04</t>
  </si>
  <si>
    <t>TGIU00720</t>
  </si>
  <si>
    <t xml:space="preserve">TGIU00721    </t>
  </si>
  <si>
    <t xml:space="preserve">TIMB         </t>
  </si>
  <si>
    <t>Timbre</t>
  </si>
  <si>
    <t xml:space="preserve">BOTIMB       </t>
  </si>
  <si>
    <t>Boton de timbre</t>
  </si>
  <si>
    <t xml:space="preserve">A.0164.1     </t>
  </si>
  <si>
    <t>Salida de Intercom</t>
  </si>
  <si>
    <t xml:space="preserve">A.0164       </t>
  </si>
  <si>
    <t>Salida de teléfono y Data</t>
  </si>
  <si>
    <t>TGIU00721</t>
  </si>
  <si>
    <t>TGIU0007</t>
  </si>
  <si>
    <t xml:space="preserve">TGIU0008     </t>
  </si>
  <si>
    <t>NIVEL 5 APTOS N13.54 (N5-8)</t>
  </si>
  <si>
    <t xml:space="preserve">TGIU00801    </t>
  </si>
  <si>
    <t xml:space="preserve">P030323      </t>
  </si>
  <si>
    <t>Columna C4  1.00 x 0.50 - 22 Ø1", 4 Est Ø3/8"@0.10</t>
  </si>
  <si>
    <t xml:space="preserve">P030304.Y    </t>
  </si>
  <si>
    <t>Viga Portico 4.5Y (V1)</t>
  </si>
  <si>
    <t xml:space="preserve">P0303596     </t>
  </si>
  <si>
    <t>Losa Aligerada H.A. e=0.25m N5</t>
  </si>
  <si>
    <t>TGIU00801</t>
  </si>
  <si>
    <t xml:space="preserve">TGIU00804    </t>
  </si>
  <si>
    <t>TGIU00804</t>
  </si>
  <si>
    <t xml:space="preserve">TGIU00805    </t>
  </si>
  <si>
    <t>TGIU00805</t>
  </si>
  <si>
    <t xml:space="preserve">TGIU00806    </t>
  </si>
  <si>
    <t>TGIU00806</t>
  </si>
  <si>
    <t xml:space="preserve">TGIU00808    </t>
  </si>
  <si>
    <t>TGIU00808</t>
  </si>
  <si>
    <t xml:space="preserve">TGIU00811    </t>
  </si>
  <si>
    <t>TGIU00811</t>
  </si>
  <si>
    <t xml:space="preserve">TGIU00814    </t>
  </si>
  <si>
    <t>TGIU00814</t>
  </si>
  <si>
    <t xml:space="preserve">TGIU00815    </t>
  </si>
  <si>
    <t>TGIU00815</t>
  </si>
  <si>
    <t xml:space="preserve">TGIU00816    </t>
  </si>
  <si>
    <t>TGIU00816</t>
  </si>
  <si>
    <t xml:space="preserve">TGIU00817    </t>
  </si>
  <si>
    <t>TGIU00817</t>
  </si>
  <si>
    <t xml:space="preserve">TGIU00818    </t>
  </si>
  <si>
    <t xml:space="preserve">DENSG        </t>
  </si>
  <si>
    <t>Muro en Densglass</t>
  </si>
  <si>
    <t xml:space="preserve">DENSG2       </t>
  </si>
  <si>
    <t>Cara en Densglass</t>
  </si>
  <si>
    <t>TGIU00818</t>
  </si>
  <si>
    <t xml:space="preserve">TGIU00820    </t>
  </si>
  <si>
    <t xml:space="preserve">A.024APOT05  </t>
  </si>
  <si>
    <t>A.024APOT05</t>
  </si>
  <si>
    <t xml:space="preserve">A.024DAN05   </t>
  </si>
  <si>
    <t>A.024DAN05</t>
  </si>
  <si>
    <t xml:space="preserve">A.024SCIN05  </t>
  </si>
  <si>
    <t>A.024SCIN05</t>
  </si>
  <si>
    <t xml:space="preserve">A.024ASA05   </t>
  </si>
  <si>
    <t>A.024ASA05</t>
  </si>
  <si>
    <t xml:space="preserve">A.024M05     </t>
  </si>
  <si>
    <t>A.024M05</t>
  </si>
  <si>
    <t>TGIU00820</t>
  </si>
  <si>
    <t xml:space="preserve">TGIU00821    </t>
  </si>
  <si>
    <t>TGIU00821</t>
  </si>
  <si>
    <t>TGIU0008</t>
  </si>
  <si>
    <t xml:space="preserve">TGIU0009     </t>
  </si>
  <si>
    <t>NIVEL 6 APTOS N16.78 (N5-8)</t>
  </si>
  <si>
    <t>TGIU0009</t>
  </si>
  <si>
    <t xml:space="preserve">TGIU0010     </t>
  </si>
  <si>
    <t>NIVEL 7 APTOS N20.02 (N5-8)</t>
  </si>
  <si>
    <t>TGIU0010</t>
  </si>
  <si>
    <t xml:space="preserve">TGIU0011     </t>
  </si>
  <si>
    <t>NIVEL 8 APTOS N23.26 (N5-8)</t>
  </si>
  <si>
    <t>TGIU0011</t>
  </si>
  <si>
    <t xml:space="preserve">TGIU0012     </t>
  </si>
  <si>
    <t>NIVEL 9 APTOS N26.50 (N9-12)</t>
  </si>
  <si>
    <t xml:space="preserve">TGIU01201    </t>
  </si>
  <si>
    <t xml:space="preserve">P030322      </t>
  </si>
  <si>
    <t>Columna C3  0.80 x 0.50 - 20 Ø1", 3 Est Ø3/8"@0.10</t>
  </si>
  <si>
    <t xml:space="preserve">P030323.     </t>
  </si>
  <si>
    <t>Columna C4  1.00 x 0.50 - 16 Ø1", 4 Est Ø3/8"@0.10</t>
  </si>
  <si>
    <t>TGIU01201</t>
  </si>
  <si>
    <t xml:space="preserve">TGIU01204    </t>
  </si>
  <si>
    <t>TGIU01204</t>
  </si>
  <si>
    <t xml:space="preserve">TGIU01205    </t>
  </si>
  <si>
    <t>TGIU01205</t>
  </si>
  <si>
    <t xml:space="preserve">TGIU01206    </t>
  </si>
  <si>
    <t>TGIU01206</t>
  </si>
  <si>
    <t xml:space="preserve">TGIU01208    </t>
  </si>
  <si>
    <t>TGIU01208</t>
  </si>
  <si>
    <t xml:space="preserve">TGIU01211    </t>
  </si>
  <si>
    <t>TGIU01211</t>
  </si>
  <si>
    <t xml:space="preserve">TGIU01214    </t>
  </si>
  <si>
    <t>TGIU01214</t>
  </si>
  <si>
    <t xml:space="preserve">TGIU01215    </t>
  </si>
  <si>
    <t>TGIU01215</t>
  </si>
  <si>
    <t xml:space="preserve">TGIU01216    </t>
  </si>
  <si>
    <t>TGIU01216</t>
  </si>
  <si>
    <t xml:space="preserve">TGIU01217    </t>
  </si>
  <si>
    <t>TGIU01217</t>
  </si>
  <si>
    <t xml:space="preserve">TGIU01218    </t>
  </si>
  <si>
    <t>TGIU01218</t>
  </si>
  <si>
    <t xml:space="preserve">TGIU01220    </t>
  </si>
  <si>
    <t xml:space="preserve">A.024APOT09  </t>
  </si>
  <si>
    <t>A.024APOT09</t>
  </si>
  <si>
    <t xml:space="preserve">A.024DAN09   </t>
  </si>
  <si>
    <t>A.024DAN09</t>
  </si>
  <si>
    <t xml:space="preserve">A.024SCIN09  </t>
  </si>
  <si>
    <t>A.024SCIN09</t>
  </si>
  <si>
    <t xml:space="preserve">A.024ASA09   </t>
  </si>
  <si>
    <t>A.024ASA09</t>
  </si>
  <si>
    <t xml:space="preserve">A.024M09     </t>
  </si>
  <si>
    <t>A.024M09</t>
  </si>
  <si>
    <t>TGIU01220</t>
  </si>
  <si>
    <t xml:space="preserve">TGIU01221    </t>
  </si>
  <si>
    <t>TGIU01221</t>
  </si>
  <si>
    <t>TGIU0012</t>
  </si>
  <si>
    <t xml:space="preserve">TGIU0013     </t>
  </si>
  <si>
    <t>NIVEL 10 APTOS N29.74 (N9-12)</t>
  </si>
  <si>
    <t>TGIU0013</t>
  </si>
  <si>
    <t xml:space="preserve">TGIU0014     </t>
  </si>
  <si>
    <t>NIVEL 11 APTOS N32.98 (N9-12)</t>
  </si>
  <si>
    <t>TGIU0014</t>
  </si>
  <si>
    <t xml:space="preserve">TGIU0015     </t>
  </si>
  <si>
    <t>NIVEL 12 APTOS N36.22 (N9-12)</t>
  </si>
  <si>
    <t>TGIU0015</t>
  </si>
  <si>
    <t xml:space="preserve">TGIU0016     </t>
  </si>
  <si>
    <t>NIVEL 13 APTOS / PH N36.46</t>
  </si>
  <si>
    <t xml:space="preserve">TGIU01601    </t>
  </si>
  <si>
    <t>TGIU01601</t>
  </si>
  <si>
    <t xml:space="preserve">TGIU01604    </t>
  </si>
  <si>
    <t>TGIU01604</t>
  </si>
  <si>
    <t xml:space="preserve">TGIU01605    </t>
  </si>
  <si>
    <t>TGIU01605</t>
  </si>
  <si>
    <t xml:space="preserve">TGIU01606    </t>
  </si>
  <si>
    <t>TGIU01606</t>
  </si>
  <si>
    <t xml:space="preserve">TGIU01608    </t>
  </si>
  <si>
    <t>TGIU01608</t>
  </si>
  <si>
    <t xml:space="preserve">TGIU01611    </t>
  </si>
  <si>
    <t>TGIU01611</t>
  </si>
  <si>
    <t xml:space="preserve">TGIU01614    </t>
  </si>
  <si>
    <t>TGIU01614</t>
  </si>
  <si>
    <t xml:space="preserve">TGIU01615    </t>
  </si>
  <si>
    <t>TGIU01615</t>
  </si>
  <si>
    <t xml:space="preserve">TGIU01616    </t>
  </si>
  <si>
    <t>TGIU01616</t>
  </si>
  <si>
    <t xml:space="preserve">TGIU01617    </t>
  </si>
  <si>
    <t>TGIU01617</t>
  </si>
  <si>
    <t xml:space="preserve">TGIU01618    </t>
  </si>
  <si>
    <t>TGIU01618</t>
  </si>
  <si>
    <t xml:space="preserve">TGIU01620    </t>
  </si>
  <si>
    <t xml:space="preserve">A.024APOT13  </t>
  </si>
  <si>
    <t>A.024APOT13</t>
  </si>
  <si>
    <t xml:space="preserve">A.024DAN13   </t>
  </si>
  <si>
    <t>A.024DAN13</t>
  </si>
  <si>
    <t xml:space="preserve">A.024SCIN13  </t>
  </si>
  <si>
    <t>A.024SCIN13</t>
  </si>
  <si>
    <t xml:space="preserve">A.024ASA13   </t>
  </si>
  <si>
    <t>A.024ASA13</t>
  </si>
  <si>
    <t xml:space="preserve">A.024M13     </t>
  </si>
  <si>
    <t>A.024M13</t>
  </si>
  <si>
    <t>TGIU01620</t>
  </si>
  <si>
    <t xml:space="preserve">TGIU01621    </t>
  </si>
  <si>
    <t>TGIU01621</t>
  </si>
  <si>
    <t>TGIU0016</t>
  </si>
  <si>
    <t xml:space="preserve">TGIU0017     </t>
  </si>
  <si>
    <t>NIVEL 14 PH / GYM N42.70</t>
  </si>
  <si>
    <t xml:space="preserve">TGIU01701    </t>
  </si>
  <si>
    <t xml:space="preserve">P030303Y     </t>
  </si>
  <si>
    <t>Viga Portico (V2)</t>
  </si>
  <si>
    <t>TGIU01701</t>
  </si>
  <si>
    <t xml:space="preserve">TGIU01704    </t>
  </si>
  <si>
    <t>TGIU01704</t>
  </si>
  <si>
    <t xml:space="preserve">TGIU01705    </t>
  </si>
  <si>
    <t>TGIU01705</t>
  </si>
  <si>
    <t xml:space="preserve">TGIU01706    </t>
  </si>
  <si>
    <t>TGIU01706</t>
  </si>
  <si>
    <t xml:space="preserve">TGIU01708    </t>
  </si>
  <si>
    <t>TGIU01708</t>
  </si>
  <si>
    <t xml:space="preserve">TGIU01711    </t>
  </si>
  <si>
    <t>TGIU01711</t>
  </si>
  <si>
    <t xml:space="preserve">TGIU01714    </t>
  </si>
  <si>
    <t>TGIU01714</t>
  </si>
  <si>
    <t xml:space="preserve">TGIU01715    </t>
  </si>
  <si>
    <t>TGIU01715</t>
  </si>
  <si>
    <t xml:space="preserve">TGIU01716    </t>
  </si>
  <si>
    <t>TGIU01716</t>
  </si>
  <si>
    <t xml:space="preserve">TGIU01717    </t>
  </si>
  <si>
    <t>TGIU01717</t>
  </si>
  <si>
    <t xml:space="preserve">TGIU01718    </t>
  </si>
  <si>
    <t>TGIU01718</t>
  </si>
  <si>
    <t xml:space="preserve">TGIU01720    </t>
  </si>
  <si>
    <t xml:space="preserve">A.024APOT14  </t>
  </si>
  <si>
    <t>A.024APOT14</t>
  </si>
  <si>
    <t xml:space="preserve">A.024DAN14   </t>
  </si>
  <si>
    <t>A.024DAN14</t>
  </si>
  <si>
    <t xml:space="preserve">A.024SCIN14  </t>
  </si>
  <si>
    <t>A.024SCIN14</t>
  </si>
  <si>
    <t xml:space="preserve">A.024ASA14   </t>
  </si>
  <si>
    <t>A.024ASA14</t>
  </si>
  <si>
    <t xml:space="preserve">A.024M14     </t>
  </si>
  <si>
    <t>A.024M14</t>
  </si>
  <si>
    <t>TGIU01720</t>
  </si>
  <si>
    <t xml:space="preserve">TGIU01721    </t>
  </si>
  <si>
    <t>TGIU01721</t>
  </si>
  <si>
    <t>TGIU0017</t>
  </si>
  <si>
    <t xml:space="preserve">TGIU0018     </t>
  </si>
  <si>
    <t>TECHO N45.94</t>
  </si>
  <si>
    <t xml:space="preserve">TGIU01801    </t>
  </si>
  <si>
    <t>TGIU01801</t>
  </si>
  <si>
    <t xml:space="preserve">TGIU01804    </t>
  </si>
  <si>
    <t>TGIU01804</t>
  </si>
  <si>
    <t xml:space="preserve">TGIU01805    </t>
  </si>
  <si>
    <t>TGIU01805</t>
  </si>
  <si>
    <t xml:space="preserve">TGIU01816    </t>
  </si>
  <si>
    <t>TGIU01816</t>
  </si>
  <si>
    <t xml:space="preserve">TGIU01812    </t>
  </si>
  <si>
    <t>TERMINACIÓN DE TECHO</t>
  </si>
  <si>
    <t xml:space="preserve">A.0059       </t>
  </si>
  <si>
    <t>Fino de Techo</t>
  </si>
  <si>
    <t xml:space="preserve">A.0228       </t>
  </si>
  <si>
    <t>Zabaleta de Techo</t>
  </si>
  <si>
    <t xml:space="preserve">A.0071       </t>
  </si>
  <si>
    <t>Impermeabilizante lona asfáltica en  techo</t>
  </si>
  <si>
    <t>TGIU01812</t>
  </si>
  <si>
    <t xml:space="preserve">TGIU01820    </t>
  </si>
  <si>
    <t xml:space="preserve">A.024APOT15  </t>
  </si>
  <si>
    <t>A.024APOT15</t>
  </si>
  <si>
    <t xml:space="preserve">A.024DAN15   </t>
  </si>
  <si>
    <t>A.024DAN15</t>
  </si>
  <si>
    <t>TGIU01820</t>
  </si>
  <si>
    <t>TGIU0018</t>
  </si>
  <si>
    <t xml:space="preserve">TGIU0020     </t>
  </si>
  <si>
    <t xml:space="preserve">P32011000    </t>
  </si>
  <si>
    <t>Suministro - Instalacion Ascensor 6 Pasajeros</t>
  </si>
  <si>
    <t xml:space="preserve">P21AEXT      </t>
  </si>
  <si>
    <t>Andamio Exterior Edificio</t>
  </si>
  <si>
    <t xml:space="preserve">P3201300     </t>
  </si>
  <si>
    <t>Estructura Metalica en Fachada Frontal</t>
  </si>
  <si>
    <t>TGIU0020</t>
  </si>
  <si>
    <t xml:space="preserve">TGIU0021     </t>
  </si>
  <si>
    <t>EQUIPOS ELECTRICOS</t>
  </si>
  <si>
    <t xml:space="preserve">EI02.01      </t>
  </si>
  <si>
    <t>EQUIPOS DE POTENCIA</t>
  </si>
  <si>
    <t xml:space="preserve">EI02.01.01   </t>
  </si>
  <si>
    <t>Transformador Pad Mounted de 300 KVA, 3 fases, 12.5/KV - 120/208</t>
  </si>
  <si>
    <t>UD</t>
  </si>
  <si>
    <t xml:space="preserve">EI02.01.02   </t>
  </si>
  <si>
    <t>Modulo porta contadores "MM1" de 25 zocalos, barras de 400A, 3f,</t>
  </si>
  <si>
    <t xml:space="preserve">EI02.01.03   </t>
  </si>
  <si>
    <t>Modulo porta contadores "MM2" de 25 zocalos, barras de 750A, 3f,</t>
  </si>
  <si>
    <t xml:space="preserve">EI02.01.04   </t>
  </si>
  <si>
    <t>Modulo porta contadores "MBCI" de 1 zocalos, barras de 200A, 3f,</t>
  </si>
  <si>
    <t xml:space="preserve">EI02.01.05   </t>
  </si>
  <si>
    <t>Interruptor de transferencia automatica BCI 100Amps, 3P, 120/208</t>
  </si>
  <si>
    <t xml:space="preserve">EI02.01.06   </t>
  </si>
  <si>
    <t>Panel de Generación tipo "Load Center" con barras de 1000 amps,</t>
  </si>
  <si>
    <t xml:space="preserve">EI02.01.07   </t>
  </si>
  <si>
    <t>Interruptor de transferencia automatica General 1000Amps, 3P</t>
  </si>
  <si>
    <t xml:space="preserve">EI02.01.08   </t>
  </si>
  <si>
    <t>Panelboard General A/C, tipo "Load Center" con barras de 300 amp</t>
  </si>
  <si>
    <t xml:space="preserve">EI02.01.09   </t>
  </si>
  <si>
    <t>Panelboard General A/S, tipo "Load Center" con barras de 150 amp</t>
  </si>
  <si>
    <t xml:space="preserve">EI02.01.10   </t>
  </si>
  <si>
    <t>Panel de distribución (Elevadores) tipo "Load Center" con barras</t>
  </si>
  <si>
    <t xml:space="preserve">EI02.01.11   </t>
  </si>
  <si>
    <t>Panel de distribución (Sistema de Bombeo) tipo "Load Center"</t>
  </si>
  <si>
    <t xml:space="preserve">%MOELEC      </t>
  </si>
  <si>
    <t>Mano de Obra Electrica</t>
  </si>
  <si>
    <t>PA</t>
  </si>
  <si>
    <t>EI02.01</t>
  </si>
  <si>
    <t xml:space="preserve">EI02.02      </t>
  </si>
  <si>
    <t>SISTEMA DE GENERACIÓN</t>
  </si>
  <si>
    <t xml:space="preserve">EI02.02.01   </t>
  </si>
  <si>
    <t>Generador electrico similar a Caterpillar 225 kW, 3f,</t>
  </si>
  <si>
    <t>U</t>
  </si>
  <si>
    <t xml:space="preserve">EI02.02.03   </t>
  </si>
  <si>
    <t>Tanque de uso diario de 300 Gls</t>
  </si>
  <si>
    <t xml:space="preserve">EI02.02.04   </t>
  </si>
  <si>
    <t>Cableado de control de encendido de generador</t>
  </si>
  <si>
    <t xml:space="preserve">EI02.02.05   </t>
  </si>
  <si>
    <t>Válvulas de bola de 1" para bypass filtro separador de agua</t>
  </si>
  <si>
    <t xml:space="preserve">EI02.02.06   </t>
  </si>
  <si>
    <t>Filtro separador de agua marca RACOR FBO-10. (incluye elemento).</t>
  </si>
  <si>
    <t xml:space="preserve">EI02.02.07   </t>
  </si>
  <si>
    <t>Descarga de Combustible</t>
  </si>
  <si>
    <t xml:space="preserve">EI02.02.08   </t>
  </si>
  <si>
    <t>Day Tank a Generador</t>
  </si>
  <si>
    <t xml:space="preserve">EI02.02.09   </t>
  </si>
  <si>
    <t>MANGA DE SALIDA DE AIRE CALIENTE</t>
  </si>
  <si>
    <t xml:space="preserve">EI02.02.10   </t>
  </si>
  <si>
    <t>DUCTO DE GASES DE COMBUSTION</t>
  </si>
  <si>
    <t>EI02.02</t>
  </si>
  <si>
    <t xml:space="preserve">EI02.03      </t>
  </si>
  <si>
    <t>ALIMENTADORES ELECTRICOS</t>
  </si>
  <si>
    <t xml:space="preserve">EI02.03.02   </t>
  </si>
  <si>
    <t>Alimentador eléctrico 3f, 12,470V, desde Poste @ Tranformador</t>
  </si>
  <si>
    <t xml:space="preserve">EI02.03.03   </t>
  </si>
  <si>
    <t>Alimentador eléctrico 3f, 120/208V, desde Transformador @ MM1</t>
  </si>
  <si>
    <t xml:space="preserve">EI02.03.04   </t>
  </si>
  <si>
    <t>Alimentador eléctrico 3f, 120/208V, desde Transformador @ MM2</t>
  </si>
  <si>
    <t xml:space="preserve">EI02.03.05   </t>
  </si>
  <si>
    <t>Alimentador eléctrico 3f, 120/208V, desde Transformador @ MBCI</t>
  </si>
  <si>
    <t xml:space="preserve">EI02.03.06   </t>
  </si>
  <si>
    <t>Alimentador eléctrico 3f, 120/208V, desde MBCI @ ITA BCI</t>
  </si>
  <si>
    <t xml:space="preserve">EI02.03.07   </t>
  </si>
  <si>
    <t>Alimentador eléctrico 3f, 120/208V, desde ITA BCI @ BCI</t>
  </si>
  <si>
    <t xml:space="preserve">EI02.03.08   </t>
  </si>
  <si>
    <t>Alimentador eléctrico 3f, 120/208V, desde ECB Gen @ P. Generacio</t>
  </si>
  <si>
    <t xml:space="preserve">EI02.03.09   </t>
  </si>
  <si>
    <t>Alimentador eléctrico 3f, 120/208V, desde P Generacion @ ITA Gen</t>
  </si>
  <si>
    <t xml:space="preserve">EI02.03.10   </t>
  </si>
  <si>
    <t>Alimentador eléctrico 1f, 120/208V, desde MM1-MM2 @ ITA Gen</t>
  </si>
  <si>
    <t xml:space="preserve">EI02.03.11   </t>
  </si>
  <si>
    <t>Alimentador eléctrico 3f, 120/208V, desde MM2 @ ITA Gen</t>
  </si>
  <si>
    <t xml:space="preserve">EI02.03.12   </t>
  </si>
  <si>
    <t xml:space="preserve">EI02.03.13   </t>
  </si>
  <si>
    <t>Alimentador eléctrico 3f, 120/208V, desde ITA Gen @ P.B. Area Co</t>
  </si>
  <si>
    <t xml:space="preserve">EI02.03.14   </t>
  </si>
  <si>
    <t>Alimentador eléctrico 3f, 120/208V, desde P.B. AC @ P. Parq</t>
  </si>
  <si>
    <t xml:space="preserve">EI02.03.15   </t>
  </si>
  <si>
    <t>Alimentador eléctrico 3f, 120/208V, desde P.B. AC @ P. Elev</t>
  </si>
  <si>
    <t xml:space="preserve">EI02.03.16   </t>
  </si>
  <si>
    <t>Alimentador eléctrico 3f, 120/208V, desde P.B. AC @ P. Bombas</t>
  </si>
  <si>
    <t xml:space="preserve">EI02.03.17   </t>
  </si>
  <si>
    <t>Alimentador eléctrico 3f, 120/208V, desde P.B. AC @ P. A/C1</t>
  </si>
  <si>
    <t xml:space="preserve">EI02.03.18   </t>
  </si>
  <si>
    <t>Alimentador eléctrico 3f, 120/208V, desde P.B. AC @ P. A/C2</t>
  </si>
  <si>
    <t xml:space="preserve">EI02.03.19   </t>
  </si>
  <si>
    <t>Alimentador eléctrico 3f, 120/208V, desde P.B. AC @ P.Lobby</t>
  </si>
  <si>
    <t xml:space="preserve">EI02.03.20   </t>
  </si>
  <si>
    <t>Alimentador eléctrico 3f, 120/208V, desde P.B. AC @ P.B. A/S</t>
  </si>
  <si>
    <t xml:space="preserve">EI02.03.21   </t>
  </si>
  <si>
    <t>Alimentador eléctrico 3f, 120/208V, desde P.B. A/S @ P.Gym</t>
  </si>
  <si>
    <t xml:space="preserve">EI02.03.22   </t>
  </si>
  <si>
    <t>Alimentador eléctrico 3f, 120/208V, desde P.B. A/S @ P.Pisc</t>
  </si>
  <si>
    <t xml:space="preserve">EI02.03.23   </t>
  </si>
  <si>
    <t>Alimentador eléctrico 1f, 120/208V, desde P.B. A/S @ P.A/A</t>
  </si>
  <si>
    <t>EI02.03</t>
  </si>
  <si>
    <t xml:space="preserve">EI02.04      </t>
  </si>
  <si>
    <t>SISTEMA DE PARARRAYOS Y ATERRIZAJE</t>
  </si>
  <si>
    <t xml:space="preserve">EI02.04.01   </t>
  </si>
  <si>
    <t>Alambre de cobre desnudo calibre #1/0 AWG.</t>
  </si>
  <si>
    <t>PIE</t>
  </si>
  <si>
    <t xml:space="preserve">EI02.04.02   </t>
  </si>
  <si>
    <t>Pararrayo SI60,  incluye mastil, base, varillas de tierra, etc</t>
  </si>
  <si>
    <t xml:space="preserve">EI02.04.03   </t>
  </si>
  <si>
    <t>Moldes</t>
  </si>
  <si>
    <t xml:space="preserve">EI02.04.04   </t>
  </si>
  <si>
    <t>Varilla de cobre para tierra de 5/8" x 8'.</t>
  </si>
  <si>
    <t xml:space="preserve">EI02.04.05   </t>
  </si>
  <si>
    <t>Fundentes</t>
  </si>
  <si>
    <t xml:space="preserve">EI02.04.06   </t>
  </si>
  <si>
    <t>Pozo de inspeccion</t>
  </si>
  <si>
    <t xml:space="preserve">EI02.04.07   </t>
  </si>
  <si>
    <t>Material mejorador de la resistividad del terreno.</t>
  </si>
  <si>
    <t>LB</t>
  </si>
  <si>
    <t xml:space="preserve">EI02.04.08   </t>
  </si>
  <si>
    <t>Misceláneos.</t>
  </si>
  <si>
    <t xml:space="preserve">EI02.04.09   </t>
  </si>
  <si>
    <t>Mano de Obra</t>
  </si>
  <si>
    <t>EI02.04</t>
  </si>
  <si>
    <t>TGIU0021</t>
  </si>
  <si>
    <t>TGIU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</si>
</sst>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right" vertical="top"/>
    </xf>
    <xf numFmtId="49" fontId="1" fillId="3" borderId="0" xfId="0" applyNumberFormat="1" applyFont="1" applyFill="1" applyAlignment="1">
      <alignment vertical="top"/>
    </xf>
    <xf numFmtId="49" fontId="1" fillId="3" borderId="0" xfId="0" applyNumberFormat="1" applyFont="1" applyFill="1" applyAlignment="1">
      <alignment vertical="top" wrapText="1"/>
    </xf>
    <xf numFmtId="3" fontId="1" fillId="2" borderId="0" xfId="0" applyNumberFormat="1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4" fontId="2" fillId="0" borderId="0" xfId="0" applyNumberFormat="1" applyFont="1" applyAlignment="1">
      <alignment vertical="top"/>
    </xf>
    <xf numFmtId="4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3" fontId="2" fillId="0" borderId="0" xfId="0" applyNumberFormat="1" applyFont="1" applyAlignment="1">
      <alignment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49" fontId="1" fillId="5" borderId="0" xfId="0" applyNumberFormat="1" applyFont="1" applyFill="1" applyAlignment="1">
      <alignment vertical="top"/>
    </xf>
    <xf numFmtId="49" fontId="1" fillId="5" borderId="0" xfId="0" applyNumberFormat="1" applyFont="1" applyFill="1" applyAlignment="1">
      <alignment vertical="top" wrapText="1"/>
    </xf>
    <xf numFmtId="4" fontId="1" fillId="5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C1B0-6D7D-4CE8-BFDC-E003242DE519}">
  <dimension ref="A1:G2450"/>
  <sheetViews>
    <sheetView tabSelected="1" workbookViewId="0">
      <selection activeCell="E4" sqref="E4"/>
    </sheetView>
  </sheetViews>
  <sheetFormatPr baseColWidth="10" defaultRowHeight="15.6" x14ac:dyDescent="0.3"/>
  <cols>
    <col min="1" max="1" width="14.5546875" style="3" bestFit="1" customWidth="1"/>
    <col min="2" max="2" width="5.88671875" style="3" bestFit="1" customWidth="1"/>
    <col min="3" max="3" width="3.88671875" style="3" bestFit="1" customWidth="1"/>
    <col min="4" max="4" width="33.109375" style="3" customWidth="1"/>
    <col min="5" max="5" width="8.77734375" style="3" bestFit="1" customWidth="1"/>
    <col min="6" max="7" width="12.6640625" style="3" bestFit="1" customWidth="1"/>
    <col min="8" max="16384" width="11.5546875" style="3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5"/>
      <c r="C2" s="5"/>
      <c r="D2" s="5"/>
      <c r="E2" s="5"/>
      <c r="F2" s="5"/>
      <c r="G2" s="5"/>
    </row>
    <row r="3" spans="1:7" x14ac:dyDescent="0.3">
      <c r="A3" s="6" t="s">
        <v>2</v>
      </c>
      <c r="B3" s="6" t="s">
        <v>5</v>
      </c>
      <c r="C3" s="6" t="s">
        <v>6</v>
      </c>
      <c r="D3" s="7" t="s">
        <v>3</v>
      </c>
      <c r="E3" s="8" t="s">
        <v>7</v>
      </c>
      <c r="F3" s="8" t="s">
        <v>8</v>
      </c>
      <c r="G3" s="8" t="s">
        <v>4</v>
      </c>
    </row>
    <row r="4" spans="1:7" x14ac:dyDescent="0.3">
      <c r="A4" s="9" t="s">
        <v>9</v>
      </c>
      <c r="B4" s="9" t="s">
        <v>11</v>
      </c>
      <c r="C4" s="9" t="s">
        <v>12</v>
      </c>
      <c r="D4" s="10" t="s">
        <v>10</v>
      </c>
      <c r="E4" s="11">
        <f>E15</f>
        <v>1</v>
      </c>
      <c r="F4" s="12">
        <f>F15</f>
        <v>125874.23999999999</v>
      </c>
      <c r="G4" s="12">
        <f>G15</f>
        <v>125874.24000000001</v>
      </c>
    </row>
    <row r="5" spans="1:7" x14ac:dyDescent="0.3">
      <c r="A5" s="13" t="s">
        <v>13</v>
      </c>
      <c r="B5" s="13" t="s">
        <v>15</v>
      </c>
      <c r="C5" s="13" t="s">
        <v>16</v>
      </c>
      <c r="D5" s="14" t="s">
        <v>14</v>
      </c>
      <c r="E5" s="15">
        <v>1</v>
      </c>
      <c r="F5" s="15">
        <v>1190.48</v>
      </c>
      <c r="G5" s="16">
        <f>ROUND(E5*F5,2)</f>
        <v>1190.48</v>
      </c>
    </row>
    <row r="6" spans="1:7" ht="31.2" x14ac:dyDescent="0.3">
      <c r="A6" s="13" t="s">
        <v>17</v>
      </c>
      <c r="B6" s="13" t="s">
        <v>15</v>
      </c>
      <c r="C6" s="13" t="s">
        <v>19</v>
      </c>
      <c r="D6" s="14" t="s">
        <v>18</v>
      </c>
      <c r="E6" s="15">
        <v>54</v>
      </c>
      <c r="F6" s="15">
        <v>126.98</v>
      </c>
      <c r="G6" s="16">
        <f>ROUND(E6*F6,2)</f>
        <v>6856.92</v>
      </c>
    </row>
    <row r="7" spans="1:7" ht="31.2" x14ac:dyDescent="0.3">
      <c r="A7" s="13" t="s">
        <v>20</v>
      </c>
      <c r="B7" s="13" t="s">
        <v>15</v>
      </c>
      <c r="C7" s="13" t="s">
        <v>22</v>
      </c>
      <c r="D7" s="14" t="s">
        <v>21</v>
      </c>
      <c r="E7" s="15">
        <v>872.67</v>
      </c>
      <c r="F7" s="15">
        <v>2.86</v>
      </c>
      <c r="G7" s="16">
        <f>ROUND(E7*F7,2)</f>
        <v>2495.84</v>
      </c>
    </row>
    <row r="8" spans="1:7" x14ac:dyDescent="0.3">
      <c r="A8" s="13" t="s">
        <v>23</v>
      </c>
      <c r="B8" s="13" t="s">
        <v>15</v>
      </c>
      <c r="C8" s="13" t="s">
        <v>25</v>
      </c>
      <c r="D8" s="14" t="s">
        <v>24</v>
      </c>
      <c r="E8" s="15">
        <v>0</v>
      </c>
      <c r="F8" s="15">
        <v>0</v>
      </c>
      <c r="G8" s="16">
        <f>ROUND(E8*F8,2)</f>
        <v>0</v>
      </c>
    </row>
    <row r="9" spans="1:7" x14ac:dyDescent="0.3">
      <c r="A9" s="13" t="s">
        <v>26</v>
      </c>
      <c r="B9" s="13" t="s">
        <v>15</v>
      </c>
      <c r="C9" s="13" t="s">
        <v>28</v>
      </c>
      <c r="D9" s="14" t="s">
        <v>27</v>
      </c>
      <c r="E9" s="15">
        <v>0</v>
      </c>
      <c r="F9" s="15">
        <v>79.37</v>
      </c>
      <c r="G9" s="16">
        <f>ROUND(E9*F9,2)</f>
        <v>0</v>
      </c>
    </row>
    <row r="10" spans="1:7" x14ac:dyDescent="0.3">
      <c r="A10" s="13" t="s">
        <v>29</v>
      </c>
      <c r="B10" s="13" t="s">
        <v>15</v>
      </c>
      <c r="C10" s="13" t="s">
        <v>19</v>
      </c>
      <c r="D10" s="14" t="s">
        <v>30</v>
      </c>
      <c r="E10" s="15">
        <v>18</v>
      </c>
      <c r="F10" s="15">
        <v>396.83</v>
      </c>
      <c r="G10" s="16">
        <f>ROUND(E10*F10,2)</f>
        <v>7142.94</v>
      </c>
    </row>
    <row r="11" spans="1:7" ht="31.2" x14ac:dyDescent="0.3">
      <c r="A11" s="13" t="s">
        <v>31</v>
      </c>
      <c r="B11" s="13" t="s">
        <v>15</v>
      </c>
      <c r="C11" s="13" t="s">
        <v>19</v>
      </c>
      <c r="D11" s="14" t="s">
        <v>32</v>
      </c>
      <c r="E11" s="15">
        <v>10</v>
      </c>
      <c r="F11" s="15">
        <v>1677.25</v>
      </c>
      <c r="G11" s="16">
        <f>ROUND(E11*F11,2)</f>
        <v>16772.5</v>
      </c>
    </row>
    <row r="12" spans="1:7" ht="31.2" x14ac:dyDescent="0.3">
      <c r="A12" s="13" t="s">
        <v>33</v>
      </c>
      <c r="B12" s="13" t="s">
        <v>15</v>
      </c>
      <c r="C12" s="13" t="s">
        <v>16</v>
      </c>
      <c r="D12" s="14" t="s">
        <v>34</v>
      </c>
      <c r="E12" s="15">
        <v>1</v>
      </c>
      <c r="F12" s="15">
        <v>49602.14</v>
      </c>
      <c r="G12" s="16">
        <f>ROUND(E12*F12,2)</f>
        <v>49602.14</v>
      </c>
    </row>
    <row r="13" spans="1:7" ht="31.2" x14ac:dyDescent="0.3">
      <c r="A13" s="13" t="s">
        <v>35</v>
      </c>
      <c r="B13" s="13" t="s">
        <v>15</v>
      </c>
      <c r="C13" s="13" t="s">
        <v>19</v>
      </c>
      <c r="D13" s="14" t="s">
        <v>36</v>
      </c>
      <c r="E13" s="15">
        <v>24</v>
      </c>
      <c r="F13" s="15">
        <v>1512.73</v>
      </c>
      <c r="G13" s="16">
        <f>ROUND(E13*F13,2)</f>
        <v>36305.519999999997</v>
      </c>
    </row>
    <row r="14" spans="1:7" x14ac:dyDescent="0.3">
      <c r="A14" s="13" t="s">
        <v>37</v>
      </c>
      <c r="B14" s="13" t="s">
        <v>15</v>
      </c>
      <c r="C14" s="13" t="s">
        <v>16</v>
      </c>
      <c r="D14" s="14" t="s">
        <v>38</v>
      </c>
      <c r="E14" s="15">
        <v>1</v>
      </c>
      <c r="F14" s="15">
        <v>5507.9</v>
      </c>
      <c r="G14" s="16">
        <f>ROUND(E14*F14,2)</f>
        <v>5507.9</v>
      </c>
    </row>
    <row r="15" spans="1:7" x14ac:dyDescent="0.3">
      <c r="A15" s="17"/>
      <c r="B15" s="17"/>
      <c r="C15" s="17"/>
      <c r="D15" s="18" t="s">
        <v>39</v>
      </c>
      <c r="E15" s="19">
        <v>1</v>
      </c>
      <c r="F15" s="12">
        <f>SUM(G5:G14)</f>
        <v>125874.23999999999</v>
      </c>
      <c r="G15" s="12">
        <f>ROUND(F15*E15,2)</f>
        <v>125874.24000000001</v>
      </c>
    </row>
    <row r="16" spans="1:7" ht="1.05" customHeight="1" x14ac:dyDescent="0.3">
      <c r="A16" s="20"/>
      <c r="B16" s="20"/>
      <c r="C16" s="20"/>
      <c r="D16" s="21"/>
      <c r="E16" s="20"/>
      <c r="F16" s="20"/>
      <c r="G16" s="20"/>
    </row>
    <row r="17" spans="1:7" x14ac:dyDescent="0.3">
      <c r="A17" s="9" t="s">
        <v>40</v>
      </c>
      <c r="B17" s="9" t="s">
        <v>11</v>
      </c>
      <c r="C17" s="9" t="s">
        <v>12</v>
      </c>
      <c r="D17" s="10" t="s">
        <v>41</v>
      </c>
      <c r="E17" s="11">
        <f>E22</f>
        <v>1</v>
      </c>
      <c r="F17" s="12">
        <f>F22</f>
        <v>58773.94</v>
      </c>
      <c r="G17" s="12">
        <f>G22</f>
        <v>58773.94</v>
      </c>
    </row>
    <row r="18" spans="1:7" x14ac:dyDescent="0.3">
      <c r="A18" s="13" t="s">
        <v>42</v>
      </c>
      <c r="B18" s="13" t="s">
        <v>15</v>
      </c>
      <c r="C18" s="13" t="s">
        <v>22</v>
      </c>
      <c r="D18" s="14" t="s">
        <v>43</v>
      </c>
      <c r="E18" s="15">
        <v>676.72</v>
      </c>
      <c r="F18" s="15">
        <v>0.63</v>
      </c>
      <c r="G18" s="16">
        <f>ROUND(E18*F18,2)</f>
        <v>426.33</v>
      </c>
    </row>
    <row r="19" spans="1:7" ht="46.8" x14ac:dyDescent="0.3">
      <c r="A19" s="13" t="s">
        <v>44</v>
      </c>
      <c r="B19" s="13" t="s">
        <v>15</v>
      </c>
      <c r="C19" s="13" t="s">
        <v>46</v>
      </c>
      <c r="D19" s="14" t="s">
        <v>45</v>
      </c>
      <c r="E19" s="15">
        <v>2543.0500000000002</v>
      </c>
      <c r="F19" s="15">
        <v>8.57</v>
      </c>
      <c r="G19" s="16">
        <f>ROUND(E19*F19,2)</f>
        <v>21793.94</v>
      </c>
    </row>
    <row r="20" spans="1:7" x14ac:dyDescent="0.3">
      <c r="A20" s="13" t="s">
        <v>47</v>
      </c>
      <c r="B20" s="13" t="s">
        <v>15</v>
      </c>
      <c r="C20" s="13" t="s">
        <v>49</v>
      </c>
      <c r="D20" s="14" t="s">
        <v>48</v>
      </c>
      <c r="E20" s="15">
        <v>234.48</v>
      </c>
      <c r="F20" s="15">
        <v>14.05</v>
      </c>
      <c r="G20" s="16">
        <f>ROUND(E20*F20,2)</f>
        <v>3294.44</v>
      </c>
    </row>
    <row r="21" spans="1:7" ht="31.2" x14ac:dyDescent="0.3">
      <c r="A21" s="13" t="s">
        <v>50</v>
      </c>
      <c r="B21" s="13" t="s">
        <v>15</v>
      </c>
      <c r="C21" s="13" t="s">
        <v>52</v>
      </c>
      <c r="D21" s="14" t="s">
        <v>51</v>
      </c>
      <c r="E21" s="15">
        <v>3880.89</v>
      </c>
      <c r="F21" s="15">
        <v>8.57</v>
      </c>
      <c r="G21" s="16">
        <f>ROUND(E21*F21,2)</f>
        <v>33259.230000000003</v>
      </c>
    </row>
    <row r="22" spans="1:7" x14ac:dyDescent="0.3">
      <c r="A22" s="17"/>
      <c r="B22" s="17"/>
      <c r="C22" s="17"/>
      <c r="D22" s="18" t="s">
        <v>53</v>
      </c>
      <c r="E22" s="19">
        <v>1</v>
      </c>
      <c r="F22" s="12">
        <f>SUM(G18:G21)</f>
        <v>58773.94</v>
      </c>
      <c r="G22" s="12">
        <f>ROUND(F22*E22,2)</f>
        <v>58773.94</v>
      </c>
    </row>
    <row r="23" spans="1:7" ht="1.05" customHeight="1" x14ac:dyDescent="0.3">
      <c r="A23" s="20"/>
      <c r="B23" s="20"/>
      <c r="C23" s="20"/>
      <c r="D23" s="21"/>
      <c r="E23" s="20"/>
      <c r="F23" s="20"/>
      <c r="G23" s="20"/>
    </row>
    <row r="24" spans="1:7" x14ac:dyDescent="0.3">
      <c r="A24" s="9" t="s">
        <v>54</v>
      </c>
      <c r="B24" s="9" t="s">
        <v>11</v>
      </c>
      <c r="C24" s="9" t="s">
        <v>12</v>
      </c>
      <c r="D24" s="10" t="s">
        <v>55</v>
      </c>
      <c r="E24" s="11">
        <f>E186</f>
        <v>1</v>
      </c>
      <c r="F24" s="12">
        <f>F186</f>
        <v>365607.99</v>
      </c>
      <c r="G24" s="12">
        <f>G186</f>
        <v>365607.99</v>
      </c>
    </row>
    <row r="25" spans="1:7" x14ac:dyDescent="0.3">
      <c r="A25" s="22" t="s">
        <v>56</v>
      </c>
      <c r="B25" s="22" t="s">
        <v>11</v>
      </c>
      <c r="C25" s="22" t="s">
        <v>12</v>
      </c>
      <c r="D25" s="23" t="s">
        <v>57</v>
      </c>
      <c r="E25" s="12">
        <f>E49</f>
        <v>1</v>
      </c>
      <c r="F25" s="12">
        <f>F49</f>
        <v>231637.74000000002</v>
      </c>
      <c r="G25" s="12">
        <f>G49</f>
        <v>231637.74</v>
      </c>
    </row>
    <row r="26" spans="1:7" x14ac:dyDescent="0.3">
      <c r="A26" s="13" t="s">
        <v>58</v>
      </c>
      <c r="B26" s="13" t="s">
        <v>15</v>
      </c>
      <c r="C26" s="13" t="s">
        <v>60</v>
      </c>
      <c r="D26" s="14" t="s">
        <v>59</v>
      </c>
      <c r="E26" s="15">
        <v>33.840000000000003</v>
      </c>
      <c r="F26" s="15">
        <v>85.83</v>
      </c>
      <c r="G26" s="16">
        <f>ROUND(E26*F26,2)</f>
        <v>2904.49</v>
      </c>
    </row>
    <row r="27" spans="1:7" ht="31.2" x14ac:dyDescent="0.3">
      <c r="A27" s="13" t="s">
        <v>61</v>
      </c>
      <c r="B27" s="13" t="s">
        <v>15</v>
      </c>
      <c r="C27" s="13" t="s">
        <v>60</v>
      </c>
      <c r="D27" s="14" t="s">
        <v>62</v>
      </c>
      <c r="E27" s="15">
        <v>7.56</v>
      </c>
      <c r="F27" s="15">
        <v>399.4</v>
      </c>
      <c r="G27" s="16">
        <f>ROUND(E27*F27,2)</f>
        <v>3019.46</v>
      </c>
    </row>
    <row r="28" spans="1:7" ht="31.2" x14ac:dyDescent="0.3">
      <c r="A28" s="13" t="s">
        <v>63</v>
      </c>
      <c r="B28" s="13" t="s">
        <v>15</v>
      </c>
      <c r="C28" s="13" t="s">
        <v>60</v>
      </c>
      <c r="D28" s="14" t="s">
        <v>64</v>
      </c>
      <c r="E28" s="15">
        <v>11.52</v>
      </c>
      <c r="F28" s="15">
        <v>339.67</v>
      </c>
      <c r="G28" s="16">
        <f>ROUND(E28*F28,2)</f>
        <v>3913</v>
      </c>
    </row>
    <row r="29" spans="1:7" ht="31.2" x14ac:dyDescent="0.3">
      <c r="A29" s="13" t="s">
        <v>65</v>
      </c>
      <c r="B29" s="13" t="s">
        <v>15</v>
      </c>
      <c r="C29" s="13" t="s">
        <v>60</v>
      </c>
      <c r="D29" s="14" t="s">
        <v>66</v>
      </c>
      <c r="E29" s="15">
        <v>24.7</v>
      </c>
      <c r="F29" s="15">
        <v>363.1</v>
      </c>
      <c r="G29" s="16">
        <f>ROUND(E29*F29,2)</f>
        <v>8968.57</v>
      </c>
    </row>
    <row r="30" spans="1:7" ht="31.2" x14ac:dyDescent="0.3">
      <c r="A30" s="13" t="s">
        <v>67</v>
      </c>
      <c r="B30" s="13" t="s">
        <v>15</v>
      </c>
      <c r="C30" s="13" t="s">
        <v>60</v>
      </c>
      <c r="D30" s="14" t="s">
        <v>68</v>
      </c>
      <c r="E30" s="15">
        <v>22.04</v>
      </c>
      <c r="F30" s="15">
        <v>332.23</v>
      </c>
      <c r="G30" s="16">
        <f>ROUND(E30*F30,2)</f>
        <v>7322.35</v>
      </c>
    </row>
    <row r="31" spans="1:7" ht="31.2" x14ac:dyDescent="0.3">
      <c r="A31" s="13" t="s">
        <v>69</v>
      </c>
      <c r="B31" s="13" t="s">
        <v>15</v>
      </c>
      <c r="C31" s="13" t="s">
        <v>60</v>
      </c>
      <c r="D31" s="14" t="s">
        <v>70</v>
      </c>
      <c r="E31" s="15">
        <v>174.86</v>
      </c>
      <c r="F31" s="15">
        <v>429.17</v>
      </c>
      <c r="G31" s="16">
        <f>ROUND(E31*F31,2)</f>
        <v>75044.67</v>
      </c>
    </row>
    <row r="32" spans="1:7" ht="31.2" x14ac:dyDescent="0.3">
      <c r="A32" s="13" t="s">
        <v>71</v>
      </c>
      <c r="B32" s="13" t="s">
        <v>15</v>
      </c>
      <c r="C32" s="13" t="s">
        <v>60</v>
      </c>
      <c r="D32" s="14" t="s">
        <v>72</v>
      </c>
      <c r="E32" s="15">
        <v>13.69</v>
      </c>
      <c r="F32" s="15">
        <v>248.64</v>
      </c>
      <c r="G32" s="16">
        <f>ROUND(E32*F32,2)</f>
        <v>3403.88</v>
      </c>
    </row>
    <row r="33" spans="1:7" ht="31.2" x14ac:dyDescent="0.3">
      <c r="A33" s="13" t="s">
        <v>73</v>
      </c>
      <c r="B33" s="13" t="s">
        <v>15</v>
      </c>
      <c r="C33" s="13" t="s">
        <v>60</v>
      </c>
      <c r="D33" s="14" t="s">
        <v>74</v>
      </c>
      <c r="E33" s="15">
        <v>26.51</v>
      </c>
      <c r="F33" s="15">
        <v>287.37</v>
      </c>
      <c r="G33" s="16">
        <f>ROUND(E33*F33,2)</f>
        <v>7618.18</v>
      </c>
    </row>
    <row r="34" spans="1:7" ht="31.2" x14ac:dyDescent="0.3">
      <c r="A34" s="13" t="s">
        <v>75</v>
      </c>
      <c r="B34" s="13" t="s">
        <v>15</v>
      </c>
      <c r="C34" s="13" t="s">
        <v>60</v>
      </c>
      <c r="D34" s="14" t="s">
        <v>76</v>
      </c>
      <c r="E34" s="15">
        <v>19.2</v>
      </c>
      <c r="F34" s="15">
        <v>236.18</v>
      </c>
      <c r="G34" s="16">
        <f>ROUND(E34*F34,2)</f>
        <v>4534.66</v>
      </c>
    </row>
    <row r="35" spans="1:7" ht="31.2" x14ac:dyDescent="0.3">
      <c r="A35" s="13" t="s">
        <v>77</v>
      </c>
      <c r="B35" s="13" t="s">
        <v>15</v>
      </c>
      <c r="C35" s="13" t="s">
        <v>60</v>
      </c>
      <c r="D35" s="14" t="s">
        <v>78</v>
      </c>
      <c r="E35" s="15">
        <v>18.649999999999999</v>
      </c>
      <c r="F35" s="15">
        <v>558.76</v>
      </c>
      <c r="G35" s="16">
        <f>ROUND(E35*F35,2)</f>
        <v>10420.870000000001</v>
      </c>
    </row>
    <row r="36" spans="1:7" x14ac:dyDescent="0.3">
      <c r="A36" s="13" t="s">
        <v>79</v>
      </c>
      <c r="B36" s="13" t="s">
        <v>15</v>
      </c>
      <c r="C36" s="13" t="s">
        <v>60</v>
      </c>
      <c r="D36" s="14" t="s">
        <v>80</v>
      </c>
      <c r="E36" s="15">
        <v>19.829999999999998</v>
      </c>
      <c r="F36" s="15">
        <v>388.14</v>
      </c>
      <c r="G36" s="16">
        <f>ROUND(E36*F36,2)</f>
        <v>7696.82</v>
      </c>
    </row>
    <row r="37" spans="1:7" x14ac:dyDescent="0.3">
      <c r="A37" s="13" t="s">
        <v>81</v>
      </c>
      <c r="B37" s="13" t="s">
        <v>15</v>
      </c>
      <c r="C37" s="13" t="s">
        <v>60</v>
      </c>
      <c r="D37" s="14" t="s">
        <v>82</v>
      </c>
      <c r="E37" s="15">
        <v>10.1</v>
      </c>
      <c r="F37" s="15">
        <v>572.66999999999996</v>
      </c>
      <c r="G37" s="16">
        <f>ROUND(E37*F37,2)</f>
        <v>5783.97</v>
      </c>
    </row>
    <row r="38" spans="1:7" x14ac:dyDescent="0.3">
      <c r="A38" s="13" t="s">
        <v>83</v>
      </c>
      <c r="B38" s="13" t="s">
        <v>15</v>
      </c>
      <c r="C38" s="13" t="s">
        <v>60</v>
      </c>
      <c r="D38" s="14" t="s">
        <v>84</v>
      </c>
      <c r="E38" s="15">
        <v>5.01</v>
      </c>
      <c r="F38" s="15">
        <v>545.57000000000005</v>
      </c>
      <c r="G38" s="16">
        <f>ROUND(E38*F38,2)</f>
        <v>2733.31</v>
      </c>
    </row>
    <row r="39" spans="1:7" ht="31.2" x14ac:dyDescent="0.3">
      <c r="A39" s="13" t="s">
        <v>85</v>
      </c>
      <c r="B39" s="13" t="s">
        <v>15</v>
      </c>
      <c r="C39" s="13" t="s">
        <v>60</v>
      </c>
      <c r="D39" s="14" t="s">
        <v>86</v>
      </c>
      <c r="E39" s="15">
        <v>13.39</v>
      </c>
      <c r="F39" s="15">
        <v>310.81</v>
      </c>
      <c r="G39" s="16">
        <f>ROUND(E39*F39,2)</f>
        <v>4161.75</v>
      </c>
    </row>
    <row r="40" spans="1:7" ht="46.8" x14ac:dyDescent="0.3">
      <c r="A40" s="13" t="s">
        <v>87</v>
      </c>
      <c r="B40" s="13" t="s">
        <v>15</v>
      </c>
      <c r="C40" s="13" t="s">
        <v>60</v>
      </c>
      <c r="D40" s="14" t="s">
        <v>88</v>
      </c>
      <c r="E40" s="15">
        <v>79.650000000000006</v>
      </c>
      <c r="F40" s="15">
        <v>410.36</v>
      </c>
      <c r="G40" s="16">
        <f>ROUND(E40*F40,2)</f>
        <v>32685.17</v>
      </c>
    </row>
    <row r="41" spans="1:7" x14ac:dyDescent="0.3">
      <c r="A41" s="13" t="s">
        <v>89</v>
      </c>
      <c r="B41" s="13" t="s">
        <v>15</v>
      </c>
      <c r="C41" s="13" t="s">
        <v>91</v>
      </c>
      <c r="D41" s="14" t="s">
        <v>90</v>
      </c>
      <c r="E41" s="15">
        <v>67.67</v>
      </c>
      <c r="F41" s="15">
        <v>254.07</v>
      </c>
      <c r="G41" s="16">
        <f>ROUND(E41*F41,2)</f>
        <v>17192.919999999998</v>
      </c>
    </row>
    <row r="42" spans="1:7" ht="31.2" x14ac:dyDescent="0.3">
      <c r="A42" s="13" t="s">
        <v>92</v>
      </c>
      <c r="B42" s="13" t="s">
        <v>15</v>
      </c>
      <c r="C42" s="13" t="s">
        <v>94</v>
      </c>
      <c r="D42" s="14" t="s">
        <v>93</v>
      </c>
      <c r="E42" s="15">
        <v>285</v>
      </c>
      <c r="F42" s="15">
        <v>4.29</v>
      </c>
      <c r="G42" s="16">
        <f>ROUND(E42*F42,2)</f>
        <v>1222.6500000000001</v>
      </c>
    </row>
    <row r="43" spans="1:7" ht="31.2" x14ac:dyDescent="0.3">
      <c r="A43" s="13" t="s">
        <v>95</v>
      </c>
      <c r="B43" s="13" t="s">
        <v>15</v>
      </c>
      <c r="C43" s="13" t="s">
        <v>28</v>
      </c>
      <c r="D43" s="14" t="s">
        <v>96</v>
      </c>
      <c r="E43" s="15">
        <v>88.25</v>
      </c>
      <c r="F43" s="15">
        <v>15.88</v>
      </c>
      <c r="G43" s="16">
        <f>ROUND(E43*F43,2)</f>
        <v>1401.41</v>
      </c>
    </row>
    <row r="44" spans="1:7" ht="31.2" x14ac:dyDescent="0.3">
      <c r="A44" s="13" t="s">
        <v>97</v>
      </c>
      <c r="B44" s="13" t="s">
        <v>15</v>
      </c>
      <c r="C44" s="13" t="s">
        <v>60</v>
      </c>
      <c r="D44" s="14" t="s">
        <v>98</v>
      </c>
      <c r="E44" s="15">
        <v>10</v>
      </c>
      <c r="F44" s="15">
        <v>1055.26</v>
      </c>
      <c r="G44" s="16">
        <f>ROUND(E44*F44,2)</f>
        <v>10552.6</v>
      </c>
    </row>
    <row r="45" spans="1:7" ht="31.2" x14ac:dyDescent="0.3">
      <c r="A45" s="13" t="s">
        <v>99</v>
      </c>
      <c r="B45" s="13" t="s">
        <v>15</v>
      </c>
      <c r="C45" s="13" t="s">
        <v>60</v>
      </c>
      <c r="D45" s="14" t="s">
        <v>100</v>
      </c>
      <c r="E45" s="15">
        <v>6.4</v>
      </c>
      <c r="F45" s="15">
        <v>779.5</v>
      </c>
      <c r="G45" s="16">
        <f>ROUND(E45*F45,2)</f>
        <v>4988.8</v>
      </c>
    </row>
    <row r="46" spans="1:7" ht="31.2" x14ac:dyDescent="0.3">
      <c r="A46" s="13" t="s">
        <v>101</v>
      </c>
      <c r="B46" s="13" t="s">
        <v>15</v>
      </c>
      <c r="C46" s="13" t="s">
        <v>60</v>
      </c>
      <c r="D46" s="14" t="s">
        <v>102</v>
      </c>
      <c r="E46" s="15">
        <v>8</v>
      </c>
      <c r="F46" s="15">
        <v>1077.93</v>
      </c>
      <c r="G46" s="16">
        <f>ROUND(E46*F46,2)</f>
        <v>8623.44</v>
      </c>
    </row>
    <row r="47" spans="1:7" ht="31.2" x14ac:dyDescent="0.3">
      <c r="A47" s="13" t="s">
        <v>103</v>
      </c>
      <c r="B47" s="13" t="s">
        <v>15</v>
      </c>
      <c r="C47" s="13" t="s">
        <v>60</v>
      </c>
      <c r="D47" s="14" t="s">
        <v>104</v>
      </c>
      <c r="E47" s="15">
        <v>6</v>
      </c>
      <c r="F47" s="15">
        <v>1000.73</v>
      </c>
      <c r="G47" s="16">
        <f>ROUND(E47*F47,2)</f>
        <v>6004.38</v>
      </c>
    </row>
    <row r="48" spans="1:7" x14ac:dyDescent="0.3">
      <c r="A48" s="13" t="s">
        <v>105</v>
      </c>
      <c r="B48" s="13" t="s">
        <v>15</v>
      </c>
      <c r="C48" s="13" t="s">
        <v>60</v>
      </c>
      <c r="D48" s="14" t="s">
        <v>106</v>
      </c>
      <c r="E48" s="15">
        <v>3.02</v>
      </c>
      <c r="F48" s="15">
        <v>476.95</v>
      </c>
      <c r="G48" s="16">
        <f>ROUND(E48*F48,2)</f>
        <v>1440.39</v>
      </c>
    </row>
    <row r="49" spans="1:7" x14ac:dyDescent="0.3">
      <c r="A49" s="17"/>
      <c r="B49" s="17"/>
      <c r="C49" s="17"/>
      <c r="D49" s="18" t="s">
        <v>107</v>
      </c>
      <c r="E49" s="15">
        <v>1</v>
      </c>
      <c r="F49" s="12">
        <f>SUM(G26:G48)</f>
        <v>231637.74000000002</v>
      </c>
      <c r="G49" s="12">
        <f>ROUND(F49*E49,2)</f>
        <v>231637.74</v>
      </c>
    </row>
    <row r="50" spans="1:7" ht="1.05" customHeight="1" x14ac:dyDescent="0.3">
      <c r="A50" s="20"/>
      <c r="B50" s="20"/>
      <c r="C50" s="20"/>
      <c r="D50" s="21"/>
      <c r="E50" s="20"/>
      <c r="F50" s="20"/>
      <c r="G50" s="20"/>
    </row>
    <row r="51" spans="1:7" x14ac:dyDescent="0.3">
      <c r="A51" s="22" t="s">
        <v>108</v>
      </c>
      <c r="B51" s="22" t="s">
        <v>11</v>
      </c>
      <c r="C51" s="22" t="s">
        <v>12</v>
      </c>
      <c r="D51" s="23" t="s">
        <v>109</v>
      </c>
      <c r="E51" s="12">
        <f>E53</f>
        <v>1</v>
      </c>
      <c r="F51" s="12">
        <f>F53</f>
        <v>1417.92</v>
      </c>
      <c r="G51" s="12">
        <f>G53</f>
        <v>1417.92</v>
      </c>
    </row>
    <row r="52" spans="1:7" ht="31.2" x14ac:dyDescent="0.3">
      <c r="A52" s="13" t="s">
        <v>110</v>
      </c>
      <c r="B52" s="13" t="s">
        <v>15</v>
      </c>
      <c r="C52" s="13" t="s">
        <v>112</v>
      </c>
      <c r="D52" s="14" t="s">
        <v>111</v>
      </c>
      <c r="E52" s="15">
        <v>51.73</v>
      </c>
      <c r="F52" s="15">
        <v>27.41</v>
      </c>
      <c r="G52" s="16">
        <f>ROUND(E52*F52,2)</f>
        <v>1417.92</v>
      </c>
    </row>
    <row r="53" spans="1:7" x14ac:dyDescent="0.3">
      <c r="A53" s="17"/>
      <c r="B53" s="17"/>
      <c r="C53" s="17"/>
      <c r="D53" s="18" t="s">
        <v>113</v>
      </c>
      <c r="E53" s="15">
        <v>1</v>
      </c>
      <c r="F53" s="12">
        <f>G52</f>
        <v>1417.92</v>
      </c>
      <c r="G53" s="12">
        <f>ROUND(F53*E53,2)</f>
        <v>1417.92</v>
      </c>
    </row>
    <row r="54" spans="1:7" ht="1.05" customHeight="1" x14ac:dyDescent="0.3">
      <c r="A54" s="20"/>
      <c r="B54" s="20"/>
      <c r="C54" s="20"/>
      <c r="D54" s="21"/>
      <c r="E54" s="20"/>
      <c r="F54" s="20"/>
      <c r="G54" s="20"/>
    </row>
    <row r="55" spans="1:7" x14ac:dyDescent="0.3">
      <c r="A55" s="22" t="s">
        <v>114</v>
      </c>
      <c r="B55" s="22" t="s">
        <v>11</v>
      </c>
      <c r="C55" s="22" t="s">
        <v>12</v>
      </c>
      <c r="D55" s="23" t="s">
        <v>115</v>
      </c>
      <c r="E55" s="12">
        <f>E63</f>
        <v>1</v>
      </c>
      <c r="F55" s="12">
        <f>F63</f>
        <v>10745.02</v>
      </c>
      <c r="G55" s="12">
        <f>G63</f>
        <v>10745.02</v>
      </c>
    </row>
    <row r="56" spans="1:7" x14ac:dyDescent="0.3">
      <c r="A56" s="13" t="s">
        <v>116</v>
      </c>
      <c r="B56" s="13" t="s">
        <v>15</v>
      </c>
      <c r="C56" s="13" t="s">
        <v>112</v>
      </c>
      <c r="D56" s="14" t="s">
        <v>117</v>
      </c>
      <c r="E56" s="15">
        <v>760.01</v>
      </c>
      <c r="F56" s="15">
        <v>1.96</v>
      </c>
      <c r="G56" s="16">
        <f>ROUND(E56*F56,2)</f>
        <v>1489.62</v>
      </c>
    </row>
    <row r="57" spans="1:7" ht="31.2" x14ac:dyDescent="0.3">
      <c r="A57" s="13" t="s">
        <v>118</v>
      </c>
      <c r="B57" s="13" t="s">
        <v>15</v>
      </c>
      <c r="C57" s="13" t="s">
        <v>112</v>
      </c>
      <c r="D57" s="14" t="s">
        <v>119</v>
      </c>
      <c r="E57" s="15">
        <v>653.87</v>
      </c>
      <c r="F57" s="15">
        <v>8.4</v>
      </c>
      <c r="G57" s="16">
        <f>ROUND(E57*F57,2)</f>
        <v>5492.51</v>
      </c>
    </row>
    <row r="58" spans="1:7" ht="31.2" x14ac:dyDescent="0.3">
      <c r="A58" s="13" t="s">
        <v>120</v>
      </c>
      <c r="B58" s="13" t="s">
        <v>15</v>
      </c>
      <c r="C58" s="13" t="s">
        <v>112</v>
      </c>
      <c r="D58" s="14" t="s">
        <v>121</v>
      </c>
      <c r="E58" s="15">
        <v>0</v>
      </c>
      <c r="F58" s="15">
        <v>8.4700000000000006</v>
      </c>
      <c r="G58" s="16">
        <f>ROUND(E58*F58,2)</f>
        <v>0</v>
      </c>
    </row>
    <row r="59" spans="1:7" ht="31.2" x14ac:dyDescent="0.3">
      <c r="A59" s="13" t="s">
        <v>122</v>
      </c>
      <c r="B59" s="13" t="s">
        <v>15</v>
      </c>
      <c r="C59" s="13" t="s">
        <v>112</v>
      </c>
      <c r="D59" s="14" t="s">
        <v>123</v>
      </c>
      <c r="E59" s="15">
        <v>0</v>
      </c>
      <c r="F59" s="15">
        <v>11.87</v>
      </c>
      <c r="G59" s="16">
        <f>ROUND(E59*F59,2)</f>
        <v>0</v>
      </c>
    </row>
    <row r="60" spans="1:7" ht="31.2" x14ac:dyDescent="0.3">
      <c r="A60" s="13" t="s">
        <v>124</v>
      </c>
      <c r="B60" s="13" t="s">
        <v>15</v>
      </c>
      <c r="C60" s="13" t="s">
        <v>112</v>
      </c>
      <c r="D60" s="14" t="s">
        <v>125</v>
      </c>
      <c r="E60" s="15">
        <v>209.6</v>
      </c>
      <c r="F60" s="15">
        <v>9.4600000000000009</v>
      </c>
      <c r="G60" s="16">
        <f>ROUND(E60*F60,2)</f>
        <v>1982.82</v>
      </c>
    </row>
    <row r="61" spans="1:7" x14ac:dyDescent="0.3">
      <c r="A61" s="13" t="s">
        <v>126</v>
      </c>
      <c r="B61" s="13" t="s">
        <v>15</v>
      </c>
      <c r="C61" s="13" t="s">
        <v>28</v>
      </c>
      <c r="D61" s="14" t="s">
        <v>127</v>
      </c>
      <c r="E61" s="15">
        <v>410.5</v>
      </c>
      <c r="F61" s="15">
        <v>4.16</v>
      </c>
      <c r="G61" s="16">
        <f>ROUND(E61*F61,2)</f>
        <v>1707.68</v>
      </c>
    </row>
    <row r="62" spans="1:7" x14ac:dyDescent="0.3">
      <c r="A62" s="13" t="s">
        <v>128</v>
      </c>
      <c r="B62" s="13" t="s">
        <v>15</v>
      </c>
      <c r="C62" s="13" t="s">
        <v>28</v>
      </c>
      <c r="D62" s="14" t="s">
        <v>129</v>
      </c>
      <c r="E62" s="15">
        <v>16.05</v>
      </c>
      <c r="F62" s="15">
        <v>4.51</v>
      </c>
      <c r="G62" s="16">
        <f>ROUND(E62*F62,2)</f>
        <v>72.39</v>
      </c>
    </row>
    <row r="63" spans="1:7" x14ac:dyDescent="0.3">
      <c r="A63" s="17"/>
      <c r="B63" s="17"/>
      <c r="C63" s="17"/>
      <c r="D63" s="18" t="s">
        <v>130</v>
      </c>
      <c r="E63" s="15">
        <v>1</v>
      </c>
      <c r="F63" s="12">
        <f>SUM(G56:G62)</f>
        <v>10745.02</v>
      </c>
      <c r="G63" s="12">
        <f>ROUND(F63*E63,2)</f>
        <v>10745.02</v>
      </c>
    </row>
    <row r="64" spans="1:7" ht="1.05" customHeight="1" x14ac:dyDescent="0.3">
      <c r="A64" s="20"/>
      <c r="B64" s="20"/>
      <c r="C64" s="20"/>
      <c r="D64" s="21"/>
      <c r="E64" s="20"/>
      <c r="F64" s="20"/>
      <c r="G64" s="20"/>
    </row>
    <row r="65" spans="1:7" x14ac:dyDescent="0.3">
      <c r="A65" s="22" t="s">
        <v>131</v>
      </c>
      <c r="B65" s="22" t="s">
        <v>11</v>
      </c>
      <c r="C65" s="22" t="s">
        <v>12</v>
      </c>
      <c r="D65" s="23" t="s">
        <v>132</v>
      </c>
      <c r="E65" s="12">
        <f>E69</f>
        <v>1</v>
      </c>
      <c r="F65" s="12">
        <f>F69</f>
        <v>1227.1299999999999</v>
      </c>
      <c r="G65" s="12">
        <f>G69</f>
        <v>1227.1300000000001</v>
      </c>
    </row>
    <row r="66" spans="1:7" ht="31.2" x14ac:dyDescent="0.3">
      <c r="A66" s="13" t="s">
        <v>133</v>
      </c>
      <c r="B66" s="13" t="s">
        <v>15</v>
      </c>
      <c r="C66" s="13" t="s">
        <v>112</v>
      </c>
      <c r="D66" s="14" t="s">
        <v>134</v>
      </c>
      <c r="E66" s="15">
        <v>20.37</v>
      </c>
      <c r="F66" s="15">
        <v>42.32</v>
      </c>
      <c r="G66" s="16">
        <f>ROUND(E66*F66,2)</f>
        <v>862.06</v>
      </c>
    </row>
    <row r="67" spans="1:7" ht="31.2" x14ac:dyDescent="0.3">
      <c r="A67" s="13" t="s">
        <v>135</v>
      </c>
      <c r="B67" s="13" t="s">
        <v>15</v>
      </c>
      <c r="C67" s="13" t="s">
        <v>28</v>
      </c>
      <c r="D67" s="14" t="s">
        <v>136</v>
      </c>
      <c r="E67" s="15">
        <v>21.25</v>
      </c>
      <c r="F67" s="15">
        <v>5.79</v>
      </c>
      <c r="G67" s="16">
        <f>ROUND(E67*F67,2)</f>
        <v>123.04</v>
      </c>
    </row>
    <row r="68" spans="1:7" x14ac:dyDescent="0.3">
      <c r="A68" s="13" t="s">
        <v>137</v>
      </c>
      <c r="B68" s="13" t="s">
        <v>15</v>
      </c>
      <c r="C68" s="13" t="s">
        <v>112</v>
      </c>
      <c r="D68" s="14" t="s">
        <v>138</v>
      </c>
      <c r="E68" s="15">
        <v>11.87</v>
      </c>
      <c r="F68" s="15">
        <v>20.39</v>
      </c>
      <c r="G68" s="16">
        <f>ROUND(E68*F68,2)</f>
        <v>242.03</v>
      </c>
    </row>
    <row r="69" spans="1:7" x14ac:dyDescent="0.3">
      <c r="A69" s="17"/>
      <c r="B69" s="17"/>
      <c r="C69" s="17"/>
      <c r="D69" s="18" t="s">
        <v>139</v>
      </c>
      <c r="E69" s="15">
        <v>1</v>
      </c>
      <c r="F69" s="12">
        <f>SUM(G66:G68)</f>
        <v>1227.1299999999999</v>
      </c>
      <c r="G69" s="12">
        <f>ROUND(F69*E69,2)</f>
        <v>1227.1300000000001</v>
      </c>
    </row>
    <row r="70" spans="1:7" ht="1.05" customHeight="1" x14ac:dyDescent="0.3">
      <c r="A70" s="20"/>
      <c r="B70" s="20"/>
      <c r="C70" s="20"/>
      <c r="D70" s="21"/>
      <c r="E70" s="20"/>
      <c r="F70" s="20"/>
      <c r="G70" s="20"/>
    </row>
    <row r="71" spans="1:7" x14ac:dyDescent="0.3">
      <c r="A71" s="22" t="s">
        <v>140</v>
      </c>
      <c r="B71" s="22" t="s">
        <v>11</v>
      </c>
      <c r="C71" s="22" t="s">
        <v>12</v>
      </c>
      <c r="D71" s="23" t="s">
        <v>141</v>
      </c>
      <c r="E71" s="12">
        <f>E74</f>
        <v>1</v>
      </c>
      <c r="F71" s="12">
        <f>F74</f>
        <v>1718.98</v>
      </c>
      <c r="G71" s="12">
        <f>G74</f>
        <v>1718.98</v>
      </c>
    </row>
    <row r="72" spans="1:7" ht="31.2" x14ac:dyDescent="0.3">
      <c r="A72" s="13" t="s">
        <v>142</v>
      </c>
      <c r="B72" s="13" t="s">
        <v>15</v>
      </c>
      <c r="C72" s="13" t="s">
        <v>28</v>
      </c>
      <c r="D72" s="14" t="s">
        <v>143</v>
      </c>
      <c r="E72" s="15">
        <v>25.55</v>
      </c>
      <c r="F72" s="15">
        <v>61.92</v>
      </c>
      <c r="G72" s="16">
        <f>ROUND(E72*F72,2)</f>
        <v>1582.06</v>
      </c>
    </row>
    <row r="73" spans="1:7" x14ac:dyDescent="0.3">
      <c r="A73" s="13" t="s">
        <v>144</v>
      </c>
      <c r="B73" s="13" t="s">
        <v>15</v>
      </c>
      <c r="C73" s="13" t="s">
        <v>112</v>
      </c>
      <c r="D73" s="14" t="s">
        <v>145</v>
      </c>
      <c r="E73" s="15">
        <v>3.56</v>
      </c>
      <c r="F73" s="15">
        <v>38.46</v>
      </c>
      <c r="G73" s="16">
        <f>ROUND(E73*F73,2)</f>
        <v>136.91999999999999</v>
      </c>
    </row>
    <row r="74" spans="1:7" x14ac:dyDescent="0.3">
      <c r="A74" s="17"/>
      <c r="B74" s="17"/>
      <c r="C74" s="17"/>
      <c r="D74" s="18" t="s">
        <v>146</v>
      </c>
      <c r="E74" s="15">
        <v>1</v>
      </c>
      <c r="F74" s="12">
        <f>SUM(G72:G73)</f>
        <v>1718.98</v>
      </c>
      <c r="G74" s="12">
        <f>ROUND(F74*E74,2)</f>
        <v>1718.98</v>
      </c>
    </row>
    <row r="75" spans="1:7" ht="1.05" customHeight="1" x14ac:dyDescent="0.3">
      <c r="A75" s="20"/>
      <c r="B75" s="20"/>
      <c r="C75" s="20"/>
      <c r="D75" s="21"/>
      <c r="E75" s="20"/>
      <c r="F75" s="20"/>
      <c r="G75" s="20"/>
    </row>
    <row r="76" spans="1:7" x14ac:dyDescent="0.3">
      <c r="A76" s="22" t="s">
        <v>147</v>
      </c>
      <c r="B76" s="22" t="s">
        <v>11</v>
      </c>
      <c r="C76" s="22" t="s">
        <v>12</v>
      </c>
      <c r="D76" s="23" t="s">
        <v>148</v>
      </c>
      <c r="E76" s="12">
        <f>E79</f>
        <v>1</v>
      </c>
      <c r="F76" s="12">
        <f>F79</f>
        <v>1523.4299999999998</v>
      </c>
      <c r="G76" s="12">
        <f>G79</f>
        <v>1523.43</v>
      </c>
    </row>
    <row r="77" spans="1:7" ht="31.2" x14ac:dyDescent="0.3">
      <c r="A77" s="13" t="s">
        <v>149</v>
      </c>
      <c r="B77" s="13" t="s">
        <v>15</v>
      </c>
      <c r="C77" s="13" t="s">
        <v>151</v>
      </c>
      <c r="D77" s="14" t="s">
        <v>150</v>
      </c>
      <c r="E77" s="15">
        <v>1</v>
      </c>
      <c r="F77" s="15">
        <v>249.6</v>
      </c>
      <c r="G77" s="16">
        <f>ROUND(E77*F77,2)</f>
        <v>249.6</v>
      </c>
    </row>
    <row r="78" spans="1:7" ht="31.2" x14ac:dyDescent="0.3">
      <c r="A78" s="13" t="s">
        <v>152</v>
      </c>
      <c r="B78" s="13" t="s">
        <v>15</v>
      </c>
      <c r="C78" s="13" t="s">
        <v>151</v>
      </c>
      <c r="D78" s="14" t="s">
        <v>153</v>
      </c>
      <c r="E78" s="15">
        <v>3</v>
      </c>
      <c r="F78" s="15">
        <v>424.61</v>
      </c>
      <c r="G78" s="16">
        <f>ROUND(E78*F78,2)</f>
        <v>1273.83</v>
      </c>
    </row>
    <row r="79" spans="1:7" x14ac:dyDescent="0.3">
      <c r="A79" s="17"/>
      <c r="B79" s="17"/>
      <c r="C79" s="17"/>
      <c r="D79" s="18" t="s">
        <v>154</v>
      </c>
      <c r="E79" s="15">
        <v>1</v>
      </c>
      <c r="F79" s="12">
        <f>SUM(G77:G78)</f>
        <v>1523.4299999999998</v>
      </c>
      <c r="G79" s="12">
        <f>ROUND(F79*E79,2)</f>
        <v>1523.43</v>
      </c>
    </row>
    <row r="80" spans="1:7" ht="1.05" customHeight="1" x14ac:dyDescent="0.3">
      <c r="A80" s="20"/>
      <c r="B80" s="20"/>
      <c r="C80" s="20"/>
      <c r="D80" s="21"/>
      <c r="E80" s="20"/>
      <c r="F80" s="20"/>
      <c r="G80" s="20"/>
    </row>
    <row r="81" spans="1:7" x14ac:dyDescent="0.3">
      <c r="A81" s="22" t="s">
        <v>155</v>
      </c>
      <c r="B81" s="22" t="s">
        <v>11</v>
      </c>
      <c r="C81" s="22" t="s">
        <v>12</v>
      </c>
      <c r="D81" s="23" t="s">
        <v>156</v>
      </c>
      <c r="E81" s="12">
        <f>E85</f>
        <v>1</v>
      </c>
      <c r="F81" s="12">
        <f>F85</f>
        <v>7244.51</v>
      </c>
      <c r="G81" s="12">
        <f>G85</f>
        <v>7244.51</v>
      </c>
    </row>
    <row r="82" spans="1:7" x14ac:dyDescent="0.3">
      <c r="A82" s="13" t="s">
        <v>157</v>
      </c>
      <c r="B82" s="13" t="s">
        <v>15</v>
      </c>
      <c r="C82" s="13" t="s">
        <v>112</v>
      </c>
      <c r="D82" s="14" t="s">
        <v>158</v>
      </c>
      <c r="E82" s="15">
        <v>863.47</v>
      </c>
      <c r="F82" s="15">
        <v>4.0199999999999996</v>
      </c>
      <c r="G82" s="16">
        <f>ROUND(E82*F82,2)</f>
        <v>3471.15</v>
      </c>
    </row>
    <row r="83" spans="1:7" x14ac:dyDescent="0.3">
      <c r="A83" s="13" t="s">
        <v>159</v>
      </c>
      <c r="B83" s="13" t="s">
        <v>15</v>
      </c>
      <c r="C83" s="13" t="s">
        <v>112</v>
      </c>
      <c r="D83" s="14" t="s">
        <v>160</v>
      </c>
      <c r="E83" s="15">
        <v>863.47</v>
      </c>
      <c r="F83" s="15">
        <v>4.37</v>
      </c>
      <c r="G83" s="16">
        <f>ROUND(E83*F83,2)</f>
        <v>3773.36</v>
      </c>
    </row>
    <row r="84" spans="1:7" x14ac:dyDescent="0.3">
      <c r="A84" s="13" t="s">
        <v>161</v>
      </c>
      <c r="B84" s="13" t="s">
        <v>15</v>
      </c>
      <c r="C84" s="13" t="s">
        <v>112</v>
      </c>
      <c r="D84" s="14" t="s">
        <v>162</v>
      </c>
      <c r="E84" s="15">
        <v>0</v>
      </c>
      <c r="F84" s="15">
        <v>7.37</v>
      </c>
      <c r="G84" s="16">
        <f>ROUND(E84*F84,2)</f>
        <v>0</v>
      </c>
    </row>
    <row r="85" spans="1:7" x14ac:dyDescent="0.3">
      <c r="A85" s="17"/>
      <c r="B85" s="17"/>
      <c r="C85" s="17"/>
      <c r="D85" s="18" t="s">
        <v>163</v>
      </c>
      <c r="E85" s="15">
        <v>1</v>
      </c>
      <c r="F85" s="12">
        <f>SUM(G82:G84)</f>
        <v>7244.51</v>
      </c>
      <c r="G85" s="12">
        <f>ROUND(F85*E85,2)</f>
        <v>7244.51</v>
      </c>
    </row>
    <row r="86" spans="1:7" ht="1.05" customHeight="1" x14ac:dyDescent="0.3">
      <c r="A86" s="20"/>
      <c r="B86" s="20"/>
      <c r="C86" s="20"/>
      <c r="D86" s="21"/>
      <c r="E86" s="20"/>
      <c r="F86" s="20"/>
      <c r="G86" s="20"/>
    </row>
    <row r="87" spans="1:7" x14ac:dyDescent="0.3">
      <c r="A87" s="22" t="s">
        <v>164</v>
      </c>
      <c r="B87" s="22" t="s">
        <v>11</v>
      </c>
      <c r="C87" s="22" t="s">
        <v>12</v>
      </c>
      <c r="D87" s="23" t="s">
        <v>165</v>
      </c>
      <c r="E87" s="12">
        <f>E92</f>
        <v>1</v>
      </c>
      <c r="F87" s="12">
        <f>F92</f>
        <v>1761.13</v>
      </c>
      <c r="G87" s="12">
        <f>G92</f>
        <v>1761.13</v>
      </c>
    </row>
    <row r="88" spans="1:7" ht="31.2" x14ac:dyDescent="0.3">
      <c r="A88" s="13" t="s">
        <v>166</v>
      </c>
      <c r="B88" s="13" t="s">
        <v>15</v>
      </c>
      <c r="C88" s="13" t="s">
        <v>28</v>
      </c>
      <c r="D88" s="14" t="s">
        <v>167</v>
      </c>
      <c r="E88" s="15">
        <v>5.65</v>
      </c>
      <c r="F88" s="15">
        <v>47.87</v>
      </c>
      <c r="G88" s="16">
        <f>ROUND(E88*F88,2)</f>
        <v>270.47000000000003</v>
      </c>
    </row>
    <row r="89" spans="1:7" x14ac:dyDescent="0.3">
      <c r="A89" s="13" t="s">
        <v>168</v>
      </c>
      <c r="B89" s="13" t="s">
        <v>15</v>
      </c>
      <c r="C89" s="13" t="s">
        <v>151</v>
      </c>
      <c r="D89" s="14" t="s">
        <v>169</v>
      </c>
      <c r="E89" s="15">
        <v>18</v>
      </c>
      <c r="F89" s="15">
        <v>39.68</v>
      </c>
      <c r="G89" s="16">
        <f>ROUND(E89*F89,2)</f>
        <v>714.24</v>
      </c>
    </row>
    <row r="90" spans="1:7" x14ac:dyDescent="0.3">
      <c r="A90" s="13" t="s">
        <v>170</v>
      </c>
      <c r="B90" s="13" t="s">
        <v>15</v>
      </c>
      <c r="C90" s="13" t="s">
        <v>151</v>
      </c>
      <c r="D90" s="14" t="s">
        <v>171</v>
      </c>
      <c r="E90" s="15">
        <v>19</v>
      </c>
      <c r="F90" s="15">
        <v>4.13</v>
      </c>
      <c r="G90" s="16">
        <f>ROUND(E90*F90,2)</f>
        <v>78.47</v>
      </c>
    </row>
    <row r="91" spans="1:7" x14ac:dyDescent="0.3">
      <c r="A91" s="13" t="s">
        <v>172</v>
      </c>
      <c r="B91" s="13" t="s">
        <v>15</v>
      </c>
      <c r="C91" s="13" t="s">
        <v>28</v>
      </c>
      <c r="D91" s="14" t="s">
        <v>173</v>
      </c>
      <c r="E91" s="15">
        <v>5.72</v>
      </c>
      <c r="F91" s="15">
        <v>122.02</v>
      </c>
      <c r="G91" s="16">
        <f>ROUND(E91*F91,2)</f>
        <v>697.95</v>
      </c>
    </row>
    <row r="92" spans="1:7" x14ac:dyDescent="0.3">
      <c r="A92" s="17"/>
      <c r="B92" s="17"/>
      <c r="C92" s="17"/>
      <c r="D92" s="18" t="s">
        <v>174</v>
      </c>
      <c r="E92" s="15">
        <v>1</v>
      </c>
      <c r="F92" s="12">
        <f>SUM(G88:G91)</f>
        <v>1761.13</v>
      </c>
      <c r="G92" s="12">
        <f>ROUND(F92*E92,2)</f>
        <v>1761.13</v>
      </c>
    </row>
    <row r="93" spans="1:7" ht="1.05" customHeight="1" x14ac:dyDescent="0.3">
      <c r="A93" s="20"/>
      <c r="B93" s="20"/>
      <c r="C93" s="20"/>
      <c r="D93" s="21"/>
      <c r="E93" s="20"/>
      <c r="F93" s="20"/>
      <c r="G93" s="20"/>
    </row>
    <row r="94" spans="1:7" x14ac:dyDescent="0.3">
      <c r="A94" s="22" t="s">
        <v>175</v>
      </c>
      <c r="B94" s="22" t="s">
        <v>11</v>
      </c>
      <c r="C94" s="22" t="s">
        <v>12</v>
      </c>
      <c r="D94" s="23" t="s">
        <v>176</v>
      </c>
      <c r="E94" s="12">
        <f>E166</f>
        <v>1</v>
      </c>
      <c r="F94" s="12">
        <f>F166</f>
        <v>98707.64999999998</v>
      </c>
      <c r="G94" s="12">
        <f>G166</f>
        <v>98707.65</v>
      </c>
    </row>
    <row r="95" spans="1:7" x14ac:dyDescent="0.3">
      <c r="A95" s="22" t="s">
        <v>177</v>
      </c>
      <c r="B95" s="22" t="s">
        <v>11</v>
      </c>
      <c r="C95" s="22" t="s">
        <v>12</v>
      </c>
      <c r="D95" s="23" t="s">
        <v>178</v>
      </c>
      <c r="E95" s="12">
        <f>E120</f>
        <v>1</v>
      </c>
      <c r="F95" s="12">
        <f>F120</f>
        <v>30766.35</v>
      </c>
      <c r="G95" s="12">
        <f>G120</f>
        <v>30766.35</v>
      </c>
    </row>
    <row r="96" spans="1:7" x14ac:dyDescent="0.3">
      <c r="A96" s="22" t="s">
        <v>179</v>
      </c>
      <c r="B96" s="22" t="s">
        <v>11</v>
      </c>
      <c r="C96" s="22" t="s">
        <v>12</v>
      </c>
      <c r="D96" s="23" t="s">
        <v>41</v>
      </c>
      <c r="E96" s="12">
        <f>E100</f>
        <v>1</v>
      </c>
      <c r="F96" s="12">
        <f>F100</f>
        <v>6561.88</v>
      </c>
      <c r="G96" s="12">
        <f>G100</f>
        <v>6561.88</v>
      </c>
    </row>
    <row r="97" spans="1:7" ht="31.2" x14ac:dyDescent="0.3">
      <c r="A97" s="13" t="s">
        <v>180</v>
      </c>
      <c r="B97" s="13" t="s">
        <v>15</v>
      </c>
      <c r="C97" s="13" t="s">
        <v>60</v>
      </c>
      <c r="D97" s="14" t="s">
        <v>181</v>
      </c>
      <c r="E97" s="15">
        <v>421.68</v>
      </c>
      <c r="F97" s="15">
        <v>10.32</v>
      </c>
      <c r="G97" s="16">
        <f>ROUND(E97*F97,2)</f>
        <v>4351.74</v>
      </c>
    </row>
    <row r="98" spans="1:7" ht="31.2" x14ac:dyDescent="0.3">
      <c r="A98" s="13" t="s">
        <v>182</v>
      </c>
      <c r="B98" s="13" t="s">
        <v>15</v>
      </c>
      <c r="C98" s="13" t="s">
        <v>60</v>
      </c>
      <c r="D98" s="14" t="s">
        <v>183</v>
      </c>
      <c r="E98" s="15">
        <v>374.02</v>
      </c>
      <c r="F98" s="15">
        <v>4.29</v>
      </c>
      <c r="G98" s="16">
        <f>ROUND(E98*F98,2)</f>
        <v>1604.55</v>
      </c>
    </row>
    <row r="99" spans="1:7" x14ac:dyDescent="0.3">
      <c r="A99" s="13" t="s">
        <v>184</v>
      </c>
      <c r="B99" s="13" t="s">
        <v>15</v>
      </c>
      <c r="C99" s="13" t="s">
        <v>60</v>
      </c>
      <c r="D99" s="14" t="s">
        <v>185</v>
      </c>
      <c r="E99" s="15">
        <v>133.97999999999999</v>
      </c>
      <c r="F99" s="15">
        <v>4.5199999999999996</v>
      </c>
      <c r="G99" s="16">
        <f>ROUND(E99*F99,2)</f>
        <v>605.59</v>
      </c>
    </row>
    <row r="100" spans="1:7" x14ac:dyDescent="0.3">
      <c r="A100" s="17"/>
      <c r="B100" s="17"/>
      <c r="C100" s="17"/>
      <c r="D100" s="18" t="s">
        <v>186</v>
      </c>
      <c r="E100" s="15">
        <v>1</v>
      </c>
      <c r="F100" s="12">
        <f>SUM(G97:G99)</f>
        <v>6561.88</v>
      </c>
      <c r="G100" s="12">
        <f>ROUND(F100*E100,2)</f>
        <v>6561.88</v>
      </c>
    </row>
    <row r="101" spans="1:7" ht="1.05" customHeight="1" x14ac:dyDescent="0.3">
      <c r="A101" s="20"/>
      <c r="B101" s="20"/>
      <c r="C101" s="20"/>
      <c r="D101" s="21"/>
      <c r="E101" s="20"/>
      <c r="F101" s="20"/>
      <c r="G101" s="20"/>
    </row>
    <row r="102" spans="1:7" x14ac:dyDescent="0.3">
      <c r="A102" s="22" t="s">
        <v>187</v>
      </c>
      <c r="B102" s="22" t="s">
        <v>11</v>
      </c>
      <c r="C102" s="22" t="s">
        <v>12</v>
      </c>
      <c r="D102" s="23" t="s">
        <v>57</v>
      </c>
      <c r="E102" s="12">
        <f>E106</f>
        <v>1</v>
      </c>
      <c r="F102" s="12">
        <f>F106</f>
        <v>18238.259999999998</v>
      </c>
      <c r="G102" s="12">
        <f>G106</f>
        <v>18238.259999999998</v>
      </c>
    </row>
    <row r="103" spans="1:7" x14ac:dyDescent="0.3">
      <c r="A103" s="13" t="s">
        <v>188</v>
      </c>
      <c r="B103" s="13" t="s">
        <v>15</v>
      </c>
      <c r="C103" s="13" t="s">
        <v>60</v>
      </c>
      <c r="D103" s="14" t="s">
        <v>189</v>
      </c>
      <c r="E103" s="15">
        <v>18.55</v>
      </c>
      <c r="F103" s="15">
        <v>269.76</v>
      </c>
      <c r="G103" s="16">
        <f>ROUND(E103*F103,2)</f>
        <v>5004.05</v>
      </c>
    </row>
    <row r="104" spans="1:7" x14ac:dyDescent="0.3">
      <c r="A104" s="13" t="s">
        <v>190</v>
      </c>
      <c r="B104" s="13" t="s">
        <v>15</v>
      </c>
      <c r="C104" s="13" t="s">
        <v>60</v>
      </c>
      <c r="D104" s="14" t="s">
        <v>191</v>
      </c>
      <c r="E104" s="15">
        <v>18.34</v>
      </c>
      <c r="F104" s="15">
        <v>451.85</v>
      </c>
      <c r="G104" s="16">
        <f>ROUND(E104*F104,2)</f>
        <v>8286.93</v>
      </c>
    </row>
    <row r="105" spans="1:7" x14ac:dyDescent="0.3">
      <c r="A105" s="13" t="s">
        <v>192</v>
      </c>
      <c r="B105" s="13" t="s">
        <v>15</v>
      </c>
      <c r="C105" s="13" t="s">
        <v>60</v>
      </c>
      <c r="D105" s="14" t="s">
        <v>193</v>
      </c>
      <c r="E105" s="15">
        <v>14.39</v>
      </c>
      <c r="F105" s="15">
        <v>343.8</v>
      </c>
      <c r="G105" s="16">
        <f>ROUND(E105*F105,2)</f>
        <v>4947.28</v>
      </c>
    </row>
    <row r="106" spans="1:7" x14ac:dyDescent="0.3">
      <c r="A106" s="17"/>
      <c r="B106" s="17"/>
      <c r="C106" s="17"/>
      <c r="D106" s="18" t="s">
        <v>194</v>
      </c>
      <c r="E106" s="15">
        <v>1</v>
      </c>
      <c r="F106" s="12">
        <f>SUM(G103:G105)</f>
        <v>18238.259999999998</v>
      </c>
      <c r="G106" s="12">
        <f>ROUND(F106*E106,2)</f>
        <v>18238.259999999998</v>
      </c>
    </row>
    <row r="107" spans="1:7" ht="1.05" customHeight="1" x14ac:dyDescent="0.3">
      <c r="A107" s="20"/>
      <c r="B107" s="20"/>
      <c r="C107" s="20"/>
      <c r="D107" s="21"/>
      <c r="E107" s="20"/>
      <c r="F107" s="20"/>
      <c r="G107" s="20"/>
    </row>
    <row r="108" spans="1:7" x14ac:dyDescent="0.3">
      <c r="A108" s="22" t="s">
        <v>195</v>
      </c>
      <c r="B108" s="22" t="s">
        <v>11</v>
      </c>
      <c r="C108" s="22" t="s">
        <v>12</v>
      </c>
      <c r="D108" s="23" t="s">
        <v>196</v>
      </c>
      <c r="E108" s="12">
        <f>E113</f>
        <v>1</v>
      </c>
      <c r="F108" s="12">
        <f>F113</f>
        <v>3579.3500000000004</v>
      </c>
      <c r="G108" s="12">
        <f>G113</f>
        <v>3579.35</v>
      </c>
    </row>
    <row r="109" spans="1:7" x14ac:dyDescent="0.3">
      <c r="A109" s="13" t="s">
        <v>116</v>
      </c>
      <c r="B109" s="13" t="s">
        <v>15</v>
      </c>
      <c r="C109" s="13" t="s">
        <v>112</v>
      </c>
      <c r="D109" s="14" t="s">
        <v>117</v>
      </c>
      <c r="E109" s="15">
        <v>159.36000000000001</v>
      </c>
      <c r="F109" s="15">
        <v>1.96</v>
      </c>
      <c r="G109" s="16">
        <f>ROUND(E109*F109,2)</f>
        <v>312.35000000000002</v>
      </c>
    </row>
    <row r="110" spans="1:7" x14ac:dyDescent="0.3">
      <c r="A110" s="13" t="s">
        <v>197</v>
      </c>
      <c r="B110" s="13" t="s">
        <v>15</v>
      </c>
      <c r="C110" s="13" t="s">
        <v>22</v>
      </c>
      <c r="D110" s="14" t="s">
        <v>198</v>
      </c>
      <c r="E110" s="15">
        <v>159.36000000000001</v>
      </c>
      <c r="F110" s="15">
        <v>12.16</v>
      </c>
      <c r="G110" s="16">
        <f>ROUND(E110*F110,2)</f>
        <v>1937.82</v>
      </c>
    </row>
    <row r="111" spans="1:7" x14ac:dyDescent="0.3">
      <c r="A111" s="13" t="s">
        <v>199</v>
      </c>
      <c r="B111" s="13" t="s">
        <v>15</v>
      </c>
      <c r="C111" s="13" t="s">
        <v>22</v>
      </c>
      <c r="D111" s="14" t="s">
        <v>200</v>
      </c>
      <c r="E111" s="15">
        <v>85.99</v>
      </c>
      <c r="F111" s="15">
        <v>14.23</v>
      </c>
      <c r="G111" s="16">
        <f>ROUND(E111*F111,2)</f>
        <v>1223.6400000000001</v>
      </c>
    </row>
    <row r="112" spans="1:7" x14ac:dyDescent="0.3">
      <c r="A112" s="13" t="s">
        <v>201</v>
      </c>
      <c r="B112" s="13" t="s">
        <v>15</v>
      </c>
      <c r="C112" s="13" t="s">
        <v>28</v>
      </c>
      <c r="D112" s="14" t="s">
        <v>202</v>
      </c>
      <c r="E112" s="15">
        <v>38.659999999999997</v>
      </c>
      <c r="F112" s="15">
        <v>2.73</v>
      </c>
      <c r="G112" s="16">
        <f>ROUND(E112*F112,2)</f>
        <v>105.54</v>
      </c>
    </row>
    <row r="113" spans="1:7" x14ac:dyDescent="0.3">
      <c r="A113" s="17"/>
      <c r="B113" s="17"/>
      <c r="C113" s="17"/>
      <c r="D113" s="18" t="s">
        <v>203</v>
      </c>
      <c r="E113" s="15">
        <v>1</v>
      </c>
      <c r="F113" s="12">
        <f>SUM(G109:G112)</f>
        <v>3579.3500000000004</v>
      </c>
      <c r="G113" s="12">
        <f>ROUND(F113*E113,2)</f>
        <v>3579.35</v>
      </c>
    </row>
    <row r="114" spans="1:7" ht="1.05" customHeight="1" x14ac:dyDescent="0.3">
      <c r="A114" s="20"/>
      <c r="B114" s="20"/>
      <c r="C114" s="20"/>
      <c r="D114" s="21"/>
      <c r="E114" s="20"/>
      <c r="F114" s="20"/>
      <c r="G114" s="20"/>
    </row>
    <row r="115" spans="1:7" x14ac:dyDescent="0.3">
      <c r="A115" s="22" t="s">
        <v>204</v>
      </c>
      <c r="B115" s="22" t="s">
        <v>11</v>
      </c>
      <c r="C115" s="22" t="s">
        <v>12</v>
      </c>
      <c r="D115" s="23" t="s">
        <v>165</v>
      </c>
      <c r="E115" s="12">
        <f>E118</f>
        <v>1</v>
      </c>
      <c r="F115" s="12">
        <f>F118</f>
        <v>2386.86</v>
      </c>
      <c r="G115" s="12">
        <f>G118</f>
        <v>2386.86</v>
      </c>
    </row>
    <row r="116" spans="1:7" ht="31.2" x14ac:dyDescent="0.3">
      <c r="A116" s="13" t="s">
        <v>205</v>
      </c>
      <c r="B116" s="13" t="s">
        <v>15</v>
      </c>
      <c r="C116" s="13" t="s">
        <v>151</v>
      </c>
      <c r="D116" s="14" t="s">
        <v>206</v>
      </c>
      <c r="E116" s="15">
        <v>1</v>
      </c>
      <c r="F116" s="15">
        <v>87.3</v>
      </c>
      <c r="G116" s="16">
        <f>ROUND(E116*F116,2)</f>
        <v>87.3</v>
      </c>
    </row>
    <row r="117" spans="1:7" x14ac:dyDescent="0.3">
      <c r="A117" s="13" t="s">
        <v>207</v>
      </c>
      <c r="B117" s="13" t="s">
        <v>15</v>
      </c>
      <c r="C117" s="13" t="s">
        <v>112</v>
      </c>
      <c r="D117" s="14" t="s">
        <v>208</v>
      </c>
      <c r="E117" s="15">
        <v>159.36000000000001</v>
      </c>
      <c r="F117" s="15">
        <v>14.43</v>
      </c>
      <c r="G117" s="16">
        <f>ROUND(E117*F117,2)</f>
        <v>2299.56</v>
      </c>
    </row>
    <row r="118" spans="1:7" x14ac:dyDescent="0.3">
      <c r="A118" s="17"/>
      <c r="B118" s="17"/>
      <c r="C118" s="17"/>
      <c r="D118" s="18" t="s">
        <v>209</v>
      </c>
      <c r="E118" s="15">
        <v>1</v>
      </c>
      <c r="F118" s="12">
        <f>SUM(G116:G117)</f>
        <v>2386.86</v>
      </c>
      <c r="G118" s="12">
        <f>ROUND(F118*E118,2)</f>
        <v>2386.86</v>
      </c>
    </row>
    <row r="119" spans="1:7" ht="1.05" customHeight="1" x14ac:dyDescent="0.3">
      <c r="A119" s="20"/>
      <c r="B119" s="20"/>
      <c r="C119" s="20"/>
      <c r="D119" s="21"/>
      <c r="E119" s="20"/>
      <c r="F119" s="20"/>
      <c r="G119" s="20"/>
    </row>
    <row r="120" spans="1:7" x14ac:dyDescent="0.3">
      <c r="A120" s="17"/>
      <c r="B120" s="17"/>
      <c r="C120" s="17"/>
      <c r="D120" s="18" t="s">
        <v>210</v>
      </c>
      <c r="E120" s="15">
        <v>1</v>
      </c>
      <c r="F120" s="12">
        <f>G100+G106+G113+G118</f>
        <v>30766.35</v>
      </c>
      <c r="G120" s="12">
        <f>ROUND(F120*E120,2)</f>
        <v>30766.35</v>
      </c>
    </row>
    <row r="121" spans="1:7" ht="1.05" customHeight="1" x14ac:dyDescent="0.3">
      <c r="A121" s="20"/>
      <c r="B121" s="20"/>
      <c r="C121" s="20"/>
      <c r="D121" s="21"/>
      <c r="E121" s="20"/>
      <c r="F121" s="20"/>
      <c r="G121" s="20"/>
    </row>
    <row r="122" spans="1:7" x14ac:dyDescent="0.3">
      <c r="A122" s="22" t="s">
        <v>211</v>
      </c>
      <c r="B122" s="22" t="s">
        <v>11</v>
      </c>
      <c r="C122" s="22" t="s">
        <v>12</v>
      </c>
      <c r="D122" s="23" t="s">
        <v>212</v>
      </c>
      <c r="E122" s="12">
        <f>E127</f>
        <v>1</v>
      </c>
      <c r="F122" s="12">
        <f>F127</f>
        <v>45263.64</v>
      </c>
      <c r="G122" s="12">
        <f>G127</f>
        <v>45263.64</v>
      </c>
    </row>
    <row r="123" spans="1:7" x14ac:dyDescent="0.3">
      <c r="A123" s="13" t="s">
        <v>213</v>
      </c>
      <c r="B123" s="13" t="s">
        <v>15</v>
      </c>
      <c r="C123" s="13" t="s">
        <v>215</v>
      </c>
      <c r="D123" s="14" t="s">
        <v>214</v>
      </c>
      <c r="E123" s="15">
        <v>7</v>
      </c>
      <c r="F123" s="15">
        <v>645.96</v>
      </c>
      <c r="G123" s="16">
        <f>ROUND(E123*F123,2)</f>
        <v>4521.72</v>
      </c>
    </row>
    <row r="124" spans="1:7" x14ac:dyDescent="0.3">
      <c r="A124" s="13" t="s">
        <v>216</v>
      </c>
      <c r="B124" s="13" t="s">
        <v>15</v>
      </c>
      <c r="C124" s="13" t="s">
        <v>215</v>
      </c>
      <c r="D124" s="14" t="s">
        <v>217</v>
      </c>
      <c r="E124" s="15">
        <v>3</v>
      </c>
      <c r="F124" s="15">
        <v>881.37</v>
      </c>
      <c r="G124" s="16">
        <f>ROUND(E124*F124,2)</f>
        <v>2644.11</v>
      </c>
    </row>
    <row r="125" spans="1:7" x14ac:dyDescent="0.3">
      <c r="A125" s="13" t="s">
        <v>218</v>
      </c>
      <c r="B125" s="13" t="s">
        <v>15</v>
      </c>
      <c r="C125" s="13" t="s">
        <v>215</v>
      </c>
      <c r="D125" s="14" t="s">
        <v>219</v>
      </c>
      <c r="E125" s="15">
        <v>1</v>
      </c>
      <c r="F125" s="15">
        <v>32497.18</v>
      </c>
      <c r="G125" s="16">
        <f>ROUND(E125*F125,2)</f>
        <v>32497.18</v>
      </c>
    </row>
    <row r="126" spans="1:7" x14ac:dyDescent="0.3">
      <c r="A126" s="13" t="s">
        <v>220</v>
      </c>
      <c r="B126" s="13" t="s">
        <v>15</v>
      </c>
      <c r="C126" s="13" t="s">
        <v>215</v>
      </c>
      <c r="D126" s="14" t="s">
        <v>221</v>
      </c>
      <c r="E126" s="15">
        <v>1</v>
      </c>
      <c r="F126" s="15">
        <v>5600.63</v>
      </c>
      <c r="G126" s="16">
        <f>ROUND(E126*F126,2)</f>
        <v>5600.63</v>
      </c>
    </row>
    <row r="127" spans="1:7" x14ac:dyDescent="0.3">
      <c r="A127" s="17"/>
      <c r="B127" s="17"/>
      <c r="C127" s="17"/>
      <c r="D127" s="18" t="s">
        <v>222</v>
      </c>
      <c r="E127" s="15">
        <v>1</v>
      </c>
      <c r="F127" s="12">
        <f>SUM(G123:G126)</f>
        <v>45263.64</v>
      </c>
      <c r="G127" s="12">
        <f>ROUND(F127*E127,2)</f>
        <v>45263.64</v>
      </c>
    </row>
    <row r="128" spans="1:7" ht="1.05" customHeight="1" x14ac:dyDescent="0.3">
      <c r="A128" s="20"/>
      <c r="B128" s="20"/>
      <c r="C128" s="20"/>
      <c r="D128" s="21"/>
      <c r="E128" s="20"/>
      <c r="F128" s="20"/>
      <c r="G128" s="20"/>
    </row>
    <row r="129" spans="1:7" x14ac:dyDescent="0.3">
      <c r="A129" s="22" t="s">
        <v>223</v>
      </c>
      <c r="B129" s="22" t="s">
        <v>11</v>
      </c>
      <c r="C129" s="22" t="s">
        <v>12</v>
      </c>
      <c r="D129" s="23" t="s">
        <v>224</v>
      </c>
      <c r="E129" s="12">
        <f>E131</f>
        <v>1</v>
      </c>
      <c r="F129" s="12">
        <f>F131</f>
        <v>14571.43</v>
      </c>
      <c r="G129" s="12">
        <f>G131</f>
        <v>14571.43</v>
      </c>
    </row>
    <row r="130" spans="1:7" ht="31.2" x14ac:dyDescent="0.3">
      <c r="A130" s="13" t="s">
        <v>225</v>
      </c>
      <c r="B130" s="13" t="s">
        <v>15</v>
      </c>
      <c r="C130" s="13" t="s">
        <v>16</v>
      </c>
      <c r="D130" s="14" t="s">
        <v>226</v>
      </c>
      <c r="E130" s="15">
        <v>1</v>
      </c>
      <c r="F130" s="15">
        <v>14571.43</v>
      </c>
      <c r="G130" s="16">
        <f>ROUND(E130*F130,2)</f>
        <v>14571.43</v>
      </c>
    </row>
    <row r="131" spans="1:7" x14ac:dyDescent="0.3">
      <c r="A131" s="17"/>
      <c r="B131" s="17"/>
      <c r="C131" s="17"/>
      <c r="D131" s="18" t="s">
        <v>227</v>
      </c>
      <c r="E131" s="15">
        <v>1</v>
      </c>
      <c r="F131" s="12">
        <f>G130</f>
        <v>14571.43</v>
      </c>
      <c r="G131" s="12">
        <f>ROUND(F131*E131,2)</f>
        <v>14571.43</v>
      </c>
    </row>
    <row r="132" spans="1:7" ht="1.05" customHeight="1" x14ac:dyDescent="0.3">
      <c r="A132" s="20"/>
      <c r="B132" s="20"/>
      <c r="C132" s="20"/>
      <c r="D132" s="21"/>
      <c r="E132" s="20"/>
      <c r="F132" s="20"/>
      <c r="G132" s="20"/>
    </row>
    <row r="133" spans="1:7" ht="31.2" x14ac:dyDescent="0.3">
      <c r="A133" s="22" t="s">
        <v>228</v>
      </c>
      <c r="B133" s="22" t="s">
        <v>11</v>
      </c>
      <c r="C133" s="22" t="s">
        <v>12</v>
      </c>
      <c r="D133" s="23" t="s">
        <v>229</v>
      </c>
      <c r="E133" s="12">
        <f>E143</f>
        <v>1</v>
      </c>
      <c r="F133" s="12">
        <f>F143</f>
        <v>1382.84</v>
      </c>
      <c r="G133" s="12">
        <f>G143</f>
        <v>1382.84</v>
      </c>
    </row>
    <row r="134" spans="1:7" x14ac:dyDescent="0.3">
      <c r="A134" s="13" t="s">
        <v>230</v>
      </c>
      <c r="B134" s="13" t="s">
        <v>15</v>
      </c>
      <c r="C134" s="13" t="s">
        <v>28</v>
      </c>
      <c r="D134" s="14" t="s">
        <v>231</v>
      </c>
      <c r="E134" s="15">
        <v>39</v>
      </c>
      <c r="F134" s="15">
        <v>1.9</v>
      </c>
      <c r="G134" s="16">
        <f>ROUND(E134*F134,2)</f>
        <v>74.099999999999994</v>
      </c>
    </row>
    <row r="135" spans="1:7" x14ac:dyDescent="0.3">
      <c r="A135" s="13" t="s">
        <v>232</v>
      </c>
      <c r="B135" s="13" t="s">
        <v>15</v>
      </c>
      <c r="C135" s="13" t="s">
        <v>28</v>
      </c>
      <c r="D135" s="14" t="s">
        <v>233</v>
      </c>
      <c r="E135" s="15">
        <v>39</v>
      </c>
      <c r="F135" s="15">
        <v>4.3499999999999996</v>
      </c>
      <c r="G135" s="16">
        <f>ROUND(E135*F135,2)</f>
        <v>169.65</v>
      </c>
    </row>
    <row r="136" spans="1:7" x14ac:dyDescent="0.3">
      <c r="A136" s="13" t="s">
        <v>234</v>
      </c>
      <c r="B136" s="13" t="s">
        <v>15</v>
      </c>
      <c r="C136" s="13" t="s">
        <v>28</v>
      </c>
      <c r="D136" s="14" t="s">
        <v>235</v>
      </c>
      <c r="E136" s="15">
        <v>0</v>
      </c>
      <c r="F136" s="15">
        <v>3.07</v>
      </c>
      <c r="G136" s="16">
        <f>ROUND(E136*F136,2)</f>
        <v>0</v>
      </c>
    </row>
    <row r="137" spans="1:7" x14ac:dyDescent="0.3">
      <c r="A137" s="13" t="s">
        <v>236</v>
      </c>
      <c r="B137" s="13" t="s">
        <v>15</v>
      </c>
      <c r="C137" s="13" t="s">
        <v>28</v>
      </c>
      <c r="D137" s="14" t="s">
        <v>237</v>
      </c>
      <c r="E137" s="15">
        <v>0</v>
      </c>
      <c r="F137" s="15">
        <v>4.22</v>
      </c>
      <c r="G137" s="16">
        <f>ROUND(E137*F137,2)</f>
        <v>0</v>
      </c>
    </row>
    <row r="138" spans="1:7" x14ac:dyDescent="0.3">
      <c r="A138" s="13" t="s">
        <v>238</v>
      </c>
      <c r="B138" s="13" t="s">
        <v>15</v>
      </c>
      <c r="C138" s="13" t="s">
        <v>28</v>
      </c>
      <c r="D138" s="14" t="s">
        <v>239</v>
      </c>
      <c r="E138" s="15">
        <v>11.5</v>
      </c>
      <c r="F138" s="15">
        <v>13.9</v>
      </c>
      <c r="G138" s="16">
        <f>ROUND(E138*F138,2)</f>
        <v>159.85</v>
      </c>
    </row>
    <row r="139" spans="1:7" x14ac:dyDescent="0.3">
      <c r="A139" s="13" t="s">
        <v>240</v>
      </c>
      <c r="B139" s="13" t="s">
        <v>15</v>
      </c>
      <c r="C139" s="13" t="s">
        <v>28</v>
      </c>
      <c r="D139" s="14" t="s">
        <v>241</v>
      </c>
      <c r="E139" s="15">
        <v>23.5</v>
      </c>
      <c r="F139" s="15">
        <v>15.59</v>
      </c>
      <c r="G139" s="16">
        <f>ROUND(E139*F139,2)</f>
        <v>366.37</v>
      </c>
    </row>
    <row r="140" spans="1:7" ht="31.2" x14ac:dyDescent="0.3">
      <c r="A140" s="13" t="s">
        <v>242</v>
      </c>
      <c r="B140" s="13" t="s">
        <v>15</v>
      </c>
      <c r="C140" s="13" t="s">
        <v>16</v>
      </c>
      <c r="D140" s="14" t="s">
        <v>243</v>
      </c>
      <c r="E140" s="15">
        <v>0.7</v>
      </c>
      <c r="F140" s="15">
        <v>793.65</v>
      </c>
      <c r="G140" s="16">
        <f>ROUND(E140*F140,2)</f>
        <v>555.55999999999995</v>
      </c>
    </row>
    <row r="141" spans="1:7" x14ac:dyDescent="0.3">
      <c r="A141" s="13" t="s">
        <v>244</v>
      </c>
      <c r="B141" s="13" t="s">
        <v>15</v>
      </c>
      <c r="C141" s="13" t="s">
        <v>215</v>
      </c>
      <c r="D141" s="14" t="s">
        <v>245</v>
      </c>
      <c r="E141" s="15">
        <v>0</v>
      </c>
      <c r="F141" s="15">
        <v>13.5</v>
      </c>
      <c r="G141" s="16">
        <f>ROUND(E141*F141,2)</f>
        <v>0</v>
      </c>
    </row>
    <row r="142" spans="1:7" x14ac:dyDescent="0.3">
      <c r="A142" s="13" t="s">
        <v>246</v>
      </c>
      <c r="B142" s="13" t="s">
        <v>15</v>
      </c>
      <c r="C142" s="13" t="s">
        <v>215</v>
      </c>
      <c r="D142" s="14" t="s">
        <v>247</v>
      </c>
      <c r="E142" s="15">
        <v>1</v>
      </c>
      <c r="F142" s="15">
        <v>57.31</v>
      </c>
      <c r="G142" s="16">
        <f>ROUND(E142*F142,2)</f>
        <v>57.31</v>
      </c>
    </row>
    <row r="143" spans="1:7" x14ac:dyDescent="0.3">
      <c r="A143" s="17"/>
      <c r="B143" s="17"/>
      <c r="C143" s="17"/>
      <c r="D143" s="18" t="s">
        <v>248</v>
      </c>
      <c r="E143" s="15">
        <v>1</v>
      </c>
      <c r="F143" s="12">
        <f>SUM(G134:G142)</f>
        <v>1382.84</v>
      </c>
      <c r="G143" s="12">
        <f>ROUND(F143*E143,2)</f>
        <v>1382.84</v>
      </c>
    </row>
    <row r="144" spans="1:7" ht="1.05" customHeight="1" x14ac:dyDescent="0.3">
      <c r="A144" s="20"/>
      <c r="B144" s="20"/>
      <c r="C144" s="20"/>
      <c r="D144" s="21"/>
      <c r="E144" s="20"/>
      <c r="F144" s="20"/>
      <c r="G144" s="20"/>
    </row>
    <row r="145" spans="1:7" ht="31.2" x14ac:dyDescent="0.3">
      <c r="A145" s="22" t="s">
        <v>249</v>
      </c>
      <c r="B145" s="22" t="s">
        <v>11</v>
      </c>
      <c r="C145" s="22" t="s">
        <v>12</v>
      </c>
      <c r="D145" s="23" t="s">
        <v>250</v>
      </c>
      <c r="E145" s="12">
        <f>E158</f>
        <v>1</v>
      </c>
      <c r="F145" s="12">
        <f>F158</f>
        <v>3886.9100000000003</v>
      </c>
      <c r="G145" s="12">
        <f>G158</f>
        <v>3886.91</v>
      </c>
    </row>
    <row r="146" spans="1:7" x14ac:dyDescent="0.3">
      <c r="A146" s="13" t="s">
        <v>230</v>
      </c>
      <c r="B146" s="13" t="s">
        <v>15</v>
      </c>
      <c r="C146" s="13" t="s">
        <v>28</v>
      </c>
      <c r="D146" s="14" t="s">
        <v>231</v>
      </c>
      <c r="E146" s="15">
        <v>108</v>
      </c>
      <c r="F146" s="15">
        <v>1.9</v>
      </c>
      <c r="G146" s="16">
        <f>ROUND(E146*F146,2)</f>
        <v>205.2</v>
      </c>
    </row>
    <row r="147" spans="1:7" x14ac:dyDescent="0.3">
      <c r="A147" s="13" t="s">
        <v>251</v>
      </c>
      <c r="B147" s="13" t="s">
        <v>15</v>
      </c>
      <c r="C147" s="13" t="s">
        <v>28</v>
      </c>
      <c r="D147" s="14" t="s">
        <v>252</v>
      </c>
      <c r="E147" s="15">
        <v>0</v>
      </c>
      <c r="F147" s="15">
        <v>3.7</v>
      </c>
      <c r="G147" s="16">
        <f>ROUND(E147*F147,2)</f>
        <v>0</v>
      </c>
    </row>
    <row r="148" spans="1:7" x14ac:dyDescent="0.3">
      <c r="A148" s="13" t="s">
        <v>253</v>
      </c>
      <c r="B148" s="13" t="s">
        <v>15</v>
      </c>
      <c r="C148" s="13" t="s">
        <v>28</v>
      </c>
      <c r="D148" s="14" t="s">
        <v>254</v>
      </c>
      <c r="E148" s="15">
        <v>4</v>
      </c>
      <c r="F148" s="15">
        <v>22.38</v>
      </c>
      <c r="G148" s="16">
        <f>ROUND(E148*F148,2)</f>
        <v>89.52</v>
      </c>
    </row>
    <row r="149" spans="1:7" x14ac:dyDescent="0.3">
      <c r="A149" s="13" t="s">
        <v>255</v>
      </c>
      <c r="B149" s="13" t="s">
        <v>15</v>
      </c>
      <c r="C149" s="13" t="s">
        <v>28</v>
      </c>
      <c r="D149" s="14" t="s">
        <v>256</v>
      </c>
      <c r="E149" s="15">
        <v>18</v>
      </c>
      <c r="F149" s="15">
        <v>23.78</v>
      </c>
      <c r="G149" s="16">
        <f>ROUND(E149*F149,2)</f>
        <v>428.04</v>
      </c>
    </row>
    <row r="150" spans="1:7" x14ac:dyDescent="0.3">
      <c r="A150" s="13" t="s">
        <v>257</v>
      </c>
      <c r="B150" s="13" t="s">
        <v>15</v>
      </c>
      <c r="C150" s="13" t="s">
        <v>28</v>
      </c>
      <c r="D150" s="14" t="s">
        <v>258</v>
      </c>
      <c r="E150" s="15">
        <v>39</v>
      </c>
      <c r="F150" s="15">
        <v>35.119999999999997</v>
      </c>
      <c r="G150" s="16">
        <f>ROUND(E150*F150,2)</f>
        <v>1369.68</v>
      </c>
    </row>
    <row r="151" spans="1:7" x14ac:dyDescent="0.3">
      <c r="A151" s="13" t="s">
        <v>259</v>
      </c>
      <c r="B151" s="13" t="s">
        <v>15</v>
      </c>
      <c r="C151" s="13" t="s">
        <v>28</v>
      </c>
      <c r="D151" s="14" t="s">
        <v>260</v>
      </c>
      <c r="E151" s="15">
        <v>15</v>
      </c>
      <c r="F151" s="15">
        <v>41.19</v>
      </c>
      <c r="G151" s="16">
        <f>ROUND(E151*F151,2)</f>
        <v>617.85</v>
      </c>
    </row>
    <row r="152" spans="1:7" ht="31.2" x14ac:dyDescent="0.3">
      <c r="A152" s="13" t="s">
        <v>261</v>
      </c>
      <c r="B152" s="13" t="s">
        <v>15</v>
      </c>
      <c r="C152" s="13" t="s">
        <v>16</v>
      </c>
      <c r="D152" s="14" t="s">
        <v>262</v>
      </c>
      <c r="E152" s="15">
        <v>0.8</v>
      </c>
      <c r="F152" s="15">
        <v>1031.75</v>
      </c>
      <c r="G152" s="16">
        <f>ROUND(E152*F152,2)</f>
        <v>825.4</v>
      </c>
    </row>
    <row r="153" spans="1:7" ht="31.2" x14ac:dyDescent="0.3">
      <c r="A153" s="13" t="s">
        <v>263</v>
      </c>
      <c r="B153" s="13" t="s">
        <v>15</v>
      </c>
      <c r="C153" s="13" t="s">
        <v>215</v>
      </c>
      <c r="D153" s="14" t="s">
        <v>264</v>
      </c>
      <c r="E153" s="15">
        <v>0</v>
      </c>
      <c r="F153" s="15">
        <v>34.72</v>
      </c>
      <c r="G153" s="16">
        <f>ROUND(E153*F153,2)</f>
        <v>0</v>
      </c>
    </row>
    <row r="154" spans="1:7" ht="31.2" x14ac:dyDescent="0.3">
      <c r="A154" s="13" t="s">
        <v>265</v>
      </c>
      <c r="B154" s="13" t="s">
        <v>15</v>
      </c>
      <c r="C154" s="13" t="s">
        <v>215</v>
      </c>
      <c r="D154" s="14" t="s">
        <v>266</v>
      </c>
      <c r="E154" s="15">
        <v>2</v>
      </c>
      <c r="F154" s="15">
        <v>32.25</v>
      </c>
      <c r="G154" s="16">
        <f>ROUND(E154*F154,2)</f>
        <v>64.5</v>
      </c>
    </row>
    <row r="155" spans="1:7" ht="31.2" x14ac:dyDescent="0.3">
      <c r="A155" s="13" t="s">
        <v>267</v>
      </c>
      <c r="B155" s="13" t="s">
        <v>15</v>
      </c>
      <c r="C155" s="13" t="s">
        <v>215</v>
      </c>
      <c r="D155" s="14" t="s">
        <v>268</v>
      </c>
      <c r="E155" s="15">
        <v>2</v>
      </c>
      <c r="F155" s="15">
        <v>44.38</v>
      </c>
      <c r="G155" s="16">
        <f>ROUND(E155*F155,2)</f>
        <v>88.76</v>
      </c>
    </row>
    <row r="156" spans="1:7" ht="31.2" x14ac:dyDescent="0.3">
      <c r="A156" s="13" t="s">
        <v>269</v>
      </c>
      <c r="B156" s="13" t="s">
        <v>15</v>
      </c>
      <c r="C156" s="13" t="s">
        <v>215</v>
      </c>
      <c r="D156" s="14" t="s">
        <v>270</v>
      </c>
      <c r="E156" s="15">
        <v>4</v>
      </c>
      <c r="F156" s="15">
        <v>49.49</v>
      </c>
      <c r="G156" s="16">
        <f>ROUND(E156*F156,2)</f>
        <v>197.96</v>
      </c>
    </row>
    <row r="157" spans="1:7" x14ac:dyDescent="0.3">
      <c r="A157" s="13" t="s">
        <v>271</v>
      </c>
      <c r="B157" s="13" t="s">
        <v>15</v>
      </c>
      <c r="C157" s="13" t="s">
        <v>215</v>
      </c>
      <c r="D157" s="14" t="s">
        <v>272</v>
      </c>
      <c r="E157" s="15">
        <v>0</v>
      </c>
      <c r="F157" s="15">
        <v>126.15</v>
      </c>
      <c r="G157" s="16">
        <f>ROUND(E157*F157,2)</f>
        <v>0</v>
      </c>
    </row>
    <row r="158" spans="1:7" x14ac:dyDescent="0.3">
      <c r="A158" s="17"/>
      <c r="B158" s="17"/>
      <c r="C158" s="17"/>
      <c r="D158" s="18" t="s">
        <v>273</v>
      </c>
      <c r="E158" s="15">
        <v>1</v>
      </c>
      <c r="F158" s="12">
        <f>SUM(G146:G157)</f>
        <v>3886.9100000000003</v>
      </c>
      <c r="G158" s="12">
        <f>ROUND(F158*E158,2)</f>
        <v>3886.91</v>
      </c>
    </row>
    <row r="159" spans="1:7" ht="1.05" customHeight="1" x14ac:dyDescent="0.3">
      <c r="A159" s="20"/>
      <c r="B159" s="20"/>
      <c r="C159" s="20"/>
      <c r="D159" s="21"/>
      <c r="E159" s="20"/>
      <c r="F159" s="20"/>
      <c r="G159" s="20"/>
    </row>
    <row r="160" spans="1:7" x14ac:dyDescent="0.3">
      <c r="A160" s="22" t="s">
        <v>274</v>
      </c>
      <c r="B160" s="22" t="s">
        <v>11</v>
      </c>
      <c r="C160" s="22" t="s">
        <v>12</v>
      </c>
      <c r="D160" s="23" t="s">
        <v>275</v>
      </c>
      <c r="E160" s="12">
        <f>E164</f>
        <v>1</v>
      </c>
      <c r="F160" s="12">
        <f>F164</f>
        <v>2836.48</v>
      </c>
      <c r="G160" s="12">
        <f>G164</f>
        <v>2836.48</v>
      </c>
    </row>
    <row r="161" spans="1:7" ht="31.2" x14ac:dyDescent="0.3">
      <c r="A161" s="13" t="s">
        <v>276</v>
      </c>
      <c r="B161" s="13" t="s">
        <v>15</v>
      </c>
      <c r="C161" s="13" t="s">
        <v>28</v>
      </c>
      <c r="D161" s="14" t="s">
        <v>277</v>
      </c>
      <c r="E161" s="15">
        <v>22.5</v>
      </c>
      <c r="F161" s="15">
        <v>27.3</v>
      </c>
      <c r="G161" s="16">
        <f>ROUND(E161*F161,2)</f>
        <v>614.25</v>
      </c>
    </row>
    <row r="162" spans="1:7" x14ac:dyDescent="0.3">
      <c r="A162" s="13" t="s">
        <v>278</v>
      </c>
      <c r="B162" s="13" t="s">
        <v>15</v>
      </c>
      <c r="C162" s="13" t="s">
        <v>215</v>
      </c>
      <c r="D162" s="14" t="s">
        <v>279</v>
      </c>
      <c r="E162" s="15">
        <v>1</v>
      </c>
      <c r="F162" s="15">
        <v>1666.67</v>
      </c>
      <c r="G162" s="16">
        <f>ROUND(E162*F162,2)</f>
        <v>1666.67</v>
      </c>
    </row>
    <row r="163" spans="1:7" ht="31.2" x14ac:dyDescent="0.3">
      <c r="A163" s="13" t="s">
        <v>280</v>
      </c>
      <c r="B163" s="13" t="s">
        <v>15</v>
      </c>
      <c r="C163" s="13" t="s">
        <v>215</v>
      </c>
      <c r="D163" s="14" t="s">
        <v>281</v>
      </c>
      <c r="E163" s="15">
        <v>1</v>
      </c>
      <c r="F163" s="15">
        <v>555.55999999999995</v>
      </c>
      <c r="G163" s="16">
        <f>ROUND(E163*F163,2)</f>
        <v>555.55999999999995</v>
      </c>
    </row>
    <row r="164" spans="1:7" x14ac:dyDescent="0.3">
      <c r="A164" s="17"/>
      <c r="B164" s="17"/>
      <c r="C164" s="17"/>
      <c r="D164" s="18" t="s">
        <v>282</v>
      </c>
      <c r="E164" s="15">
        <v>1</v>
      </c>
      <c r="F164" s="12">
        <f>SUM(G161:G163)</f>
        <v>2836.48</v>
      </c>
      <c r="G164" s="12">
        <f>ROUND(F164*E164,2)</f>
        <v>2836.48</v>
      </c>
    </row>
    <row r="165" spans="1:7" ht="1.05" customHeight="1" x14ac:dyDescent="0.3">
      <c r="A165" s="20"/>
      <c r="B165" s="20"/>
      <c r="C165" s="20"/>
      <c r="D165" s="21"/>
      <c r="E165" s="20"/>
      <c r="F165" s="20"/>
      <c r="G165" s="20"/>
    </row>
    <row r="166" spans="1:7" x14ac:dyDescent="0.3">
      <c r="A166" s="17"/>
      <c r="B166" s="17"/>
      <c r="C166" s="17"/>
      <c r="D166" s="18" t="s">
        <v>283</v>
      </c>
      <c r="E166" s="15">
        <v>1</v>
      </c>
      <c r="F166" s="12">
        <f>G120+G127+G131+G143+G158+G164</f>
        <v>98707.64999999998</v>
      </c>
      <c r="G166" s="12">
        <f>ROUND(F166*E166,2)</f>
        <v>98707.65</v>
      </c>
    </row>
    <row r="167" spans="1:7" ht="1.05" customHeight="1" x14ac:dyDescent="0.3">
      <c r="A167" s="20"/>
      <c r="B167" s="20"/>
      <c r="C167" s="20"/>
      <c r="D167" s="21"/>
      <c r="E167" s="20"/>
      <c r="F167" s="20"/>
      <c r="G167" s="20"/>
    </row>
    <row r="168" spans="1:7" x14ac:dyDescent="0.3">
      <c r="A168" s="22" t="s">
        <v>284</v>
      </c>
      <c r="B168" s="22" t="s">
        <v>11</v>
      </c>
      <c r="C168" s="22" t="s">
        <v>12</v>
      </c>
      <c r="D168" s="23" t="s">
        <v>285</v>
      </c>
      <c r="E168" s="12">
        <f>E184</f>
        <v>1</v>
      </c>
      <c r="F168" s="12">
        <f>F184</f>
        <v>9624.48</v>
      </c>
      <c r="G168" s="12">
        <f>G184</f>
        <v>9624.48</v>
      </c>
    </row>
    <row r="169" spans="1:7" ht="31.2" x14ac:dyDescent="0.3">
      <c r="A169" s="13" t="s">
        <v>286</v>
      </c>
      <c r="B169" s="13" t="s">
        <v>15</v>
      </c>
      <c r="C169" s="13" t="s">
        <v>215</v>
      </c>
      <c r="D169" s="14" t="s">
        <v>287</v>
      </c>
      <c r="E169" s="15">
        <v>1</v>
      </c>
      <c r="F169" s="15">
        <v>807.8</v>
      </c>
      <c r="G169" s="16">
        <f>ROUND(E169*F169,2)</f>
        <v>807.8</v>
      </c>
    </row>
    <row r="170" spans="1:7" ht="31.2" x14ac:dyDescent="0.3">
      <c r="A170" s="13" t="s">
        <v>288</v>
      </c>
      <c r="B170" s="13" t="s">
        <v>15</v>
      </c>
      <c r="C170" s="13" t="s">
        <v>215</v>
      </c>
      <c r="D170" s="14" t="s">
        <v>289</v>
      </c>
      <c r="E170" s="15">
        <v>1</v>
      </c>
      <c r="F170" s="15">
        <v>1262.18</v>
      </c>
      <c r="G170" s="16">
        <f>ROUND(E170*F170,2)</f>
        <v>1262.18</v>
      </c>
    </row>
    <row r="171" spans="1:7" ht="31.2" x14ac:dyDescent="0.3">
      <c r="A171" s="13" t="s">
        <v>290</v>
      </c>
      <c r="B171" s="13" t="s">
        <v>15</v>
      </c>
      <c r="C171" s="13" t="s">
        <v>215</v>
      </c>
      <c r="D171" s="14" t="s">
        <v>291</v>
      </c>
      <c r="E171" s="15">
        <v>21</v>
      </c>
      <c r="F171" s="15">
        <v>194.2</v>
      </c>
      <c r="G171" s="16">
        <f>ROUND(E171*F171,2)</f>
        <v>4078.2</v>
      </c>
    </row>
    <row r="172" spans="1:7" x14ac:dyDescent="0.3">
      <c r="A172" s="13" t="s">
        <v>292</v>
      </c>
      <c r="B172" s="13" t="s">
        <v>15</v>
      </c>
      <c r="C172" s="13" t="s">
        <v>215</v>
      </c>
      <c r="D172" s="14" t="s">
        <v>293</v>
      </c>
      <c r="E172" s="15">
        <v>6</v>
      </c>
      <c r="F172" s="15">
        <v>11.25</v>
      </c>
      <c r="G172" s="16">
        <f>ROUND(E172*F172,2)</f>
        <v>67.5</v>
      </c>
    </row>
    <row r="173" spans="1:7" ht="31.2" x14ac:dyDescent="0.3">
      <c r="A173" s="13" t="s">
        <v>294</v>
      </c>
      <c r="B173" s="13" t="s">
        <v>15</v>
      </c>
      <c r="C173" s="13" t="s">
        <v>215</v>
      </c>
      <c r="D173" s="14" t="s">
        <v>295</v>
      </c>
      <c r="E173" s="15">
        <v>2</v>
      </c>
      <c r="F173" s="15">
        <v>29.23</v>
      </c>
      <c r="G173" s="16">
        <f>ROUND(E173*F173,2)</f>
        <v>58.46</v>
      </c>
    </row>
    <row r="174" spans="1:7" x14ac:dyDescent="0.3">
      <c r="A174" s="13" t="s">
        <v>296</v>
      </c>
      <c r="B174" s="13" t="s">
        <v>15</v>
      </c>
      <c r="C174" s="13" t="s">
        <v>215</v>
      </c>
      <c r="D174" s="14" t="s">
        <v>297</v>
      </c>
      <c r="E174" s="15">
        <v>27</v>
      </c>
      <c r="F174" s="15">
        <v>50.07</v>
      </c>
      <c r="G174" s="16">
        <f>ROUND(E174*F174,2)</f>
        <v>1351.89</v>
      </c>
    </row>
    <row r="175" spans="1:7" x14ac:dyDescent="0.3">
      <c r="A175" s="13" t="s">
        <v>298</v>
      </c>
      <c r="B175" s="13" t="s">
        <v>15</v>
      </c>
      <c r="C175" s="13" t="s">
        <v>215</v>
      </c>
      <c r="D175" s="14" t="s">
        <v>299</v>
      </c>
      <c r="E175" s="15">
        <v>2</v>
      </c>
      <c r="F175" s="15">
        <v>42.74</v>
      </c>
      <c r="G175" s="16">
        <f>ROUND(E175*F175,2)</f>
        <v>85.48</v>
      </c>
    </row>
    <row r="176" spans="1:7" x14ac:dyDescent="0.3">
      <c r="A176" s="13" t="s">
        <v>300</v>
      </c>
      <c r="B176" s="13" t="s">
        <v>15</v>
      </c>
      <c r="C176" s="13" t="s">
        <v>215</v>
      </c>
      <c r="D176" s="14" t="s">
        <v>301</v>
      </c>
      <c r="E176" s="15">
        <v>1</v>
      </c>
      <c r="F176" s="15">
        <v>45.93</v>
      </c>
      <c r="G176" s="16">
        <f>ROUND(E176*F176,2)</f>
        <v>45.93</v>
      </c>
    </row>
    <row r="177" spans="1:7" x14ac:dyDescent="0.3">
      <c r="A177" s="13" t="s">
        <v>302</v>
      </c>
      <c r="B177" s="13" t="s">
        <v>15</v>
      </c>
      <c r="C177" s="13" t="s">
        <v>215</v>
      </c>
      <c r="D177" s="14" t="s">
        <v>303</v>
      </c>
      <c r="E177" s="15">
        <v>2</v>
      </c>
      <c r="F177" s="15">
        <v>51.73</v>
      </c>
      <c r="G177" s="16">
        <f>ROUND(E177*F177,2)</f>
        <v>103.46</v>
      </c>
    </row>
    <row r="178" spans="1:7" x14ac:dyDescent="0.3">
      <c r="A178" s="13" t="s">
        <v>304</v>
      </c>
      <c r="B178" s="13" t="s">
        <v>15</v>
      </c>
      <c r="C178" s="13" t="s">
        <v>215</v>
      </c>
      <c r="D178" s="14" t="s">
        <v>305</v>
      </c>
      <c r="E178" s="15">
        <v>1</v>
      </c>
      <c r="F178" s="15">
        <v>53.67</v>
      </c>
      <c r="G178" s="16">
        <f>ROUND(E178*F178,2)</f>
        <v>53.67</v>
      </c>
    </row>
    <row r="179" spans="1:7" ht="31.2" x14ac:dyDescent="0.3">
      <c r="A179" s="13" t="s">
        <v>306</v>
      </c>
      <c r="B179" s="13" t="s">
        <v>15</v>
      </c>
      <c r="C179" s="13" t="s">
        <v>215</v>
      </c>
      <c r="D179" s="14" t="s">
        <v>307</v>
      </c>
      <c r="E179" s="15">
        <v>7</v>
      </c>
      <c r="F179" s="15">
        <v>61.18</v>
      </c>
      <c r="G179" s="16">
        <f>ROUND(E179*F179,2)</f>
        <v>428.26</v>
      </c>
    </row>
    <row r="180" spans="1:7" ht="31.2" x14ac:dyDescent="0.3">
      <c r="A180" s="13" t="s">
        <v>308</v>
      </c>
      <c r="B180" s="13" t="s">
        <v>15</v>
      </c>
      <c r="C180" s="13" t="s">
        <v>215</v>
      </c>
      <c r="D180" s="14" t="s">
        <v>309</v>
      </c>
      <c r="E180" s="15">
        <v>1</v>
      </c>
      <c r="F180" s="15">
        <v>84.28</v>
      </c>
      <c r="G180" s="16">
        <f>ROUND(E180*F180,2)</f>
        <v>84.28</v>
      </c>
    </row>
    <row r="181" spans="1:7" ht="31.2" x14ac:dyDescent="0.3">
      <c r="A181" s="13" t="s">
        <v>310</v>
      </c>
      <c r="B181" s="13" t="s">
        <v>15</v>
      </c>
      <c r="C181" s="13" t="s">
        <v>215</v>
      </c>
      <c r="D181" s="14" t="s">
        <v>311</v>
      </c>
      <c r="E181" s="15">
        <v>2</v>
      </c>
      <c r="F181" s="15">
        <v>131.47999999999999</v>
      </c>
      <c r="G181" s="16">
        <f>ROUND(E181*F181,2)</f>
        <v>262.95999999999998</v>
      </c>
    </row>
    <row r="182" spans="1:7" x14ac:dyDescent="0.3">
      <c r="A182" s="13" t="s">
        <v>312</v>
      </c>
      <c r="B182" s="13" t="s">
        <v>15</v>
      </c>
      <c r="C182" s="13" t="s">
        <v>215</v>
      </c>
      <c r="D182" s="14" t="s">
        <v>313</v>
      </c>
      <c r="E182" s="15">
        <v>3</v>
      </c>
      <c r="F182" s="15">
        <v>237.39</v>
      </c>
      <c r="G182" s="16">
        <f>ROUND(E182*F182,2)</f>
        <v>712.17</v>
      </c>
    </row>
    <row r="183" spans="1:7" x14ac:dyDescent="0.3">
      <c r="A183" s="13" t="s">
        <v>314</v>
      </c>
      <c r="B183" s="13" t="s">
        <v>15</v>
      </c>
      <c r="C183" s="13" t="s">
        <v>215</v>
      </c>
      <c r="D183" s="14" t="s">
        <v>315</v>
      </c>
      <c r="E183" s="15">
        <v>4</v>
      </c>
      <c r="F183" s="15">
        <v>55.56</v>
      </c>
      <c r="G183" s="16">
        <f>ROUND(E183*F183,2)</f>
        <v>222.24</v>
      </c>
    </row>
    <row r="184" spans="1:7" x14ac:dyDescent="0.3">
      <c r="A184" s="17"/>
      <c r="B184" s="17"/>
      <c r="C184" s="17"/>
      <c r="D184" s="18" t="s">
        <v>316</v>
      </c>
      <c r="E184" s="15">
        <v>1</v>
      </c>
      <c r="F184" s="12">
        <f>SUM(G169:G183)</f>
        <v>9624.48</v>
      </c>
      <c r="G184" s="12">
        <f>ROUND(F184*E184,2)</f>
        <v>9624.48</v>
      </c>
    </row>
    <row r="185" spans="1:7" ht="1.05" customHeight="1" x14ac:dyDescent="0.3">
      <c r="A185" s="20"/>
      <c r="B185" s="20"/>
      <c r="C185" s="20"/>
      <c r="D185" s="21"/>
      <c r="E185" s="20"/>
      <c r="F185" s="20"/>
      <c r="G185" s="20"/>
    </row>
    <row r="186" spans="1:7" x14ac:dyDescent="0.3">
      <c r="A186" s="17"/>
      <c r="B186" s="17"/>
      <c r="C186" s="17"/>
      <c r="D186" s="18" t="s">
        <v>317</v>
      </c>
      <c r="E186" s="19">
        <v>1</v>
      </c>
      <c r="F186" s="12">
        <f>G49+G53+G63+G69+G74+G79+G85+G92+G166+G184</f>
        <v>365607.99</v>
      </c>
      <c r="G186" s="12">
        <f>ROUND(F186*E186,2)</f>
        <v>365607.99</v>
      </c>
    </row>
    <row r="187" spans="1:7" ht="1.05" customHeight="1" x14ac:dyDescent="0.3">
      <c r="A187" s="20"/>
      <c r="B187" s="20"/>
      <c r="C187" s="20"/>
      <c r="D187" s="21"/>
      <c r="E187" s="20"/>
      <c r="F187" s="20"/>
      <c r="G187" s="20"/>
    </row>
    <row r="188" spans="1:7" x14ac:dyDescent="0.3">
      <c r="A188" s="9" t="s">
        <v>318</v>
      </c>
      <c r="B188" s="9" t="s">
        <v>11</v>
      </c>
      <c r="C188" s="9" t="s">
        <v>12</v>
      </c>
      <c r="D188" s="10" t="s">
        <v>319</v>
      </c>
      <c r="E188" s="11">
        <f>E326</f>
        <v>1</v>
      </c>
      <c r="F188" s="12">
        <f>F326</f>
        <v>203110.3</v>
      </c>
      <c r="G188" s="12">
        <f>G326</f>
        <v>203110.3</v>
      </c>
    </row>
    <row r="189" spans="1:7" x14ac:dyDescent="0.3">
      <c r="A189" s="22" t="s">
        <v>320</v>
      </c>
      <c r="B189" s="22" t="s">
        <v>11</v>
      </c>
      <c r="C189" s="22" t="s">
        <v>12</v>
      </c>
      <c r="D189" s="23" t="s">
        <v>57</v>
      </c>
      <c r="E189" s="12">
        <f>E207</f>
        <v>1</v>
      </c>
      <c r="F189" s="12">
        <f>F207</f>
        <v>111947.9</v>
      </c>
      <c r="G189" s="12">
        <f>G207</f>
        <v>111947.9</v>
      </c>
    </row>
    <row r="190" spans="1:7" x14ac:dyDescent="0.3">
      <c r="A190" s="13" t="s">
        <v>81</v>
      </c>
      <c r="B190" s="13" t="s">
        <v>15</v>
      </c>
      <c r="C190" s="13" t="s">
        <v>60</v>
      </c>
      <c r="D190" s="14" t="s">
        <v>82</v>
      </c>
      <c r="E190" s="15">
        <v>7.7</v>
      </c>
      <c r="F190" s="15">
        <v>572.66999999999996</v>
      </c>
      <c r="G190" s="16">
        <f>ROUND(E190*F190,2)</f>
        <v>4409.5600000000004</v>
      </c>
    </row>
    <row r="191" spans="1:7" x14ac:dyDescent="0.3">
      <c r="A191" s="13" t="s">
        <v>83</v>
      </c>
      <c r="B191" s="13" t="s">
        <v>15</v>
      </c>
      <c r="C191" s="13" t="s">
        <v>60</v>
      </c>
      <c r="D191" s="14" t="s">
        <v>84</v>
      </c>
      <c r="E191" s="15">
        <v>3.82</v>
      </c>
      <c r="F191" s="15">
        <v>545.57000000000005</v>
      </c>
      <c r="G191" s="16">
        <f>ROUND(E191*F191,2)</f>
        <v>2084.08</v>
      </c>
    </row>
    <row r="192" spans="1:7" ht="46.8" x14ac:dyDescent="0.3">
      <c r="A192" s="13" t="s">
        <v>87</v>
      </c>
      <c r="B192" s="13" t="s">
        <v>15</v>
      </c>
      <c r="C192" s="13" t="s">
        <v>60</v>
      </c>
      <c r="D192" s="14" t="s">
        <v>88</v>
      </c>
      <c r="E192" s="15">
        <v>40.79</v>
      </c>
      <c r="F192" s="15">
        <v>410.36</v>
      </c>
      <c r="G192" s="16">
        <f>ROUND(E192*F192,2)</f>
        <v>16738.580000000002</v>
      </c>
    </row>
    <row r="193" spans="1:7" ht="31.2" x14ac:dyDescent="0.3">
      <c r="A193" s="13" t="s">
        <v>97</v>
      </c>
      <c r="B193" s="13" t="s">
        <v>15</v>
      </c>
      <c r="C193" s="13" t="s">
        <v>60</v>
      </c>
      <c r="D193" s="14" t="s">
        <v>98</v>
      </c>
      <c r="E193" s="15">
        <v>7.63</v>
      </c>
      <c r="F193" s="15">
        <v>1055.26</v>
      </c>
      <c r="G193" s="16">
        <f>ROUND(E193*F193,2)</f>
        <v>8051.63</v>
      </c>
    </row>
    <row r="194" spans="1:7" ht="31.2" x14ac:dyDescent="0.3">
      <c r="A194" s="13" t="s">
        <v>99</v>
      </c>
      <c r="B194" s="13" t="s">
        <v>15</v>
      </c>
      <c r="C194" s="13" t="s">
        <v>60</v>
      </c>
      <c r="D194" s="14" t="s">
        <v>100</v>
      </c>
      <c r="E194" s="15">
        <v>4.88</v>
      </c>
      <c r="F194" s="15">
        <v>779.5</v>
      </c>
      <c r="G194" s="16">
        <f>ROUND(E194*F194,2)</f>
        <v>3803.96</v>
      </c>
    </row>
    <row r="195" spans="1:7" ht="31.2" x14ac:dyDescent="0.3">
      <c r="A195" s="13" t="s">
        <v>101</v>
      </c>
      <c r="B195" s="13" t="s">
        <v>15</v>
      </c>
      <c r="C195" s="13" t="s">
        <v>60</v>
      </c>
      <c r="D195" s="14" t="s">
        <v>102</v>
      </c>
      <c r="E195" s="15">
        <v>6.1</v>
      </c>
      <c r="F195" s="15">
        <v>1077.93</v>
      </c>
      <c r="G195" s="16">
        <f>ROUND(E195*F195,2)</f>
        <v>6575.37</v>
      </c>
    </row>
    <row r="196" spans="1:7" ht="31.2" x14ac:dyDescent="0.3">
      <c r="A196" s="13" t="s">
        <v>103</v>
      </c>
      <c r="B196" s="13" t="s">
        <v>15</v>
      </c>
      <c r="C196" s="13" t="s">
        <v>60</v>
      </c>
      <c r="D196" s="14" t="s">
        <v>104</v>
      </c>
      <c r="E196" s="15">
        <v>4.58</v>
      </c>
      <c r="F196" s="15">
        <v>1000.73</v>
      </c>
      <c r="G196" s="16">
        <f>ROUND(E196*F196,2)</f>
        <v>4583.34</v>
      </c>
    </row>
    <row r="197" spans="1:7" x14ac:dyDescent="0.3">
      <c r="A197" s="13" t="s">
        <v>105</v>
      </c>
      <c r="B197" s="13" t="s">
        <v>15</v>
      </c>
      <c r="C197" s="13" t="s">
        <v>60</v>
      </c>
      <c r="D197" s="14" t="s">
        <v>106</v>
      </c>
      <c r="E197" s="15">
        <v>5.13</v>
      </c>
      <c r="F197" s="15">
        <v>476.95</v>
      </c>
      <c r="G197" s="16">
        <f>ROUND(E197*F197,2)</f>
        <v>2446.75</v>
      </c>
    </row>
    <row r="198" spans="1:7" x14ac:dyDescent="0.3">
      <c r="A198" s="13" t="s">
        <v>321</v>
      </c>
      <c r="B198" s="13" t="s">
        <v>15</v>
      </c>
      <c r="C198" s="13" t="s">
        <v>60</v>
      </c>
      <c r="D198" s="14" t="s">
        <v>322</v>
      </c>
      <c r="E198" s="15">
        <v>3.69</v>
      </c>
      <c r="F198" s="15">
        <v>713.28</v>
      </c>
      <c r="G198" s="16">
        <f>ROUND(E198*F198,2)</f>
        <v>2632</v>
      </c>
    </row>
    <row r="199" spans="1:7" x14ac:dyDescent="0.3">
      <c r="A199" s="13" t="s">
        <v>323</v>
      </c>
      <c r="B199" s="13" t="s">
        <v>15</v>
      </c>
      <c r="C199" s="13" t="s">
        <v>60</v>
      </c>
      <c r="D199" s="14" t="s">
        <v>324</v>
      </c>
      <c r="E199" s="15">
        <v>4.34</v>
      </c>
      <c r="F199" s="15">
        <v>702.51</v>
      </c>
      <c r="G199" s="16">
        <f>ROUND(E199*F199,2)</f>
        <v>3048.89</v>
      </c>
    </row>
    <row r="200" spans="1:7" x14ac:dyDescent="0.3">
      <c r="A200" s="13" t="s">
        <v>325</v>
      </c>
      <c r="B200" s="13" t="s">
        <v>15</v>
      </c>
      <c r="C200" s="13" t="s">
        <v>60</v>
      </c>
      <c r="D200" s="14" t="s">
        <v>326</v>
      </c>
      <c r="E200" s="15">
        <v>4.91</v>
      </c>
      <c r="F200" s="15">
        <v>680.27</v>
      </c>
      <c r="G200" s="16">
        <f>ROUND(E200*F200,2)</f>
        <v>3340.13</v>
      </c>
    </row>
    <row r="201" spans="1:7" x14ac:dyDescent="0.3">
      <c r="A201" s="13" t="s">
        <v>327</v>
      </c>
      <c r="B201" s="13" t="s">
        <v>15</v>
      </c>
      <c r="C201" s="13" t="s">
        <v>60</v>
      </c>
      <c r="D201" s="14" t="s">
        <v>328</v>
      </c>
      <c r="E201" s="15">
        <v>5.81</v>
      </c>
      <c r="F201" s="15">
        <v>693.2</v>
      </c>
      <c r="G201" s="16">
        <f>ROUND(E201*F201,2)</f>
        <v>4027.49</v>
      </c>
    </row>
    <row r="202" spans="1:7" x14ac:dyDescent="0.3">
      <c r="A202" s="13" t="s">
        <v>329</v>
      </c>
      <c r="B202" s="13" t="s">
        <v>15</v>
      </c>
      <c r="C202" s="13" t="s">
        <v>60</v>
      </c>
      <c r="D202" s="14" t="s">
        <v>330</v>
      </c>
      <c r="E202" s="15">
        <v>2.37</v>
      </c>
      <c r="F202" s="15">
        <v>693.4</v>
      </c>
      <c r="G202" s="16">
        <f>ROUND(E202*F202,2)</f>
        <v>1643.36</v>
      </c>
    </row>
    <row r="203" spans="1:7" x14ac:dyDescent="0.3">
      <c r="A203" s="13" t="s">
        <v>331</v>
      </c>
      <c r="B203" s="13" t="s">
        <v>15</v>
      </c>
      <c r="C203" s="13" t="s">
        <v>60</v>
      </c>
      <c r="D203" s="14" t="s">
        <v>332</v>
      </c>
      <c r="E203" s="15">
        <v>4.0999999999999996</v>
      </c>
      <c r="F203" s="15">
        <v>700.15</v>
      </c>
      <c r="G203" s="16">
        <f>ROUND(E203*F203,2)</f>
        <v>2870.62</v>
      </c>
    </row>
    <row r="204" spans="1:7" x14ac:dyDescent="0.3">
      <c r="A204" s="13" t="s">
        <v>333</v>
      </c>
      <c r="B204" s="13" t="s">
        <v>15</v>
      </c>
      <c r="C204" s="13" t="s">
        <v>60</v>
      </c>
      <c r="D204" s="14" t="s">
        <v>334</v>
      </c>
      <c r="E204" s="15">
        <v>4.75</v>
      </c>
      <c r="F204" s="15">
        <v>693.4</v>
      </c>
      <c r="G204" s="16">
        <f>ROUND(E204*F204,2)</f>
        <v>3293.65</v>
      </c>
    </row>
    <row r="205" spans="1:7" x14ac:dyDescent="0.3">
      <c r="A205" s="13" t="s">
        <v>335</v>
      </c>
      <c r="B205" s="13" t="s">
        <v>15</v>
      </c>
      <c r="C205" s="13" t="s">
        <v>91</v>
      </c>
      <c r="D205" s="14" t="s">
        <v>336</v>
      </c>
      <c r="E205" s="15">
        <v>17.28</v>
      </c>
      <c r="F205" s="15">
        <v>367.46</v>
      </c>
      <c r="G205" s="16">
        <f>ROUND(E205*F205,2)</f>
        <v>6349.71</v>
      </c>
    </row>
    <row r="206" spans="1:7" x14ac:dyDescent="0.3">
      <c r="A206" s="13" t="s">
        <v>337</v>
      </c>
      <c r="B206" s="13" t="s">
        <v>15</v>
      </c>
      <c r="C206" s="13" t="s">
        <v>60</v>
      </c>
      <c r="D206" s="14" t="s">
        <v>338</v>
      </c>
      <c r="E206" s="15">
        <v>86.27</v>
      </c>
      <c r="F206" s="15">
        <v>417.86</v>
      </c>
      <c r="G206" s="16">
        <f>ROUND(E206*F206,2)</f>
        <v>36048.78</v>
      </c>
    </row>
    <row r="207" spans="1:7" x14ac:dyDescent="0.3">
      <c r="A207" s="17"/>
      <c r="B207" s="17"/>
      <c r="C207" s="17"/>
      <c r="D207" s="18" t="s">
        <v>339</v>
      </c>
      <c r="E207" s="15">
        <v>1</v>
      </c>
      <c r="F207" s="12">
        <f>SUM(G190:G206)</f>
        <v>111947.9</v>
      </c>
      <c r="G207" s="12">
        <f>ROUND(F207*E207,2)</f>
        <v>111947.9</v>
      </c>
    </row>
    <row r="208" spans="1:7" ht="1.05" customHeight="1" x14ac:dyDescent="0.3">
      <c r="A208" s="20"/>
      <c r="B208" s="20"/>
      <c r="C208" s="20"/>
      <c r="D208" s="21"/>
      <c r="E208" s="20"/>
      <c r="F208" s="20"/>
      <c r="G208" s="20"/>
    </row>
    <row r="209" spans="1:7" x14ac:dyDescent="0.3">
      <c r="A209" s="22" t="s">
        <v>340</v>
      </c>
      <c r="B209" s="22" t="s">
        <v>11</v>
      </c>
      <c r="C209" s="22" t="s">
        <v>12</v>
      </c>
      <c r="D209" s="23" t="s">
        <v>109</v>
      </c>
      <c r="E209" s="12">
        <f>E211</f>
        <v>1</v>
      </c>
      <c r="F209" s="12">
        <f>F211</f>
        <v>4586.79</v>
      </c>
      <c r="G209" s="12">
        <f>G211</f>
        <v>4586.79</v>
      </c>
    </row>
    <row r="210" spans="1:7" ht="31.2" x14ac:dyDescent="0.3">
      <c r="A210" s="13" t="s">
        <v>110</v>
      </c>
      <c r="B210" s="13" t="s">
        <v>15</v>
      </c>
      <c r="C210" s="13" t="s">
        <v>112</v>
      </c>
      <c r="D210" s="14" t="s">
        <v>111</v>
      </c>
      <c r="E210" s="15">
        <v>167.34</v>
      </c>
      <c r="F210" s="15">
        <v>27.41</v>
      </c>
      <c r="G210" s="16">
        <f>ROUND(E210*F210,2)</f>
        <v>4586.79</v>
      </c>
    </row>
    <row r="211" spans="1:7" x14ac:dyDescent="0.3">
      <c r="A211" s="17"/>
      <c r="B211" s="17"/>
      <c r="C211" s="17"/>
      <c r="D211" s="18" t="s">
        <v>341</v>
      </c>
      <c r="E211" s="15">
        <v>1</v>
      </c>
      <c r="F211" s="12">
        <f>G210</f>
        <v>4586.79</v>
      </c>
      <c r="G211" s="12">
        <f>ROUND(F211*E211,2)</f>
        <v>4586.79</v>
      </c>
    </row>
    <row r="212" spans="1:7" ht="1.05" customHeight="1" x14ac:dyDescent="0.3">
      <c r="A212" s="20"/>
      <c r="B212" s="20"/>
      <c r="C212" s="20"/>
      <c r="D212" s="21"/>
      <c r="E212" s="20"/>
      <c r="F212" s="20"/>
      <c r="G212" s="20"/>
    </row>
    <row r="213" spans="1:7" x14ac:dyDescent="0.3">
      <c r="A213" s="22" t="s">
        <v>342</v>
      </c>
      <c r="B213" s="22" t="s">
        <v>11</v>
      </c>
      <c r="C213" s="22" t="s">
        <v>12</v>
      </c>
      <c r="D213" s="23" t="s">
        <v>115</v>
      </c>
      <c r="E213" s="12">
        <f>E221</f>
        <v>1</v>
      </c>
      <c r="F213" s="12">
        <f>F221</f>
        <v>19050.239999999998</v>
      </c>
      <c r="G213" s="12">
        <f>G221</f>
        <v>19050.240000000002</v>
      </c>
    </row>
    <row r="214" spans="1:7" x14ac:dyDescent="0.3">
      <c r="A214" s="13" t="s">
        <v>116</v>
      </c>
      <c r="B214" s="13" t="s">
        <v>15</v>
      </c>
      <c r="C214" s="13" t="s">
        <v>112</v>
      </c>
      <c r="D214" s="14" t="s">
        <v>117</v>
      </c>
      <c r="E214" s="15">
        <v>785.71</v>
      </c>
      <c r="F214" s="15">
        <v>1.96</v>
      </c>
      <c r="G214" s="16">
        <f>ROUND(E214*F214,2)</f>
        <v>1539.99</v>
      </c>
    </row>
    <row r="215" spans="1:7" ht="31.2" x14ac:dyDescent="0.3">
      <c r="A215" s="13" t="s">
        <v>118</v>
      </c>
      <c r="B215" s="13" t="s">
        <v>15</v>
      </c>
      <c r="C215" s="13" t="s">
        <v>112</v>
      </c>
      <c r="D215" s="14" t="s">
        <v>119</v>
      </c>
      <c r="E215" s="15">
        <v>599.83000000000004</v>
      </c>
      <c r="F215" s="15">
        <v>8.4</v>
      </c>
      <c r="G215" s="16">
        <f>ROUND(E215*F215,2)</f>
        <v>5038.57</v>
      </c>
    </row>
    <row r="216" spans="1:7" ht="31.2" x14ac:dyDescent="0.3">
      <c r="A216" s="13" t="s">
        <v>120</v>
      </c>
      <c r="B216" s="13" t="s">
        <v>15</v>
      </c>
      <c r="C216" s="13" t="s">
        <v>112</v>
      </c>
      <c r="D216" s="14" t="s">
        <v>121</v>
      </c>
      <c r="E216" s="15">
        <v>188.98</v>
      </c>
      <c r="F216" s="15">
        <v>8.4700000000000006</v>
      </c>
      <c r="G216" s="16">
        <f>ROUND(E216*F216,2)</f>
        <v>1600.66</v>
      </c>
    </row>
    <row r="217" spans="1:7" ht="31.2" x14ac:dyDescent="0.3">
      <c r="A217" s="13" t="s">
        <v>122</v>
      </c>
      <c r="B217" s="13" t="s">
        <v>15</v>
      </c>
      <c r="C217" s="13" t="s">
        <v>112</v>
      </c>
      <c r="D217" s="14" t="s">
        <v>123</v>
      </c>
      <c r="E217" s="15">
        <v>673.04</v>
      </c>
      <c r="F217" s="15">
        <v>11.87</v>
      </c>
      <c r="G217" s="16">
        <f>ROUND(E217*F217,2)</f>
        <v>7988.98</v>
      </c>
    </row>
    <row r="218" spans="1:7" ht="31.2" x14ac:dyDescent="0.3">
      <c r="A218" s="13" t="s">
        <v>124</v>
      </c>
      <c r="B218" s="13" t="s">
        <v>15</v>
      </c>
      <c r="C218" s="13" t="s">
        <v>112</v>
      </c>
      <c r="D218" s="14" t="s">
        <v>125</v>
      </c>
      <c r="E218" s="15">
        <v>144.1</v>
      </c>
      <c r="F218" s="15">
        <v>9.4600000000000009</v>
      </c>
      <c r="G218" s="16">
        <f>ROUND(E218*F218,2)</f>
        <v>1363.19</v>
      </c>
    </row>
    <row r="219" spans="1:7" x14ac:dyDescent="0.3">
      <c r="A219" s="13" t="s">
        <v>126</v>
      </c>
      <c r="B219" s="13" t="s">
        <v>15</v>
      </c>
      <c r="C219" s="13" t="s">
        <v>28</v>
      </c>
      <c r="D219" s="14" t="s">
        <v>127</v>
      </c>
      <c r="E219" s="15">
        <v>325.7</v>
      </c>
      <c r="F219" s="15">
        <v>4.16</v>
      </c>
      <c r="G219" s="16">
        <f>ROUND(E219*F219,2)</f>
        <v>1354.91</v>
      </c>
    </row>
    <row r="220" spans="1:7" x14ac:dyDescent="0.3">
      <c r="A220" s="13" t="s">
        <v>128</v>
      </c>
      <c r="B220" s="13" t="s">
        <v>15</v>
      </c>
      <c r="C220" s="13" t="s">
        <v>28</v>
      </c>
      <c r="D220" s="14" t="s">
        <v>129</v>
      </c>
      <c r="E220" s="15">
        <v>36.35</v>
      </c>
      <c r="F220" s="15">
        <v>4.51</v>
      </c>
      <c r="G220" s="16">
        <f>ROUND(E220*F220,2)</f>
        <v>163.94</v>
      </c>
    </row>
    <row r="221" spans="1:7" x14ac:dyDescent="0.3">
      <c r="A221" s="17"/>
      <c r="B221" s="17"/>
      <c r="C221" s="17"/>
      <c r="D221" s="18" t="s">
        <v>343</v>
      </c>
      <c r="E221" s="15">
        <v>1</v>
      </c>
      <c r="F221" s="12">
        <f>SUM(G214:G220)</f>
        <v>19050.239999999998</v>
      </c>
      <c r="G221" s="12">
        <f>ROUND(F221*E221,2)</f>
        <v>19050.240000000002</v>
      </c>
    </row>
    <row r="222" spans="1:7" ht="1.05" customHeight="1" x14ac:dyDescent="0.3">
      <c r="A222" s="20"/>
      <c r="B222" s="20"/>
      <c r="C222" s="20"/>
      <c r="D222" s="21"/>
      <c r="E222" s="20"/>
      <c r="F222" s="20"/>
      <c r="G222" s="20"/>
    </row>
    <row r="223" spans="1:7" x14ac:dyDescent="0.3">
      <c r="A223" s="22" t="s">
        <v>344</v>
      </c>
      <c r="B223" s="22" t="s">
        <v>11</v>
      </c>
      <c r="C223" s="22" t="s">
        <v>12</v>
      </c>
      <c r="D223" s="23" t="s">
        <v>132</v>
      </c>
      <c r="E223" s="12">
        <f>E227</f>
        <v>1</v>
      </c>
      <c r="F223" s="12">
        <f>F227</f>
        <v>3419.83</v>
      </c>
      <c r="G223" s="12">
        <f>G227</f>
        <v>3419.83</v>
      </c>
    </row>
    <row r="224" spans="1:7" ht="31.2" x14ac:dyDescent="0.3">
      <c r="A224" s="13" t="s">
        <v>133</v>
      </c>
      <c r="B224" s="13" t="s">
        <v>15</v>
      </c>
      <c r="C224" s="13" t="s">
        <v>112</v>
      </c>
      <c r="D224" s="14" t="s">
        <v>134</v>
      </c>
      <c r="E224" s="15">
        <v>64.25</v>
      </c>
      <c r="F224" s="15">
        <v>42.32</v>
      </c>
      <c r="G224" s="16">
        <f>ROUND(E224*F224,2)</f>
        <v>2719.06</v>
      </c>
    </row>
    <row r="225" spans="1:7" ht="31.2" x14ac:dyDescent="0.3">
      <c r="A225" s="13" t="s">
        <v>135</v>
      </c>
      <c r="B225" s="13" t="s">
        <v>15</v>
      </c>
      <c r="C225" s="13" t="s">
        <v>28</v>
      </c>
      <c r="D225" s="14" t="s">
        <v>136</v>
      </c>
      <c r="E225" s="15">
        <v>47.22</v>
      </c>
      <c r="F225" s="15">
        <v>5.79</v>
      </c>
      <c r="G225" s="16">
        <f>ROUND(E225*F225,2)</f>
        <v>273.39999999999998</v>
      </c>
    </row>
    <row r="226" spans="1:7" x14ac:dyDescent="0.3">
      <c r="A226" s="13" t="s">
        <v>137</v>
      </c>
      <c r="B226" s="13" t="s">
        <v>15</v>
      </c>
      <c r="C226" s="13" t="s">
        <v>112</v>
      </c>
      <c r="D226" s="14" t="s">
        <v>138</v>
      </c>
      <c r="E226" s="15">
        <v>20.96</v>
      </c>
      <c r="F226" s="15">
        <v>20.39</v>
      </c>
      <c r="G226" s="16">
        <f>ROUND(E226*F226,2)</f>
        <v>427.37</v>
      </c>
    </row>
    <row r="227" spans="1:7" x14ac:dyDescent="0.3">
      <c r="A227" s="17"/>
      <c r="B227" s="17"/>
      <c r="C227" s="17"/>
      <c r="D227" s="18" t="s">
        <v>345</v>
      </c>
      <c r="E227" s="15">
        <v>1</v>
      </c>
      <c r="F227" s="12">
        <f>SUM(G224:G226)</f>
        <v>3419.83</v>
      </c>
      <c r="G227" s="12">
        <f>ROUND(F227*E227,2)</f>
        <v>3419.83</v>
      </c>
    </row>
    <row r="228" spans="1:7" ht="1.05" customHeight="1" x14ac:dyDescent="0.3">
      <c r="A228" s="20"/>
      <c r="B228" s="20"/>
      <c r="C228" s="20"/>
      <c r="D228" s="21"/>
      <c r="E228" s="20"/>
      <c r="F228" s="20"/>
      <c r="G228" s="20"/>
    </row>
    <row r="229" spans="1:7" x14ac:dyDescent="0.3">
      <c r="A229" s="22" t="s">
        <v>346</v>
      </c>
      <c r="B229" s="22" t="s">
        <v>11</v>
      </c>
      <c r="C229" s="22" t="s">
        <v>12</v>
      </c>
      <c r="D229" s="23" t="s">
        <v>347</v>
      </c>
      <c r="E229" s="12">
        <f>E231</f>
        <v>1</v>
      </c>
      <c r="F229" s="12">
        <f>F231</f>
        <v>648.07000000000005</v>
      </c>
      <c r="G229" s="12">
        <f>G231</f>
        <v>648.07000000000005</v>
      </c>
    </row>
    <row r="230" spans="1:7" ht="31.2" x14ac:dyDescent="0.3">
      <c r="A230" s="13" t="s">
        <v>348</v>
      </c>
      <c r="B230" s="13" t="s">
        <v>15</v>
      </c>
      <c r="C230" s="13" t="s">
        <v>22</v>
      </c>
      <c r="D230" s="14" t="s">
        <v>349</v>
      </c>
      <c r="E230" s="15">
        <v>15.04</v>
      </c>
      <c r="F230" s="15">
        <v>43.09</v>
      </c>
      <c r="G230" s="16">
        <f>ROUND(E230*F230,2)</f>
        <v>648.07000000000005</v>
      </c>
    </row>
    <row r="231" spans="1:7" x14ac:dyDescent="0.3">
      <c r="A231" s="17"/>
      <c r="B231" s="17"/>
      <c r="C231" s="17"/>
      <c r="D231" s="18" t="s">
        <v>350</v>
      </c>
      <c r="E231" s="15">
        <v>1</v>
      </c>
      <c r="F231" s="12">
        <f>G230</f>
        <v>648.07000000000005</v>
      </c>
      <c r="G231" s="12">
        <f>ROUND(F231*E231,2)</f>
        <v>648.07000000000005</v>
      </c>
    </row>
    <row r="232" spans="1:7" ht="1.05" customHeight="1" x14ac:dyDescent="0.3">
      <c r="A232" s="20"/>
      <c r="B232" s="20"/>
      <c r="C232" s="20"/>
      <c r="D232" s="21"/>
      <c r="E232" s="20"/>
      <c r="F232" s="20"/>
      <c r="G232" s="20"/>
    </row>
    <row r="233" spans="1:7" x14ac:dyDescent="0.3">
      <c r="A233" s="22" t="s">
        <v>351</v>
      </c>
      <c r="B233" s="22" t="s">
        <v>11</v>
      </c>
      <c r="C233" s="22" t="s">
        <v>12</v>
      </c>
      <c r="D233" s="23" t="s">
        <v>141</v>
      </c>
      <c r="E233" s="12">
        <f>E236</f>
        <v>1</v>
      </c>
      <c r="F233" s="12">
        <f>F236</f>
        <v>2936.7999999999997</v>
      </c>
      <c r="G233" s="12">
        <f>G236</f>
        <v>2936.8</v>
      </c>
    </row>
    <row r="234" spans="1:7" ht="31.2" x14ac:dyDescent="0.3">
      <c r="A234" s="13" t="s">
        <v>142</v>
      </c>
      <c r="B234" s="13" t="s">
        <v>15</v>
      </c>
      <c r="C234" s="13" t="s">
        <v>28</v>
      </c>
      <c r="D234" s="14" t="s">
        <v>143</v>
      </c>
      <c r="E234" s="15">
        <v>43.05</v>
      </c>
      <c r="F234" s="15">
        <v>61.92</v>
      </c>
      <c r="G234" s="16">
        <f>ROUND(E234*F234,2)</f>
        <v>2665.66</v>
      </c>
    </row>
    <row r="235" spans="1:7" x14ac:dyDescent="0.3">
      <c r="A235" s="13" t="s">
        <v>144</v>
      </c>
      <c r="B235" s="13" t="s">
        <v>15</v>
      </c>
      <c r="C235" s="13" t="s">
        <v>112</v>
      </c>
      <c r="D235" s="14" t="s">
        <v>145</v>
      </c>
      <c r="E235" s="15">
        <v>7.05</v>
      </c>
      <c r="F235" s="15">
        <v>38.46</v>
      </c>
      <c r="G235" s="16">
        <f>ROUND(E235*F235,2)</f>
        <v>271.14</v>
      </c>
    </row>
    <row r="236" spans="1:7" x14ac:dyDescent="0.3">
      <c r="A236" s="17"/>
      <c r="B236" s="17"/>
      <c r="C236" s="17"/>
      <c r="D236" s="18" t="s">
        <v>352</v>
      </c>
      <c r="E236" s="15">
        <v>1</v>
      </c>
      <c r="F236" s="12">
        <f>SUM(G234:G235)</f>
        <v>2936.7999999999997</v>
      </c>
      <c r="G236" s="12">
        <f>ROUND(F236*E236,2)</f>
        <v>2936.8</v>
      </c>
    </row>
    <row r="237" spans="1:7" ht="1.05" customHeight="1" x14ac:dyDescent="0.3">
      <c r="A237" s="20"/>
      <c r="B237" s="20"/>
      <c r="C237" s="20"/>
      <c r="D237" s="21"/>
      <c r="E237" s="20"/>
      <c r="F237" s="20"/>
      <c r="G237" s="20"/>
    </row>
    <row r="238" spans="1:7" x14ac:dyDescent="0.3">
      <c r="A238" s="22" t="s">
        <v>353</v>
      </c>
      <c r="B238" s="22" t="s">
        <v>11</v>
      </c>
      <c r="C238" s="22" t="s">
        <v>12</v>
      </c>
      <c r="D238" s="23" t="s">
        <v>148</v>
      </c>
      <c r="E238" s="12">
        <f>E243</f>
        <v>1</v>
      </c>
      <c r="F238" s="12">
        <f>F243</f>
        <v>4028.0699999999997</v>
      </c>
      <c r="G238" s="12">
        <f>G243</f>
        <v>4028.07</v>
      </c>
    </row>
    <row r="239" spans="1:7" ht="31.2" x14ac:dyDescent="0.3">
      <c r="A239" s="13" t="s">
        <v>149</v>
      </c>
      <c r="B239" s="13" t="s">
        <v>15</v>
      </c>
      <c r="C239" s="13" t="s">
        <v>151</v>
      </c>
      <c r="D239" s="14" t="s">
        <v>150</v>
      </c>
      <c r="E239" s="15">
        <v>2</v>
      </c>
      <c r="F239" s="15">
        <v>249.6</v>
      </c>
      <c r="G239" s="16">
        <f>ROUND(E239*F239,2)</f>
        <v>499.2</v>
      </c>
    </row>
    <row r="240" spans="1:7" ht="31.2" x14ac:dyDescent="0.3">
      <c r="A240" s="13" t="s">
        <v>152</v>
      </c>
      <c r="B240" s="13" t="s">
        <v>15</v>
      </c>
      <c r="C240" s="13" t="s">
        <v>151</v>
      </c>
      <c r="D240" s="14" t="s">
        <v>153</v>
      </c>
      <c r="E240" s="15">
        <v>4</v>
      </c>
      <c r="F240" s="15">
        <v>424.61</v>
      </c>
      <c r="G240" s="16">
        <f>ROUND(E240*F240,2)</f>
        <v>1698.44</v>
      </c>
    </row>
    <row r="241" spans="1:7" ht="31.2" x14ac:dyDescent="0.3">
      <c r="A241" s="13" t="s">
        <v>354</v>
      </c>
      <c r="B241" s="13" t="s">
        <v>15</v>
      </c>
      <c r="C241" s="13" t="s">
        <v>22</v>
      </c>
      <c r="D241" s="14" t="s">
        <v>355</v>
      </c>
      <c r="E241" s="15">
        <v>3.88</v>
      </c>
      <c r="F241" s="15">
        <v>238.1</v>
      </c>
      <c r="G241" s="16">
        <f>ROUND(E241*F241,2)</f>
        <v>923.83</v>
      </c>
    </row>
    <row r="242" spans="1:7" ht="31.2" x14ac:dyDescent="0.3">
      <c r="A242" s="13" t="s">
        <v>356</v>
      </c>
      <c r="B242" s="13" t="s">
        <v>15</v>
      </c>
      <c r="C242" s="13" t="s">
        <v>151</v>
      </c>
      <c r="D242" s="14" t="s">
        <v>357</v>
      </c>
      <c r="E242" s="15">
        <v>2</v>
      </c>
      <c r="F242" s="15">
        <v>453.3</v>
      </c>
      <c r="G242" s="16">
        <f>ROUND(E242*F242,2)</f>
        <v>906.6</v>
      </c>
    </row>
    <row r="243" spans="1:7" x14ac:dyDescent="0.3">
      <c r="A243" s="17"/>
      <c r="B243" s="17"/>
      <c r="C243" s="17"/>
      <c r="D243" s="18" t="s">
        <v>358</v>
      </c>
      <c r="E243" s="15">
        <v>1</v>
      </c>
      <c r="F243" s="12">
        <f>SUM(G239:G242)</f>
        <v>4028.0699999999997</v>
      </c>
      <c r="G243" s="12">
        <f>ROUND(F243*E243,2)</f>
        <v>4028.07</v>
      </c>
    </row>
    <row r="244" spans="1:7" ht="1.05" customHeight="1" x14ac:dyDescent="0.3">
      <c r="A244" s="20"/>
      <c r="B244" s="20"/>
      <c r="C244" s="20"/>
      <c r="D244" s="21"/>
      <c r="E244" s="20"/>
      <c r="F244" s="20"/>
      <c r="G244" s="20"/>
    </row>
    <row r="245" spans="1:7" x14ac:dyDescent="0.3">
      <c r="A245" s="22" t="s">
        <v>359</v>
      </c>
      <c r="B245" s="22" t="s">
        <v>11</v>
      </c>
      <c r="C245" s="22" t="s">
        <v>12</v>
      </c>
      <c r="D245" s="23" t="s">
        <v>360</v>
      </c>
      <c r="E245" s="12">
        <f>E248</f>
        <v>1</v>
      </c>
      <c r="F245" s="12">
        <f>F248</f>
        <v>4084.3599999999997</v>
      </c>
      <c r="G245" s="12">
        <f>G248</f>
        <v>4084.36</v>
      </c>
    </row>
    <row r="246" spans="1:7" ht="31.2" x14ac:dyDescent="0.3">
      <c r="A246" s="13" t="s">
        <v>361</v>
      </c>
      <c r="B246" s="13" t="s">
        <v>15</v>
      </c>
      <c r="C246" s="13" t="s">
        <v>363</v>
      </c>
      <c r="D246" s="14" t="s">
        <v>362</v>
      </c>
      <c r="E246" s="15">
        <v>5.16</v>
      </c>
      <c r="F246" s="15">
        <v>8.89</v>
      </c>
      <c r="G246" s="16">
        <f>ROUND(E246*F246,2)</f>
        <v>45.87</v>
      </c>
    </row>
    <row r="247" spans="1:7" x14ac:dyDescent="0.3">
      <c r="A247" s="13" t="s">
        <v>364</v>
      </c>
      <c r="B247" s="13" t="s">
        <v>15</v>
      </c>
      <c r="C247" s="13" t="s">
        <v>22</v>
      </c>
      <c r="D247" s="14" t="s">
        <v>365</v>
      </c>
      <c r="E247" s="15">
        <v>24.58</v>
      </c>
      <c r="F247" s="15">
        <v>164.3</v>
      </c>
      <c r="G247" s="16">
        <f>ROUND(E247*F247,2)</f>
        <v>4038.49</v>
      </c>
    </row>
    <row r="248" spans="1:7" x14ac:dyDescent="0.3">
      <c r="A248" s="17"/>
      <c r="B248" s="17"/>
      <c r="C248" s="17"/>
      <c r="D248" s="18" t="s">
        <v>366</v>
      </c>
      <c r="E248" s="15">
        <v>1</v>
      </c>
      <c r="F248" s="12">
        <f>SUM(G246:G247)</f>
        <v>4084.3599999999997</v>
      </c>
      <c r="G248" s="12">
        <f>ROUND(F248*E248,2)</f>
        <v>4084.36</v>
      </c>
    </row>
    <row r="249" spans="1:7" ht="1.05" customHeight="1" x14ac:dyDescent="0.3">
      <c r="A249" s="20"/>
      <c r="B249" s="20"/>
      <c r="C249" s="20"/>
      <c r="D249" s="21"/>
      <c r="E249" s="20"/>
      <c r="F249" s="20"/>
      <c r="G249" s="20"/>
    </row>
    <row r="250" spans="1:7" x14ac:dyDescent="0.3">
      <c r="A250" s="22" t="s">
        <v>367</v>
      </c>
      <c r="B250" s="22" t="s">
        <v>11</v>
      </c>
      <c r="C250" s="22" t="s">
        <v>12</v>
      </c>
      <c r="D250" s="23" t="s">
        <v>156</v>
      </c>
      <c r="E250" s="12">
        <f>E254</f>
        <v>1</v>
      </c>
      <c r="F250" s="12">
        <f>F254</f>
        <v>13953.220000000001</v>
      </c>
      <c r="G250" s="12">
        <f>G254</f>
        <v>13953.22</v>
      </c>
    </row>
    <row r="251" spans="1:7" x14ac:dyDescent="0.3">
      <c r="A251" s="13" t="s">
        <v>157</v>
      </c>
      <c r="B251" s="13" t="s">
        <v>15</v>
      </c>
      <c r="C251" s="13" t="s">
        <v>112</v>
      </c>
      <c r="D251" s="14" t="s">
        <v>158</v>
      </c>
      <c r="E251" s="15">
        <v>1422.42</v>
      </c>
      <c r="F251" s="15">
        <v>4.0199999999999996</v>
      </c>
      <c r="G251" s="16">
        <f>ROUND(E251*F251,2)</f>
        <v>5718.13</v>
      </c>
    </row>
    <row r="252" spans="1:7" x14ac:dyDescent="0.3">
      <c r="A252" s="13" t="s">
        <v>159</v>
      </c>
      <c r="B252" s="13" t="s">
        <v>15</v>
      </c>
      <c r="C252" s="13" t="s">
        <v>112</v>
      </c>
      <c r="D252" s="14" t="s">
        <v>160</v>
      </c>
      <c r="E252" s="15">
        <v>749.38</v>
      </c>
      <c r="F252" s="15">
        <v>4.37</v>
      </c>
      <c r="G252" s="16">
        <f>ROUND(E252*F252,2)</f>
        <v>3274.79</v>
      </c>
    </row>
    <row r="253" spans="1:7" x14ac:dyDescent="0.3">
      <c r="A253" s="13" t="s">
        <v>161</v>
      </c>
      <c r="B253" s="13" t="s">
        <v>15</v>
      </c>
      <c r="C253" s="13" t="s">
        <v>112</v>
      </c>
      <c r="D253" s="14" t="s">
        <v>162</v>
      </c>
      <c r="E253" s="15">
        <v>673.04</v>
      </c>
      <c r="F253" s="15">
        <v>7.37</v>
      </c>
      <c r="G253" s="16">
        <f>ROUND(E253*F253,2)</f>
        <v>4960.3</v>
      </c>
    </row>
    <row r="254" spans="1:7" x14ac:dyDescent="0.3">
      <c r="A254" s="17"/>
      <c r="B254" s="17"/>
      <c r="C254" s="17"/>
      <c r="D254" s="18" t="s">
        <v>368</v>
      </c>
      <c r="E254" s="15">
        <v>1</v>
      </c>
      <c r="F254" s="12">
        <f>SUM(G251:G253)</f>
        <v>13953.220000000001</v>
      </c>
      <c r="G254" s="12">
        <f>ROUND(F254*E254,2)</f>
        <v>13953.22</v>
      </c>
    </row>
    <row r="255" spans="1:7" ht="1.05" customHeight="1" x14ac:dyDescent="0.3">
      <c r="A255" s="20"/>
      <c r="B255" s="20"/>
      <c r="C255" s="20"/>
      <c r="D255" s="21"/>
      <c r="E255" s="20"/>
      <c r="F255" s="20"/>
      <c r="G255" s="20"/>
    </row>
    <row r="256" spans="1:7" x14ac:dyDescent="0.3">
      <c r="A256" s="22" t="s">
        <v>369</v>
      </c>
      <c r="B256" s="22" t="s">
        <v>11</v>
      </c>
      <c r="C256" s="22" t="s">
        <v>12</v>
      </c>
      <c r="D256" s="23" t="s">
        <v>165</v>
      </c>
      <c r="E256" s="12">
        <f>E266</f>
        <v>1</v>
      </c>
      <c r="F256" s="12">
        <f>F266</f>
        <v>24943.599999999999</v>
      </c>
      <c r="G256" s="12">
        <f>G266</f>
        <v>24943.599999999999</v>
      </c>
    </row>
    <row r="257" spans="1:7" ht="31.2" x14ac:dyDescent="0.3">
      <c r="A257" s="13" t="s">
        <v>370</v>
      </c>
      <c r="B257" s="13" t="s">
        <v>15</v>
      </c>
      <c r="C257" s="13" t="s">
        <v>151</v>
      </c>
      <c r="D257" s="14" t="s">
        <v>371</v>
      </c>
      <c r="E257" s="15">
        <v>1</v>
      </c>
      <c r="F257" s="15">
        <v>3418.93</v>
      </c>
      <c r="G257" s="16">
        <f>ROUND(E257*F257,2)</f>
        <v>3418.93</v>
      </c>
    </row>
    <row r="258" spans="1:7" ht="31.2" x14ac:dyDescent="0.3">
      <c r="A258" s="13" t="s">
        <v>372</v>
      </c>
      <c r="B258" s="13" t="s">
        <v>15</v>
      </c>
      <c r="C258" s="13" t="s">
        <v>151</v>
      </c>
      <c r="D258" s="14" t="s">
        <v>373</v>
      </c>
      <c r="E258" s="15">
        <v>1</v>
      </c>
      <c r="F258" s="15">
        <v>3479.59</v>
      </c>
      <c r="G258" s="16">
        <f>ROUND(E258*F258,2)</f>
        <v>3479.59</v>
      </c>
    </row>
    <row r="259" spans="1:7" ht="31.2" x14ac:dyDescent="0.3">
      <c r="A259" s="13" t="s">
        <v>374</v>
      </c>
      <c r="B259" s="13" t="s">
        <v>15</v>
      </c>
      <c r="C259" s="13" t="s">
        <v>151</v>
      </c>
      <c r="D259" s="14" t="s">
        <v>375</v>
      </c>
      <c r="E259" s="15">
        <v>1</v>
      </c>
      <c r="F259" s="15">
        <v>2986.62</v>
      </c>
      <c r="G259" s="16">
        <f>ROUND(E259*F259,2)</f>
        <v>2986.62</v>
      </c>
    </row>
    <row r="260" spans="1:7" ht="31.2" x14ac:dyDescent="0.3">
      <c r="A260" s="13" t="s">
        <v>376</v>
      </c>
      <c r="B260" s="13" t="s">
        <v>15</v>
      </c>
      <c r="C260" s="13" t="s">
        <v>151</v>
      </c>
      <c r="D260" s="14" t="s">
        <v>377</v>
      </c>
      <c r="E260" s="15">
        <v>2</v>
      </c>
      <c r="F260" s="15">
        <v>4040.66</v>
      </c>
      <c r="G260" s="16">
        <f>ROUND(E260*F260,2)</f>
        <v>8081.32</v>
      </c>
    </row>
    <row r="261" spans="1:7" ht="31.2" x14ac:dyDescent="0.3">
      <c r="A261" s="13" t="s">
        <v>378</v>
      </c>
      <c r="B261" s="13" t="s">
        <v>15</v>
      </c>
      <c r="C261" s="13" t="s">
        <v>151</v>
      </c>
      <c r="D261" s="14" t="s">
        <v>379</v>
      </c>
      <c r="E261" s="15">
        <v>1</v>
      </c>
      <c r="F261" s="15">
        <v>3949.68</v>
      </c>
      <c r="G261" s="16">
        <f>ROUND(E261*F261,2)</f>
        <v>3949.68</v>
      </c>
    </row>
    <row r="262" spans="1:7" x14ac:dyDescent="0.3">
      <c r="A262" s="13" t="s">
        <v>168</v>
      </c>
      <c r="B262" s="13" t="s">
        <v>15</v>
      </c>
      <c r="C262" s="13" t="s">
        <v>151</v>
      </c>
      <c r="D262" s="14" t="s">
        <v>169</v>
      </c>
      <c r="E262" s="15">
        <v>8</v>
      </c>
      <c r="F262" s="15">
        <v>39.68</v>
      </c>
      <c r="G262" s="16">
        <f>ROUND(E262*F262,2)</f>
        <v>317.44</v>
      </c>
    </row>
    <row r="263" spans="1:7" x14ac:dyDescent="0.3">
      <c r="A263" s="13" t="s">
        <v>170</v>
      </c>
      <c r="B263" s="13" t="s">
        <v>15</v>
      </c>
      <c r="C263" s="13" t="s">
        <v>151</v>
      </c>
      <c r="D263" s="14" t="s">
        <v>171</v>
      </c>
      <c r="E263" s="15">
        <v>11</v>
      </c>
      <c r="F263" s="15">
        <v>4.13</v>
      </c>
      <c r="G263" s="16">
        <f>ROUND(E263*F263,2)</f>
        <v>45.43</v>
      </c>
    </row>
    <row r="264" spans="1:7" x14ac:dyDescent="0.3">
      <c r="A264" s="13" t="s">
        <v>172</v>
      </c>
      <c r="B264" s="13" t="s">
        <v>15</v>
      </c>
      <c r="C264" s="13" t="s">
        <v>28</v>
      </c>
      <c r="D264" s="14" t="s">
        <v>173</v>
      </c>
      <c r="E264" s="15">
        <v>11.16</v>
      </c>
      <c r="F264" s="15">
        <v>122.02</v>
      </c>
      <c r="G264" s="16">
        <f>ROUND(E264*F264,2)</f>
        <v>1361.74</v>
      </c>
    </row>
    <row r="265" spans="1:7" x14ac:dyDescent="0.3">
      <c r="A265" s="13" t="s">
        <v>380</v>
      </c>
      <c r="B265" s="13" t="s">
        <v>15</v>
      </c>
      <c r="C265" s="13" t="s">
        <v>112</v>
      </c>
      <c r="D265" s="14" t="s">
        <v>381</v>
      </c>
      <c r="E265" s="15">
        <v>66.95</v>
      </c>
      <c r="F265" s="15">
        <v>19.46</v>
      </c>
      <c r="G265" s="16">
        <f>ROUND(E265*F265,2)</f>
        <v>1302.8499999999999</v>
      </c>
    </row>
    <row r="266" spans="1:7" x14ac:dyDescent="0.3">
      <c r="A266" s="17"/>
      <c r="B266" s="17"/>
      <c r="C266" s="17"/>
      <c r="D266" s="18" t="s">
        <v>382</v>
      </c>
      <c r="E266" s="15">
        <v>1</v>
      </c>
      <c r="F266" s="12">
        <f>SUM(G257:G265)</f>
        <v>24943.599999999999</v>
      </c>
      <c r="G266" s="12">
        <f>ROUND(F266*E266,2)</f>
        <v>24943.599999999999</v>
      </c>
    </row>
    <row r="267" spans="1:7" ht="1.05" customHeight="1" x14ac:dyDescent="0.3">
      <c r="A267" s="20"/>
      <c r="B267" s="20"/>
      <c r="C267" s="20"/>
      <c r="D267" s="21"/>
      <c r="E267" s="20"/>
      <c r="F267" s="20"/>
      <c r="G267" s="20"/>
    </row>
    <row r="268" spans="1:7" x14ac:dyDescent="0.3">
      <c r="A268" s="22" t="s">
        <v>383</v>
      </c>
      <c r="B268" s="22" t="s">
        <v>11</v>
      </c>
      <c r="C268" s="22" t="s">
        <v>12</v>
      </c>
      <c r="D268" s="23" t="s">
        <v>176</v>
      </c>
      <c r="E268" s="12">
        <f>E308</f>
        <v>1</v>
      </c>
      <c r="F268" s="12">
        <f>F308</f>
        <v>5040.04</v>
      </c>
      <c r="G268" s="12">
        <f>G308</f>
        <v>5040.04</v>
      </c>
    </row>
    <row r="269" spans="1:7" ht="31.2" x14ac:dyDescent="0.3">
      <c r="A269" s="22" t="s">
        <v>384</v>
      </c>
      <c r="B269" s="22" t="s">
        <v>11</v>
      </c>
      <c r="C269" s="22" t="s">
        <v>12</v>
      </c>
      <c r="D269" s="23" t="s">
        <v>229</v>
      </c>
      <c r="E269" s="12">
        <f>E279</f>
        <v>1</v>
      </c>
      <c r="F269" s="12">
        <f>F279</f>
        <v>317.44</v>
      </c>
      <c r="G269" s="12">
        <f>G279</f>
        <v>317.44</v>
      </c>
    </row>
    <row r="270" spans="1:7" x14ac:dyDescent="0.3">
      <c r="A270" s="13" t="s">
        <v>230</v>
      </c>
      <c r="B270" s="13" t="s">
        <v>15</v>
      </c>
      <c r="C270" s="13" t="s">
        <v>28</v>
      </c>
      <c r="D270" s="14" t="s">
        <v>231</v>
      </c>
      <c r="E270" s="15">
        <v>11.95</v>
      </c>
      <c r="F270" s="15">
        <v>1.9</v>
      </c>
      <c r="G270" s="16">
        <f>ROUND(E270*F270,2)</f>
        <v>22.71</v>
      </c>
    </row>
    <row r="271" spans="1:7" x14ac:dyDescent="0.3">
      <c r="A271" s="13" t="s">
        <v>232</v>
      </c>
      <c r="B271" s="13" t="s">
        <v>15</v>
      </c>
      <c r="C271" s="13" t="s">
        <v>28</v>
      </c>
      <c r="D271" s="14" t="s">
        <v>233</v>
      </c>
      <c r="E271" s="15">
        <v>11.95</v>
      </c>
      <c r="F271" s="15">
        <v>4.3499999999999996</v>
      </c>
      <c r="G271" s="16">
        <f>ROUND(E271*F271,2)</f>
        <v>51.98</v>
      </c>
    </row>
    <row r="272" spans="1:7" x14ac:dyDescent="0.3">
      <c r="A272" s="13" t="s">
        <v>234</v>
      </c>
      <c r="B272" s="13" t="s">
        <v>15</v>
      </c>
      <c r="C272" s="13" t="s">
        <v>28</v>
      </c>
      <c r="D272" s="14" t="s">
        <v>235</v>
      </c>
      <c r="E272" s="15">
        <v>8.6999999999999993</v>
      </c>
      <c r="F272" s="15">
        <v>3.07</v>
      </c>
      <c r="G272" s="16">
        <f>ROUND(E272*F272,2)</f>
        <v>26.71</v>
      </c>
    </row>
    <row r="273" spans="1:7" x14ac:dyDescent="0.3">
      <c r="A273" s="13" t="s">
        <v>236</v>
      </c>
      <c r="B273" s="13" t="s">
        <v>15</v>
      </c>
      <c r="C273" s="13" t="s">
        <v>28</v>
      </c>
      <c r="D273" s="14" t="s">
        <v>237</v>
      </c>
      <c r="E273" s="15">
        <v>0</v>
      </c>
      <c r="F273" s="15">
        <v>4.22</v>
      </c>
      <c r="G273" s="16">
        <f>ROUND(E273*F273,2)</f>
        <v>0</v>
      </c>
    </row>
    <row r="274" spans="1:7" x14ac:dyDescent="0.3">
      <c r="A274" s="13" t="s">
        <v>238</v>
      </c>
      <c r="B274" s="13" t="s">
        <v>15</v>
      </c>
      <c r="C274" s="13" t="s">
        <v>28</v>
      </c>
      <c r="D274" s="14" t="s">
        <v>239</v>
      </c>
      <c r="E274" s="15">
        <v>0</v>
      </c>
      <c r="F274" s="15">
        <v>13.9</v>
      </c>
      <c r="G274" s="16">
        <f>ROUND(E274*F274,2)</f>
        <v>0</v>
      </c>
    </row>
    <row r="275" spans="1:7" x14ac:dyDescent="0.3">
      <c r="A275" s="13" t="s">
        <v>240</v>
      </c>
      <c r="B275" s="13" t="s">
        <v>15</v>
      </c>
      <c r="C275" s="13" t="s">
        <v>28</v>
      </c>
      <c r="D275" s="14" t="s">
        <v>241</v>
      </c>
      <c r="E275" s="15">
        <v>0</v>
      </c>
      <c r="F275" s="15">
        <v>15.59</v>
      </c>
      <c r="G275" s="16">
        <f>ROUND(E275*F275,2)</f>
        <v>0</v>
      </c>
    </row>
    <row r="276" spans="1:7" ht="31.2" x14ac:dyDescent="0.3">
      <c r="A276" s="13" t="s">
        <v>242</v>
      </c>
      <c r="B276" s="13" t="s">
        <v>15</v>
      </c>
      <c r="C276" s="13" t="s">
        <v>16</v>
      </c>
      <c r="D276" s="14" t="s">
        <v>243</v>
      </c>
      <c r="E276" s="15">
        <v>0.2</v>
      </c>
      <c r="F276" s="15">
        <v>793.65</v>
      </c>
      <c r="G276" s="16">
        <f>ROUND(E276*F276,2)</f>
        <v>158.72999999999999</v>
      </c>
    </row>
    <row r="277" spans="1:7" x14ac:dyDescent="0.3">
      <c r="A277" s="13" t="s">
        <v>244</v>
      </c>
      <c r="B277" s="13" t="s">
        <v>15</v>
      </c>
      <c r="C277" s="13" t="s">
        <v>215</v>
      </c>
      <c r="D277" s="14" t="s">
        <v>245</v>
      </c>
      <c r="E277" s="15">
        <v>0</v>
      </c>
      <c r="F277" s="15">
        <v>13.5</v>
      </c>
      <c r="G277" s="16">
        <f>ROUND(E277*F277,2)</f>
        <v>0</v>
      </c>
    </row>
    <row r="278" spans="1:7" x14ac:dyDescent="0.3">
      <c r="A278" s="13" t="s">
        <v>246</v>
      </c>
      <c r="B278" s="13" t="s">
        <v>15</v>
      </c>
      <c r="C278" s="13" t="s">
        <v>215</v>
      </c>
      <c r="D278" s="14" t="s">
        <v>247</v>
      </c>
      <c r="E278" s="15">
        <v>1</v>
      </c>
      <c r="F278" s="15">
        <v>57.31</v>
      </c>
      <c r="G278" s="16">
        <f>ROUND(E278*F278,2)</f>
        <v>57.31</v>
      </c>
    </row>
    <row r="279" spans="1:7" x14ac:dyDescent="0.3">
      <c r="A279" s="17"/>
      <c r="B279" s="17"/>
      <c r="C279" s="17"/>
      <c r="D279" s="18" t="s">
        <v>385</v>
      </c>
      <c r="E279" s="15">
        <v>1</v>
      </c>
      <c r="F279" s="12">
        <f>SUM(G270:G278)</f>
        <v>317.44</v>
      </c>
      <c r="G279" s="12">
        <f>ROUND(F279*E279,2)</f>
        <v>317.44</v>
      </c>
    </row>
    <row r="280" spans="1:7" ht="1.05" customHeight="1" x14ac:dyDescent="0.3">
      <c r="A280" s="20"/>
      <c r="B280" s="20"/>
      <c r="C280" s="20"/>
      <c r="D280" s="21"/>
      <c r="E280" s="20"/>
      <c r="F280" s="20"/>
      <c r="G280" s="20"/>
    </row>
    <row r="281" spans="1:7" ht="31.2" x14ac:dyDescent="0.3">
      <c r="A281" s="22" t="s">
        <v>386</v>
      </c>
      <c r="B281" s="22" t="s">
        <v>11</v>
      </c>
      <c r="C281" s="22" t="s">
        <v>12</v>
      </c>
      <c r="D281" s="23" t="s">
        <v>250</v>
      </c>
      <c r="E281" s="12">
        <f>E295</f>
        <v>1</v>
      </c>
      <c r="F281" s="12">
        <f>F295</f>
        <v>1880.2599999999998</v>
      </c>
      <c r="G281" s="12">
        <f>G295</f>
        <v>1880.26</v>
      </c>
    </row>
    <row r="282" spans="1:7" x14ac:dyDescent="0.3">
      <c r="A282" s="13" t="s">
        <v>230</v>
      </c>
      <c r="B282" s="13" t="s">
        <v>15</v>
      </c>
      <c r="C282" s="13" t="s">
        <v>28</v>
      </c>
      <c r="D282" s="14" t="s">
        <v>231</v>
      </c>
      <c r="E282" s="15">
        <v>69.72</v>
      </c>
      <c r="F282" s="15">
        <v>1.9</v>
      </c>
      <c r="G282" s="16">
        <f>ROUND(E282*F282,2)</f>
        <v>132.47</v>
      </c>
    </row>
    <row r="283" spans="1:7" x14ac:dyDescent="0.3">
      <c r="A283" s="13" t="s">
        <v>387</v>
      </c>
      <c r="B283" s="13" t="s">
        <v>15</v>
      </c>
      <c r="C283" s="13" t="s">
        <v>28</v>
      </c>
      <c r="D283" s="14" t="s">
        <v>388</v>
      </c>
      <c r="E283" s="15">
        <v>1.6</v>
      </c>
      <c r="F283" s="15">
        <v>2.82</v>
      </c>
      <c r="G283" s="16">
        <f>ROUND(E283*F283,2)</f>
        <v>4.51</v>
      </c>
    </row>
    <row r="284" spans="1:7" x14ac:dyDescent="0.3">
      <c r="A284" s="13" t="s">
        <v>389</v>
      </c>
      <c r="B284" s="13" t="s">
        <v>15</v>
      </c>
      <c r="C284" s="13" t="s">
        <v>28</v>
      </c>
      <c r="D284" s="14" t="s">
        <v>390</v>
      </c>
      <c r="E284" s="15">
        <v>0</v>
      </c>
      <c r="F284" s="15">
        <v>4.3600000000000003</v>
      </c>
      <c r="G284" s="16">
        <f>ROUND(E284*F284,2)</f>
        <v>0</v>
      </c>
    </row>
    <row r="285" spans="1:7" x14ac:dyDescent="0.3">
      <c r="A285" s="13" t="s">
        <v>391</v>
      </c>
      <c r="B285" s="13" t="s">
        <v>15</v>
      </c>
      <c r="C285" s="13" t="s">
        <v>28</v>
      </c>
      <c r="D285" s="14" t="s">
        <v>392</v>
      </c>
      <c r="E285" s="15">
        <v>2.15</v>
      </c>
      <c r="F285" s="15">
        <v>6.47</v>
      </c>
      <c r="G285" s="16">
        <f>ROUND(E285*F285,2)</f>
        <v>13.91</v>
      </c>
    </row>
    <row r="286" spans="1:7" x14ac:dyDescent="0.3">
      <c r="A286" s="13" t="s">
        <v>393</v>
      </c>
      <c r="B286" s="13" t="s">
        <v>15</v>
      </c>
      <c r="C286" s="13" t="s">
        <v>28</v>
      </c>
      <c r="D286" s="14" t="s">
        <v>394</v>
      </c>
      <c r="E286" s="15">
        <v>11.27</v>
      </c>
      <c r="F286" s="15">
        <v>10.02</v>
      </c>
      <c r="G286" s="16">
        <f>ROUND(E286*F286,2)</f>
        <v>112.93</v>
      </c>
    </row>
    <row r="287" spans="1:7" x14ac:dyDescent="0.3">
      <c r="A287" s="13" t="s">
        <v>395</v>
      </c>
      <c r="B287" s="13" t="s">
        <v>15</v>
      </c>
      <c r="C287" s="13" t="s">
        <v>28</v>
      </c>
      <c r="D287" s="14" t="s">
        <v>396</v>
      </c>
      <c r="E287" s="15">
        <v>0</v>
      </c>
      <c r="F287" s="15">
        <v>11.7</v>
      </c>
      <c r="G287" s="16">
        <f>ROUND(E287*F287,2)</f>
        <v>0</v>
      </c>
    </row>
    <row r="288" spans="1:7" x14ac:dyDescent="0.3">
      <c r="A288" s="13" t="s">
        <v>397</v>
      </c>
      <c r="B288" s="13" t="s">
        <v>15</v>
      </c>
      <c r="C288" s="13" t="s">
        <v>28</v>
      </c>
      <c r="D288" s="14" t="s">
        <v>398</v>
      </c>
      <c r="E288" s="15">
        <v>6.7</v>
      </c>
      <c r="F288" s="15">
        <v>16.88</v>
      </c>
      <c r="G288" s="16">
        <f>ROUND(E288*F288,2)</f>
        <v>113.1</v>
      </c>
    </row>
    <row r="289" spans="1:7" ht="31.2" x14ac:dyDescent="0.3">
      <c r="A289" s="13" t="s">
        <v>261</v>
      </c>
      <c r="B289" s="13" t="s">
        <v>15</v>
      </c>
      <c r="C289" s="13" t="s">
        <v>16</v>
      </c>
      <c r="D289" s="14" t="s">
        <v>262</v>
      </c>
      <c r="E289" s="15">
        <v>0.8</v>
      </c>
      <c r="F289" s="15">
        <v>1031.75</v>
      </c>
      <c r="G289" s="16">
        <f>ROUND(E289*F289,2)</f>
        <v>825.4</v>
      </c>
    </row>
    <row r="290" spans="1:7" x14ac:dyDescent="0.3">
      <c r="A290" s="13" t="s">
        <v>399</v>
      </c>
      <c r="B290" s="13" t="s">
        <v>15</v>
      </c>
      <c r="C290" s="13" t="s">
        <v>215</v>
      </c>
      <c r="D290" s="14" t="s">
        <v>400</v>
      </c>
      <c r="E290" s="15">
        <v>6</v>
      </c>
      <c r="F290" s="15">
        <v>30.14</v>
      </c>
      <c r="G290" s="16">
        <f>ROUND(E290*F290,2)</f>
        <v>180.84</v>
      </c>
    </row>
    <row r="291" spans="1:7" ht="31.2" x14ac:dyDescent="0.3">
      <c r="A291" s="13" t="s">
        <v>265</v>
      </c>
      <c r="B291" s="13" t="s">
        <v>15</v>
      </c>
      <c r="C291" s="13" t="s">
        <v>215</v>
      </c>
      <c r="D291" s="14" t="s">
        <v>266</v>
      </c>
      <c r="E291" s="15">
        <v>4</v>
      </c>
      <c r="F291" s="15">
        <v>32.25</v>
      </c>
      <c r="G291" s="16">
        <f>ROUND(E291*F291,2)</f>
        <v>129</v>
      </c>
    </row>
    <row r="292" spans="1:7" ht="31.2" x14ac:dyDescent="0.3">
      <c r="A292" s="13" t="s">
        <v>267</v>
      </c>
      <c r="B292" s="13" t="s">
        <v>15</v>
      </c>
      <c r="C292" s="13" t="s">
        <v>215</v>
      </c>
      <c r="D292" s="14" t="s">
        <v>268</v>
      </c>
      <c r="E292" s="15">
        <v>2</v>
      </c>
      <c r="F292" s="15">
        <v>44.38</v>
      </c>
      <c r="G292" s="16">
        <f>ROUND(E292*F292,2)</f>
        <v>88.76</v>
      </c>
    </row>
    <row r="293" spans="1:7" ht="31.2" x14ac:dyDescent="0.3">
      <c r="A293" s="13" t="s">
        <v>269</v>
      </c>
      <c r="B293" s="13" t="s">
        <v>15</v>
      </c>
      <c r="C293" s="13" t="s">
        <v>215</v>
      </c>
      <c r="D293" s="14" t="s">
        <v>270</v>
      </c>
      <c r="E293" s="15">
        <v>4</v>
      </c>
      <c r="F293" s="15">
        <v>49.49</v>
      </c>
      <c r="G293" s="16">
        <f>ROUND(E293*F293,2)</f>
        <v>197.96</v>
      </c>
    </row>
    <row r="294" spans="1:7" x14ac:dyDescent="0.3">
      <c r="A294" s="13" t="s">
        <v>401</v>
      </c>
      <c r="B294" s="13" t="s">
        <v>15</v>
      </c>
      <c r="C294" s="13" t="s">
        <v>215</v>
      </c>
      <c r="D294" s="14" t="s">
        <v>402</v>
      </c>
      <c r="E294" s="15">
        <v>1</v>
      </c>
      <c r="F294" s="15">
        <v>81.38</v>
      </c>
      <c r="G294" s="16">
        <f>ROUND(E294*F294,2)</f>
        <v>81.38</v>
      </c>
    </row>
    <row r="295" spans="1:7" x14ac:dyDescent="0.3">
      <c r="A295" s="17"/>
      <c r="B295" s="17"/>
      <c r="C295" s="17"/>
      <c r="D295" s="18" t="s">
        <v>403</v>
      </c>
      <c r="E295" s="15">
        <v>1</v>
      </c>
      <c r="F295" s="12">
        <f>SUM(G282:G294)</f>
        <v>1880.2599999999998</v>
      </c>
      <c r="G295" s="12">
        <f>ROUND(F295*E295,2)</f>
        <v>1880.26</v>
      </c>
    </row>
    <row r="296" spans="1:7" ht="1.05" customHeight="1" x14ac:dyDescent="0.3">
      <c r="A296" s="20"/>
      <c r="B296" s="20"/>
      <c r="C296" s="20"/>
      <c r="D296" s="21"/>
      <c r="E296" s="20"/>
      <c r="F296" s="20"/>
      <c r="G296" s="20"/>
    </row>
    <row r="297" spans="1:7" x14ac:dyDescent="0.3">
      <c r="A297" s="22" t="s">
        <v>404</v>
      </c>
      <c r="B297" s="22" t="s">
        <v>11</v>
      </c>
      <c r="C297" s="22" t="s">
        <v>12</v>
      </c>
      <c r="D297" s="23" t="s">
        <v>275</v>
      </c>
      <c r="E297" s="12">
        <f>E301</f>
        <v>1</v>
      </c>
      <c r="F297" s="12">
        <f>F301</f>
        <v>2304.13</v>
      </c>
      <c r="G297" s="12">
        <f>G301</f>
        <v>2304.13</v>
      </c>
    </row>
    <row r="298" spans="1:7" ht="31.2" x14ac:dyDescent="0.3">
      <c r="A298" s="13" t="s">
        <v>276</v>
      </c>
      <c r="B298" s="13" t="s">
        <v>15</v>
      </c>
      <c r="C298" s="13" t="s">
        <v>28</v>
      </c>
      <c r="D298" s="14" t="s">
        <v>277</v>
      </c>
      <c r="E298" s="15">
        <v>3</v>
      </c>
      <c r="F298" s="15">
        <v>27.3</v>
      </c>
      <c r="G298" s="16">
        <f>ROUND(E298*F298,2)</f>
        <v>81.900000000000006</v>
      </c>
    </row>
    <row r="299" spans="1:7" x14ac:dyDescent="0.3">
      <c r="A299" s="13" t="s">
        <v>278</v>
      </c>
      <c r="B299" s="13" t="s">
        <v>15</v>
      </c>
      <c r="C299" s="13" t="s">
        <v>215</v>
      </c>
      <c r="D299" s="14" t="s">
        <v>279</v>
      </c>
      <c r="E299" s="15">
        <v>1</v>
      </c>
      <c r="F299" s="15">
        <v>1666.67</v>
      </c>
      <c r="G299" s="16">
        <f>ROUND(E299*F299,2)</f>
        <v>1666.67</v>
      </c>
    </row>
    <row r="300" spans="1:7" ht="31.2" x14ac:dyDescent="0.3">
      <c r="A300" s="13" t="s">
        <v>280</v>
      </c>
      <c r="B300" s="13" t="s">
        <v>15</v>
      </c>
      <c r="C300" s="13" t="s">
        <v>215</v>
      </c>
      <c r="D300" s="14" t="s">
        <v>281</v>
      </c>
      <c r="E300" s="15">
        <v>1</v>
      </c>
      <c r="F300" s="15">
        <v>555.55999999999995</v>
      </c>
      <c r="G300" s="16">
        <f>ROUND(E300*F300,2)</f>
        <v>555.55999999999995</v>
      </c>
    </row>
    <row r="301" spans="1:7" x14ac:dyDescent="0.3">
      <c r="A301" s="17"/>
      <c r="B301" s="17"/>
      <c r="C301" s="17"/>
      <c r="D301" s="18" t="s">
        <v>405</v>
      </c>
      <c r="E301" s="15">
        <v>1</v>
      </c>
      <c r="F301" s="12">
        <f>SUM(G298:G300)</f>
        <v>2304.13</v>
      </c>
      <c r="G301" s="12">
        <f>ROUND(F301*E301,2)</f>
        <v>2304.13</v>
      </c>
    </row>
    <row r="302" spans="1:7" ht="1.05" customHeight="1" x14ac:dyDescent="0.3">
      <c r="A302" s="20"/>
      <c r="B302" s="20"/>
      <c r="C302" s="20"/>
      <c r="D302" s="21"/>
      <c r="E302" s="20"/>
      <c r="F302" s="20"/>
      <c r="G302" s="20"/>
    </row>
    <row r="303" spans="1:7" x14ac:dyDescent="0.3">
      <c r="A303" s="22" t="s">
        <v>406</v>
      </c>
      <c r="B303" s="22" t="s">
        <v>11</v>
      </c>
      <c r="C303" s="22" t="s">
        <v>12</v>
      </c>
      <c r="D303" s="23" t="s">
        <v>407</v>
      </c>
      <c r="E303" s="12">
        <f>E306</f>
        <v>1</v>
      </c>
      <c r="F303" s="12">
        <f>F306</f>
        <v>538.21</v>
      </c>
      <c r="G303" s="12">
        <f>G306</f>
        <v>538.21</v>
      </c>
    </row>
    <row r="304" spans="1:7" x14ac:dyDescent="0.3">
      <c r="A304" s="13" t="s">
        <v>408</v>
      </c>
      <c r="B304" s="13" t="s">
        <v>15</v>
      </c>
      <c r="C304" s="13" t="s">
        <v>215</v>
      </c>
      <c r="D304" s="14" t="s">
        <v>409</v>
      </c>
      <c r="E304" s="15">
        <v>1</v>
      </c>
      <c r="F304" s="15">
        <v>270.37</v>
      </c>
      <c r="G304" s="16">
        <f>ROUND(E304*F304,2)</f>
        <v>270.37</v>
      </c>
    </row>
    <row r="305" spans="1:7" x14ac:dyDescent="0.3">
      <c r="A305" s="13" t="s">
        <v>410</v>
      </c>
      <c r="B305" s="13" t="s">
        <v>15</v>
      </c>
      <c r="C305" s="13" t="s">
        <v>215</v>
      </c>
      <c r="D305" s="14" t="s">
        <v>411</v>
      </c>
      <c r="E305" s="15">
        <v>1</v>
      </c>
      <c r="F305" s="15">
        <v>267.83999999999997</v>
      </c>
      <c r="G305" s="16">
        <f>ROUND(E305*F305,2)</f>
        <v>267.83999999999997</v>
      </c>
    </row>
    <row r="306" spans="1:7" x14ac:dyDescent="0.3">
      <c r="A306" s="17"/>
      <c r="B306" s="17"/>
      <c r="C306" s="17"/>
      <c r="D306" s="18" t="s">
        <v>412</v>
      </c>
      <c r="E306" s="15">
        <v>1</v>
      </c>
      <c r="F306" s="12">
        <f>SUM(G304:G305)</f>
        <v>538.21</v>
      </c>
      <c r="G306" s="12">
        <f>ROUND(F306*E306,2)</f>
        <v>538.21</v>
      </c>
    </row>
    <row r="307" spans="1:7" ht="1.05" customHeight="1" x14ac:dyDescent="0.3">
      <c r="A307" s="20"/>
      <c r="B307" s="20"/>
      <c r="C307" s="20"/>
      <c r="D307" s="21"/>
      <c r="E307" s="20"/>
      <c r="F307" s="20"/>
      <c r="G307" s="20"/>
    </row>
    <row r="308" spans="1:7" x14ac:dyDescent="0.3">
      <c r="A308" s="17"/>
      <c r="B308" s="17"/>
      <c r="C308" s="17"/>
      <c r="D308" s="18" t="s">
        <v>413</v>
      </c>
      <c r="E308" s="15">
        <v>1</v>
      </c>
      <c r="F308" s="12">
        <f>G279+G295+G301+G306</f>
        <v>5040.04</v>
      </c>
      <c r="G308" s="12">
        <f>ROUND(F308*E308,2)</f>
        <v>5040.04</v>
      </c>
    </row>
    <row r="309" spans="1:7" ht="1.05" customHeight="1" x14ac:dyDescent="0.3">
      <c r="A309" s="20"/>
      <c r="B309" s="20"/>
      <c r="C309" s="20"/>
      <c r="D309" s="21"/>
      <c r="E309" s="20"/>
      <c r="F309" s="20"/>
      <c r="G309" s="20"/>
    </row>
    <row r="310" spans="1:7" x14ac:dyDescent="0.3">
      <c r="A310" s="22" t="s">
        <v>414</v>
      </c>
      <c r="B310" s="22" t="s">
        <v>11</v>
      </c>
      <c r="C310" s="22" t="s">
        <v>12</v>
      </c>
      <c r="D310" s="23" t="s">
        <v>285</v>
      </c>
      <c r="E310" s="12">
        <f>E324</f>
        <v>1</v>
      </c>
      <c r="F310" s="12">
        <f>F324</f>
        <v>8471.380000000001</v>
      </c>
      <c r="G310" s="12">
        <f>G324</f>
        <v>8471.3799999999992</v>
      </c>
    </row>
    <row r="311" spans="1:7" ht="31.2" x14ac:dyDescent="0.3">
      <c r="A311" s="13" t="s">
        <v>290</v>
      </c>
      <c r="B311" s="13" t="s">
        <v>15</v>
      </c>
      <c r="C311" s="13" t="s">
        <v>215</v>
      </c>
      <c r="D311" s="14" t="s">
        <v>291</v>
      </c>
      <c r="E311" s="15">
        <v>22</v>
      </c>
      <c r="F311" s="15">
        <v>194.2</v>
      </c>
      <c r="G311" s="16">
        <f>ROUND(E311*F311,2)</f>
        <v>4272.3999999999996</v>
      </c>
    </row>
    <row r="312" spans="1:7" x14ac:dyDescent="0.3">
      <c r="A312" s="13" t="s">
        <v>292</v>
      </c>
      <c r="B312" s="13" t="s">
        <v>15</v>
      </c>
      <c r="C312" s="13" t="s">
        <v>215</v>
      </c>
      <c r="D312" s="14" t="s">
        <v>293</v>
      </c>
      <c r="E312" s="15">
        <v>11</v>
      </c>
      <c r="F312" s="15">
        <v>11.25</v>
      </c>
      <c r="G312" s="16">
        <f>ROUND(E312*F312,2)</f>
        <v>123.75</v>
      </c>
    </row>
    <row r="313" spans="1:7" ht="31.2" x14ac:dyDescent="0.3">
      <c r="A313" s="13" t="s">
        <v>294</v>
      </c>
      <c r="B313" s="13" t="s">
        <v>15</v>
      </c>
      <c r="C313" s="13" t="s">
        <v>215</v>
      </c>
      <c r="D313" s="14" t="s">
        <v>295</v>
      </c>
      <c r="E313" s="15">
        <v>6</v>
      </c>
      <c r="F313" s="15">
        <v>29.23</v>
      </c>
      <c r="G313" s="16">
        <f>ROUND(E313*F313,2)</f>
        <v>175.38</v>
      </c>
    </row>
    <row r="314" spans="1:7" x14ac:dyDescent="0.3">
      <c r="A314" s="13" t="s">
        <v>296</v>
      </c>
      <c r="B314" s="13" t="s">
        <v>15</v>
      </c>
      <c r="C314" s="13" t="s">
        <v>215</v>
      </c>
      <c r="D314" s="14" t="s">
        <v>297</v>
      </c>
      <c r="E314" s="15">
        <v>33</v>
      </c>
      <c r="F314" s="15">
        <v>50.07</v>
      </c>
      <c r="G314" s="16">
        <f>ROUND(E314*F314,2)</f>
        <v>1652.31</v>
      </c>
    </row>
    <row r="315" spans="1:7" x14ac:dyDescent="0.3">
      <c r="A315" s="13" t="s">
        <v>298</v>
      </c>
      <c r="B315" s="13" t="s">
        <v>15</v>
      </c>
      <c r="C315" s="13" t="s">
        <v>215</v>
      </c>
      <c r="D315" s="14" t="s">
        <v>299</v>
      </c>
      <c r="E315" s="15">
        <v>2</v>
      </c>
      <c r="F315" s="15">
        <v>42.74</v>
      </c>
      <c r="G315" s="16">
        <f>ROUND(E315*F315,2)</f>
        <v>85.48</v>
      </c>
    </row>
    <row r="316" spans="1:7" x14ac:dyDescent="0.3">
      <c r="A316" s="13" t="s">
        <v>300</v>
      </c>
      <c r="B316" s="13" t="s">
        <v>15</v>
      </c>
      <c r="C316" s="13" t="s">
        <v>215</v>
      </c>
      <c r="D316" s="14" t="s">
        <v>301</v>
      </c>
      <c r="E316" s="15">
        <v>3</v>
      </c>
      <c r="F316" s="15">
        <v>45.93</v>
      </c>
      <c r="G316" s="16">
        <f>ROUND(E316*F316,2)</f>
        <v>137.79</v>
      </c>
    </row>
    <row r="317" spans="1:7" x14ac:dyDescent="0.3">
      <c r="A317" s="13" t="s">
        <v>302</v>
      </c>
      <c r="B317" s="13" t="s">
        <v>15</v>
      </c>
      <c r="C317" s="13" t="s">
        <v>215</v>
      </c>
      <c r="D317" s="14" t="s">
        <v>303</v>
      </c>
      <c r="E317" s="15">
        <v>4</v>
      </c>
      <c r="F317" s="15">
        <v>51.73</v>
      </c>
      <c r="G317" s="16">
        <f>ROUND(E317*F317,2)</f>
        <v>206.92</v>
      </c>
    </row>
    <row r="318" spans="1:7" x14ac:dyDescent="0.3">
      <c r="A318" s="13" t="s">
        <v>304</v>
      </c>
      <c r="B318" s="13" t="s">
        <v>15</v>
      </c>
      <c r="C318" s="13" t="s">
        <v>215</v>
      </c>
      <c r="D318" s="14" t="s">
        <v>305</v>
      </c>
      <c r="E318" s="15">
        <v>2</v>
      </c>
      <c r="F318" s="15">
        <v>53.67</v>
      </c>
      <c r="G318" s="16">
        <f>ROUND(E318*F318,2)</f>
        <v>107.34</v>
      </c>
    </row>
    <row r="319" spans="1:7" ht="31.2" x14ac:dyDescent="0.3">
      <c r="A319" s="13" t="s">
        <v>306</v>
      </c>
      <c r="B319" s="13" t="s">
        <v>15</v>
      </c>
      <c r="C319" s="13" t="s">
        <v>215</v>
      </c>
      <c r="D319" s="14" t="s">
        <v>307</v>
      </c>
      <c r="E319" s="15">
        <v>11</v>
      </c>
      <c r="F319" s="15">
        <v>61.18</v>
      </c>
      <c r="G319" s="16">
        <f>ROUND(E319*F319,2)</f>
        <v>672.98</v>
      </c>
    </row>
    <row r="320" spans="1:7" ht="31.2" x14ac:dyDescent="0.3">
      <c r="A320" s="13" t="s">
        <v>308</v>
      </c>
      <c r="B320" s="13" t="s">
        <v>15</v>
      </c>
      <c r="C320" s="13" t="s">
        <v>215</v>
      </c>
      <c r="D320" s="14" t="s">
        <v>309</v>
      </c>
      <c r="E320" s="15">
        <v>2</v>
      </c>
      <c r="F320" s="15">
        <v>84.28</v>
      </c>
      <c r="G320" s="16">
        <f>ROUND(E320*F320,2)</f>
        <v>168.56</v>
      </c>
    </row>
    <row r="321" spans="1:7" ht="31.2" x14ac:dyDescent="0.3">
      <c r="A321" s="13" t="s">
        <v>310</v>
      </c>
      <c r="B321" s="13" t="s">
        <v>15</v>
      </c>
      <c r="C321" s="13" t="s">
        <v>215</v>
      </c>
      <c r="D321" s="14" t="s">
        <v>311</v>
      </c>
      <c r="E321" s="15">
        <v>2</v>
      </c>
      <c r="F321" s="15">
        <v>131.47999999999999</v>
      </c>
      <c r="G321" s="16">
        <f>ROUND(E321*F321,2)</f>
        <v>262.95999999999998</v>
      </c>
    </row>
    <row r="322" spans="1:7" x14ac:dyDescent="0.3">
      <c r="A322" s="13" t="s">
        <v>415</v>
      </c>
      <c r="B322" s="13" t="s">
        <v>15</v>
      </c>
      <c r="C322" s="13" t="s">
        <v>215</v>
      </c>
      <c r="D322" s="14" t="s">
        <v>416</v>
      </c>
      <c r="E322" s="15">
        <v>1</v>
      </c>
      <c r="F322" s="15">
        <v>438.83</v>
      </c>
      <c r="G322" s="16">
        <f>ROUND(E322*F322,2)</f>
        <v>438.83</v>
      </c>
    </row>
    <row r="323" spans="1:7" x14ac:dyDescent="0.3">
      <c r="A323" s="13" t="s">
        <v>314</v>
      </c>
      <c r="B323" s="13" t="s">
        <v>15</v>
      </c>
      <c r="C323" s="13" t="s">
        <v>215</v>
      </c>
      <c r="D323" s="14" t="s">
        <v>315</v>
      </c>
      <c r="E323" s="15">
        <v>3</v>
      </c>
      <c r="F323" s="15">
        <v>55.56</v>
      </c>
      <c r="G323" s="16">
        <f>ROUND(E323*F323,2)</f>
        <v>166.68</v>
      </c>
    </row>
    <row r="324" spans="1:7" x14ac:dyDescent="0.3">
      <c r="A324" s="17"/>
      <c r="B324" s="17"/>
      <c r="C324" s="17"/>
      <c r="D324" s="18" t="s">
        <v>417</v>
      </c>
      <c r="E324" s="15">
        <v>1</v>
      </c>
      <c r="F324" s="12">
        <f>SUM(G311:G323)</f>
        <v>8471.380000000001</v>
      </c>
      <c r="G324" s="12">
        <f>ROUND(F324*E324,2)</f>
        <v>8471.3799999999992</v>
      </c>
    </row>
    <row r="325" spans="1:7" ht="1.05" customHeight="1" x14ac:dyDescent="0.3">
      <c r="A325" s="20"/>
      <c r="B325" s="20"/>
      <c r="C325" s="20"/>
      <c r="D325" s="21"/>
      <c r="E325" s="20"/>
      <c r="F325" s="20"/>
      <c r="G325" s="20"/>
    </row>
    <row r="326" spans="1:7" x14ac:dyDescent="0.3">
      <c r="A326" s="17"/>
      <c r="B326" s="17"/>
      <c r="C326" s="17"/>
      <c r="D326" s="18" t="s">
        <v>418</v>
      </c>
      <c r="E326" s="19">
        <v>1</v>
      </c>
      <c r="F326" s="12">
        <f>G207+G211+G221+G227+G231+G236+G243+G248+G254+G266+G308+G324</f>
        <v>203110.3</v>
      </c>
      <c r="G326" s="12">
        <f>ROUND(F326*E326,2)</f>
        <v>203110.3</v>
      </c>
    </row>
    <row r="327" spans="1:7" ht="1.05" customHeight="1" x14ac:dyDescent="0.3">
      <c r="A327" s="20"/>
      <c r="B327" s="20"/>
      <c r="C327" s="20"/>
      <c r="D327" s="21"/>
      <c r="E327" s="20"/>
      <c r="F327" s="20"/>
      <c r="G327" s="20"/>
    </row>
    <row r="328" spans="1:7" x14ac:dyDescent="0.3">
      <c r="A328" s="9" t="s">
        <v>419</v>
      </c>
      <c r="B328" s="9" t="s">
        <v>11</v>
      </c>
      <c r="C328" s="9" t="s">
        <v>12</v>
      </c>
      <c r="D328" s="10" t="s">
        <v>420</v>
      </c>
      <c r="E328" s="11">
        <f>E445</f>
        <v>1</v>
      </c>
      <c r="F328" s="12">
        <f>F445</f>
        <v>163846.99000000005</v>
      </c>
      <c r="G328" s="12">
        <f>G445</f>
        <v>163846.99</v>
      </c>
    </row>
    <row r="329" spans="1:7" x14ac:dyDescent="0.3">
      <c r="A329" s="22" t="s">
        <v>421</v>
      </c>
      <c r="B329" s="22" t="s">
        <v>11</v>
      </c>
      <c r="C329" s="22" t="s">
        <v>12</v>
      </c>
      <c r="D329" s="23" t="s">
        <v>57</v>
      </c>
      <c r="E329" s="12">
        <f>E352</f>
        <v>1</v>
      </c>
      <c r="F329" s="12">
        <f>F352</f>
        <v>112708.1</v>
      </c>
      <c r="G329" s="12">
        <f>G352</f>
        <v>112708.1</v>
      </c>
    </row>
    <row r="330" spans="1:7" x14ac:dyDescent="0.3">
      <c r="A330" s="13" t="s">
        <v>81</v>
      </c>
      <c r="B330" s="13" t="s">
        <v>15</v>
      </c>
      <c r="C330" s="13" t="s">
        <v>60</v>
      </c>
      <c r="D330" s="14" t="s">
        <v>82</v>
      </c>
      <c r="E330" s="15">
        <v>6.44</v>
      </c>
      <c r="F330" s="15">
        <v>572.66999999999996</v>
      </c>
      <c r="G330" s="16">
        <f>ROUND(E330*F330,2)</f>
        <v>3687.99</v>
      </c>
    </row>
    <row r="331" spans="1:7" x14ac:dyDescent="0.3">
      <c r="A331" s="13" t="s">
        <v>83</v>
      </c>
      <c r="B331" s="13" t="s">
        <v>15</v>
      </c>
      <c r="C331" s="13" t="s">
        <v>60</v>
      </c>
      <c r="D331" s="14" t="s">
        <v>84</v>
      </c>
      <c r="E331" s="15">
        <v>3.19</v>
      </c>
      <c r="F331" s="15">
        <v>545.57000000000005</v>
      </c>
      <c r="G331" s="16">
        <f>ROUND(E331*F331,2)</f>
        <v>1740.37</v>
      </c>
    </row>
    <row r="332" spans="1:7" ht="31.2" x14ac:dyDescent="0.3">
      <c r="A332" s="13" t="s">
        <v>422</v>
      </c>
      <c r="B332" s="13" t="s">
        <v>15</v>
      </c>
      <c r="C332" s="13" t="s">
        <v>60</v>
      </c>
      <c r="D332" s="14" t="s">
        <v>423</v>
      </c>
      <c r="E332" s="15">
        <v>22.72</v>
      </c>
      <c r="F332" s="15">
        <v>410.36</v>
      </c>
      <c r="G332" s="16">
        <f>ROUND(E332*F332,2)</f>
        <v>9323.3799999999992</v>
      </c>
    </row>
    <row r="333" spans="1:7" ht="31.2" x14ac:dyDescent="0.3">
      <c r="A333" s="13" t="s">
        <v>97</v>
      </c>
      <c r="B333" s="13" t="s">
        <v>15</v>
      </c>
      <c r="C333" s="13" t="s">
        <v>60</v>
      </c>
      <c r="D333" s="14" t="s">
        <v>98</v>
      </c>
      <c r="E333" s="15">
        <v>6.38</v>
      </c>
      <c r="F333" s="15">
        <v>1055.26</v>
      </c>
      <c r="G333" s="16">
        <f>ROUND(E333*F333,2)</f>
        <v>6732.56</v>
      </c>
    </row>
    <row r="334" spans="1:7" ht="31.2" x14ac:dyDescent="0.3">
      <c r="A334" s="13" t="s">
        <v>99</v>
      </c>
      <c r="B334" s="13" t="s">
        <v>15</v>
      </c>
      <c r="C334" s="13" t="s">
        <v>60</v>
      </c>
      <c r="D334" s="14" t="s">
        <v>100</v>
      </c>
      <c r="E334" s="15">
        <v>4.08</v>
      </c>
      <c r="F334" s="15">
        <v>779.5</v>
      </c>
      <c r="G334" s="16">
        <f>ROUND(E334*F334,2)</f>
        <v>3180.36</v>
      </c>
    </row>
    <row r="335" spans="1:7" ht="31.2" x14ac:dyDescent="0.3">
      <c r="A335" s="13" t="s">
        <v>101</v>
      </c>
      <c r="B335" s="13" t="s">
        <v>15</v>
      </c>
      <c r="C335" s="13" t="s">
        <v>60</v>
      </c>
      <c r="D335" s="14" t="s">
        <v>102</v>
      </c>
      <c r="E335" s="15">
        <v>5.0999999999999996</v>
      </c>
      <c r="F335" s="15">
        <v>1077.93</v>
      </c>
      <c r="G335" s="16">
        <f>ROUND(E335*F335,2)</f>
        <v>5497.44</v>
      </c>
    </row>
    <row r="336" spans="1:7" ht="31.2" x14ac:dyDescent="0.3">
      <c r="A336" s="13" t="s">
        <v>103</v>
      </c>
      <c r="B336" s="13" t="s">
        <v>15</v>
      </c>
      <c r="C336" s="13" t="s">
        <v>60</v>
      </c>
      <c r="D336" s="14" t="s">
        <v>104</v>
      </c>
      <c r="E336" s="15">
        <v>3.83</v>
      </c>
      <c r="F336" s="15">
        <v>1000.73</v>
      </c>
      <c r="G336" s="16">
        <f>ROUND(E336*F336,2)</f>
        <v>3832.8</v>
      </c>
    </row>
    <row r="337" spans="1:7" x14ac:dyDescent="0.3">
      <c r="A337" s="13" t="s">
        <v>105</v>
      </c>
      <c r="B337" s="13" t="s">
        <v>15</v>
      </c>
      <c r="C337" s="13" t="s">
        <v>60</v>
      </c>
      <c r="D337" s="14" t="s">
        <v>106</v>
      </c>
      <c r="E337" s="15">
        <v>4.82</v>
      </c>
      <c r="F337" s="15">
        <v>476.95</v>
      </c>
      <c r="G337" s="16">
        <f>ROUND(E337*F337,2)</f>
        <v>2298.9</v>
      </c>
    </row>
    <row r="338" spans="1:7" x14ac:dyDescent="0.3">
      <c r="A338" s="13" t="s">
        <v>424</v>
      </c>
      <c r="B338" s="13" t="s">
        <v>15</v>
      </c>
      <c r="C338" s="13" t="s">
        <v>60</v>
      </c>
      <c r="D338" s="14" t="s">
        <v>425</v>
      </c>
      <c r="E338" s="15">
        <v>4.34</v>
      </c>
      <c r="F338" s="15">
        <v>646.07000000000005</v>
      </c>
      <c r="G338" s="16">
        <f>ROUND(E338*F338,2)</f>
        <v>2803.94</v>
      </c>
    </row>
    <row r="339" spans="1:7" x14ac:dyDescent="0.3">
      <c r="A339" s="13" t="s">
        <v>321</v>
      </c>
      <c r="B339" s="13" t="s">
        <v>15</v>
      </c>
      <c r="C339" s="13" t="s">
        <v>60</v>
      </c>
      <c r="D339" s="14" t="s">
        <v>322</v>
      </c>
      <c r="E339" s="15">
        <v>3.74</v>
      </c>
      <c r="F339" s="15">
        <v>713.28</v>
      </c>
      <c r="G339" s="16">
        <f>ROUND(E339*F339,2)</f>
        <v>2667.67</v>
      </c>
    </row>
    <row r="340" spans="1:7" x14ac:dyDescent="0.3">
      <c r="A340" s="13" t="s">
        <v>323</v>
      </c>
      <c r="B340" s="13" t="s">
        <v>15</v>
      </c>
      <c r="C340" s="13" t="s">
        <v>60</v>
      </c>
      <c r="D340" s="14" t="s">
        <v>324</v>
      </c>
      <c r="E340" s="15">
        <v>4.34</v>
      </c>
      <c r="F340" s="15">
        <v>702.51</v>
      </c>
      <c r="G340" s="16">
        <f>ROUND(E340*F340,2)</f>
        <v>3048.89</v>
      </c>
    </row>
    <row r="341" spans="1:7" x14ac:dyDescent="0.3">
      <c r="A341" s="13" t="s">
        <v>325</v>
      </c>
      <c r="B341" s="13" t="s">
        <v>15</v>
      </c>
      <c r="C341" s="13" t="s">
        <v>60</v>
      </c>
      <c r="D341" s="14" t="s">
        <v>326</v>
      </c>
      <c r="E341" s="15">
        <v>4.55</v>
      </c>
      <c r="F341" s="15">
        <v>680.27</v>
      </c>
      <c r="G341" s="16">
        <f>ROUND(E341*F341,2)</f>
        <v>3095.23</v>
      </c>
    </row>
    <row r="342" spans="1:7" x14ac:dyDescent="0.3">
      <c r="A342" s="13" t="s">
        <v>327</v>
      </c>
      <c r="B342" s="13" t="s">
        <v>15</v>
      </c>
      <c r="C342" s="13" t="s">
        <v>60</v>
      </c>
      <c r="D342" s="14" t="s">
        <v>328</v>
      </c>
      <c r="E342" s="15">
        <v>4.25</v>
      </c>
      <c r="F342" s="15">
        <v>693.2</v>
      </c>
      <c r="G342" s="16">
        <f>ROUND(E342*F342,2)</f>
        <v>2946.1</v>
      </c>
    </row>
    <row r="343" spans="1:7" x14ac:dyDescent="0.3">
      <c r="A343" s="13" t="s">
        <v>426</v>
      </c>
      <c r="B343" s="13" t="s">
        <v>15</v>
      </c>
      <c r="C343" s="13" t="s">
        <v>60</v>
      </c>
      <c r="D343" s="14" t="s">
        <v>427</v>
      </c>
      <c r="E343" s="15">
        <v>5.79</v>
      </c>
      <c r="F343" s="15">
        <v>659.97</v>
      </c>
      <c r="G343" s="16">
        <f>ROUND(E343*F343,2)</f>
        <v>3821.23</v>
      </c>
    </row>
    <row r="344" spans="1:7" x14ac:dyDescent="0.3">
      <c r="A344" s="13" t="s">
        <v>428</v>
      </c>
      <c r="B344" s="13" t="s">
        <v>15</v>
      </c>
      <c r="C344" s="13" t="s">
        <v>60</v>
      </c>
      <c r="D344" s="14" t="s">
        <v>429</v>
      </c>
      <c r="E344" s="15">
        <v>4.93</v>
      </c>
      <c r="F344" s="15">
        <v>709.6</v>
      </c>
      <c r="G344" s="16">
        <f>ROUND(E344*F344,2)</f>
        <v>3498.33</v>
      </c>
    </row>
    <row r="345" spans="1:7" x14ac:dyDescent="0.3">
      <c r="A345" s="13" t="s">
        <v>329</v>
      </c>
      <c r="B345" s="13" t="s">
        <v>15</v>
      </c>
      <c r="C345" s="13" t="s">
        <v>60</v>
      </c>
      <c r="D345" s="14" t="s">
        <v>330</v>
      </c>
      <c r="E345" s="15">
        <v>4.43</v>
      </c>
      <c r="F345" s="15">
        <v>693.4</v>
      </c>
      <c r="G345" s="16">
        <f>ROUND(E345*F345,2)</f>
        <v>3071.76</v>
      </c>
    </row>
    <row r="346" spans="1:7" x14ac:dyDescent="0.3">
      <c r="A346" s="13" t="s">
        <v>331</v>
      </c>
      <c r="B346" s="13" t="s">
        <v>15</v>
      </c>
      <c r="C346" s="13" t="s">
        <v>60</v>
      </c>
      <c r="D346" s="14" t="s">
        <v>332</v>
      </c>
      <c r="E346" s="15">
        <v>4.4800000000000004</v>
      </c>
      <c r="F346" s="15">
        <v>700.15</v>
      </c>
      <c r="G346" s="16">
        <f>ROUND(E346*F346,2)</f>
        <v>3136.67</v>
      </c>
    </row>
    <row r="347" spans="1:7" x14ac:dyDescent="0.3">
      <c r="A347" s="13" t="s">
        <v>333</v>
      </c>
      <c r="B347" s="13" t="s">
        <v>15</v>
      </c>
      <c r="C347" s="13" t="s">
        <v>60</v>
      </c>
      <c r="D347" s="14" t="s">
        <v>334</v>
      </c>
      <c r="E347" s="15">
        <v>4.79</v>
      </c>
      <c r="F347" s="15">
        <v>693.4</v>
      </c>
      <c r="G347" s="16">
        <f>ROUND(E347*F347,2)</f>
        <v>3321.39</v>
      </c>
    </row>
    <row r="348" spans="1:7" x14ac:dyDescent="0.3">
      <c r="A348" s="13" t="s">
        <v>430</v>
      </c>
      <c r="B348" s="13" t="s">
        <v>15</v>
      </c>
      <c r="C348" s="13" t="s">
        <v>60</v>
      </c>
      <c r="D348" s="14" t="s">
        <v>431</v>
      </c>
      <c r="E348" s="15">
        <v>5.21</v>
      </c>
      <c r="F348" s="15">
        <v>698.55</v>
      </c>
      <c r="G348" s="16">
        <f>ROUND(E348*F348,2)</f>
        <v>3639.45</v>
      </c>
    </row>
    <row r="349" spans="1:7" ht="31.2" x14ac:dyDescent="0.3">
      <c r="A349" s="13" t="s">
        <v>432</v>
      </c>
      <c r="B349" s="13" t="s">
        <v>15</v>
      </c>
      <c r="C349" s="13" t="s">
        <v>60</v>
      </c>
      <c r="D349" s="14" t="s">
        <v>433</v>
      </c>
      <c r="E349" s="15">
        <v>1.61</v>
      </c>
      <c r="F349" s="15">
        <v>700.07</v>
      </c>
      <c r="G349" s="16">
        <f>ROUND(E349*F349,2)</f>
        <v>1127.1099999999999</v>
      </c>
    </row>
    <row r="350" spans="1:7" x14ac:dyDescent="0.3">
      <c r="A350" s="13" t="s">
        <v>335</v>
      </c>
      <c r="B350" s="13" t="s">
        <v>15</v>
      </c>
      <c r="C350" s="13" t="s">
        <v>91</v>
      </c>
      <c r="D350" s="14" t="s">
        <v>336</v>
      </c>
      <c r="E350" s="15">
        <v>15.31</v>
      </c>
      <c r="F350" s="15">
        <v>367.46</v>
      </c>
      <c r="G350" s="16">
        <f>ROUND(E350*F350,2)</f>
        <v>5625.81</v>
      </c>
    </row>
    <row r="351" spans="1:7" x14ac:dyDescent="0.3">
      <c r="A351" s="13" t="s">
        <v>434</v>
      </c>
      <c r="B351" s="13" t="s">
        <v>15</v>
      </c>
      <c r="C351" s="13" t="s">
        <v>60</v>
      </c>
      <c r="D351" s="14" t="s">
        <v>338</v>
      </c>
      <c r="E351" s="15">
        <v>78.599999999999994</v>
      </c>
      <c r="F351" s="15">
        <v>440.34</v>
      </c>
      <c r="G351" s="16">
        <f>ROUND(E351*F351,2)</f>
        <v>34610.720000000001</v>
      </c>
    </row>
    <row r="352" spans="1:7" x14ac:dyDescent="0.3">
      <c r="A352" s="17"/>
      <c r="B352" s="17"/>
      <c r="C352" s="17"/>
      <c r="D352" s="18" t="s">
        <v>435</v>
      </c>
      <c r="E352" s="15">
        <v>1</v>
      </c>
      <c r="F352" s="12">
        <f>SUM(G330:G351)</f>
        <v>112708.1</v>
      </c>
      <c r="G352" s="12">
        <f>ROUND(F352*E352,2)</f>
        <v>112708.1</v>
      </c>
    </row>
    <row r="353" spans="1:7" ht="1.05" customHeight="1" x14ac:dyDescent="0.3">
      <c r="A353" s="20"/>
      <c r="B353" s="20"/>
      <c r="C353" s="20"/>
      <c r="D353" s="21"/>
      <c r="E353" s="20"/>
      <c r="F353" s="20"/>
      <c r="G353" s="20"/>
    </row>
    <row r="354" spans="1:7" x14ac:dyDescent="0.3">
      <c r="A354" s="22" t="s">
        <v>436</v>
      </c>
      <c r="B354" s="22" t="s">
        <v>11</v>
      </c>
      <c r="C354" s="22" t="s">
        <v>12</v>
      </c>
      <c r="D354" s="23" t="s">
        <v>109</v>
      </c>
      <c r="E354" s="12">
        <f>E356</f>
        <v>1</v>
      </c>
      <c r="F354" s="12">
        <f>F356</f>
        <v>2965.21</v>
      </c>
      <c r="G354" s="12">
        <f>G356</f>
        <v>2965.21</v>
      </c>
    </row>
    <row r="355" spans="1:7" ht="31.2" x14ac:dyDescent="0.3">
      <c r="A355" s="13" t="s">
        <v>110</v>
      </c>
      <c r="B355" s="13" t="s">
        <v>15</v>
      </c>
      <c r="C355" s="13" t="s">
        <v>112</v>
      </c>
      <c r="D355" s="14" t="s">
        <v>111</v>
      </c>
      <c r="E355" s="15">
        <v>108.18</v>
      </c>
      <c r="F355" s="15">
        <v>27.41</v>
      </c>
      <c r="G355" s="16">
        <f>ROUND(E355*F355,2)</f>
        <v>2965.21</v>
      </c>
    </row>
    <row r="356" spans="1:7" x14ac:dyDescent="0.3">
      <c r="A356" s="17"/>
      <c r="B356" s="17"/>
      <c r="C356" s="17"/>
      <c r="D356" s="18" t="s">
        <v>437</v>
      </c>
      <c r="E356" s="15">
        <v>1</v>
      </c>
      <c r="F356" s="12">
        <f>G355</f>
        <v>2965.21</v>
      </c>
      <c r="G356" s="12">
        <f>ROUND(F356*E356,2)</f>
        <v>2965.21</v>
      </c>
    </row>
    <row r="357" spans="1:7" ht="1.05" customHeight="1" x14ac:dyDescent="0.3">
      <c r="A357" s="20"/>
      <c r="B357" s="20"/>
      <c r="C357" s="20"/>
      <c r="D357" s="21"/>
      <c r="E357" s="20"/>
      <c r="F357" s="20"/>
      <c r="G357" s="20"/>
    </row>
    <row r="358" spans="1:7" x14ac:dyDescent="0.3">
      <c r="A358" s="22" t="s">
        <v>438</v>
      </c>
      <c r="B358" s="22" t="s">
        <v>11</v>
      </c>
      <c r="C358" s="22" t="s">
        <v>12</v>
      </c>
      <c r="D358" s="23" t="s">
        <v>115</v>
      </c>
      <c r="E358" s="12">
        <f>E366</f>
        <v>1</v>
      </c>
      <c r="F358" s="12">
        <f>F366</f>
        <v>15753.529999999997</v>
      </c>
      <c r="G358" s="12">
        <f>G366</f>
        <v>15753.53</v>
      </c>
    </row>
    <row r="359" spans="1:7" x14ac:dyDescent="0.3">
      <c r="A359" s="13" t="s">
        <v>116</v>
      </c>
      <c r="B359" s="13" t="s">
        <v>15</v>
      </c>
      <c r="C359" s="13" t="s">
        <v>112</v>
      </c>
      <c r="D359" s="14" t="s">
        <v>117</v>
      </c>
      <c r="E359" s="15">
        <v>540.83000000000004</v>
      </c>
      <c r="F359" s="15">
        <v>1.96</v>
      </c>
      <c r="G359" s="16">
        <f>ROUND(E359*F359,2)</f>
        <v>1060.03</v>
      </c>
    </row>
    <row r="360" spans="1:7" ht="31.2" x14ac:dyDescent="0.3">
      <c r="A360" s="13" t="s">
        <v>118</v>
      </c>
      <c r="B360" s="13" t="s">
        <v>15</v>
      </c>
      <c r="C360" s="13" t="s">
        <v>112</v>
      </c>
      <c r="D360" s="14" t="s">
        <v>119</v>
      </c>
      <c r="E360" s="15">
        <v>405.11</v>
      </c>
      <c r="F360" s="15">
        <v>8.4</v>
      </c>
      <c r="G360" s="16">
        <f>ROUND(E360*F360,2)</f>
        <v>3402.92</v>
      </c>
    </row>
    <row r="361" spans="1:7" ht="31.2" x14ac:dyDescent="0.3">
      <c r="A361" s="13" t="s">
        <v>120</v>
      </c>
      <c r="B361" s="13" t="s">
        <v>15</v>
      </c>
      <c r="C361" s="13" t="s">
        <v>112</v>
      </c>
      <c r="D361" s="14" t="s">
        <v>121</v>
      </c>
      <c r="E361" s="15">
        <v>113.6</v>
      </c>
      <c r="F361" s="15">
        <v>8.4700000000000006</v>
      </c>
      <c r="G361" s="16">
        <f>ROUND(E361*F361,2)</f>
        <v>962.19</v>
      </c>
    </row>
    <row r="362" spans="1:7" ht="31.2" x14ac:dyDescent="0.3">
      <c r="A362" s="13" t="s">
        <v>122</v>
      </c>
      <c r="B362" s="13" t="s">
        <v>15</v>
      </c>
      <c r="C362" s="13" t="s">
        <v>112</v>
      </c>
      <c r="D362" s="14" t="s">
        <v>123</v>
      </c>
      <c r="E362" s="15">
        <v>664.23</v>
      </c>
      <c r="F362" s="15">
        <v>11.87</v>
      </c>
      <c r="G362" s="16">
        <f>ROUND(E362*F362,2)</f>
        <v>7884.41</v>
      </c>
    </row>
    <row r="363" spans="1:7" ht="31.2" x14ac:dyDescent="0.3">
      <c r="A363" s="13" t="s">
        <v>124</v>
      </c>
      <c r="B363" s="13" t="s">
        <v>15</v>
      </c>
      <c r="C363" s="13" t="s">
        <v>112</v>
      </c>
      <c r="D363" s="14" t="s">
        <v>125</v>
      </c>
      <c r="E363" s="15">
        <v>133.62</v>
      </c>
      <c r="F363" s="15">
        <v>9.4600000000000009</v>
      </c>
      <c r="G363" s="16">
        <f>ROUND(E363*F363,2)</f>
        <v>1264.05</v>
      </c>
    </row>
    <row r="364" spans="1:7" x14ac:dyDescent="0.3">
      <c r="A364" s="13" t="s">
        <v>126</v>
      </c>
      <c r="B364" s="13" t="s">
        <v>15</v>
      </c>
      <c r="C364" s="13" t="s">
        <v>28</v>
      </c>
      <c r="D364" s="14" t="s">
        <v>127</v>
      </c>
      <c r="E364" s="15">
        <v>266.39999999999998</v>
      </c>
      <c r="F364" s="15">
        <v>4.16</v>
      </c>
      <c r="G364" s="16">
        <f>ROUND(E364*F364,2)</f>
        <v>1108.22</v>
      </c>
    </row>
    <row r="365" spans="1:7" x14ac:dyDescent="0.3">
      <c r="A365" s="13" t="s">
        <v>128</v>
      </c>
      <c r="B365" s="13" t="s">
        <v>15</v>
      </c>
      <c r="C365" s="13" t="s">
        <v>28</v>
      </c>
      <c r="D365" s="14" t="s">
        <v>129</v>
      </c>
      <c r="E365" s="15">
        <v>15.9</v>
      </c>
      <c r="F365" s="15">
        <v>4.51</v>
      </c>
      <c r="G365" s="16">
        <f>ROUND(E365*F365,2)</f>
        <v>71.709999999999994</v>
      </c>
    </row>
    <row r="366" spans="1:7" x14ac:dyDescent="0.3">
      <c r="A366" s="17"/>
      <c r="B366" s="17"/>
      <c r="C366" s="17"/>
      <c r="D366" s="18" t="s">
        <v>439</v>
      </c>
      <c r="E366" s="15">
        <v>1</v>
      </c>
      <c r="F366" s="12">
        <f>SUM(G359:G365)</f>
        <v>15753.529999999997</v>
      </c>
      <c r="G366" s="12">
        <f>ROUND(F366*E366,2)</f>
        <v>15753.53</v>
      </c>
    </row>
    <row r="367" spans="1:7" ht="1.05" customHeight="1" x14ac:dyDescent="0.3">
      <c r="A367" s="20"/>
      <c r="B367" s="20"/>
      <c r="C367" s="20"/>
      <c r="D367" s="21"/>
      <c r="E367" s="20"/>
      <c r="F367" s="20"/>
      <c r="G367" s="20"/>
    </row>
    <row r="368" spans="1:7" x14ac:dyDescent="0.3">
      <c r="A368" s="22" t="s">
        <v>440</v>
      </c>
      <c r="B368" s="22" t="s">
        <v>11</v>
      </c>
      <c r="C368" s="22" t="s">
        <v>12</v>
      </c>
      <c r="D368" s="23" t="s">
        <v>132</v>
      </c>
      <c r="E368" s="12">
        <f>E371</f>
        <v>1</v>
      </c>
      <c r="F368" s="12">
        <f>F371</f>
        <v>757.44</v>
      </c>
      <c r="G368" s="12">
        <f>G371</f>
        <v>757.44</v>
      </c>
    </row>
    <row r="369" spans="1:7" ht="31.2" x14ac:dyDescent="0.3">
      <c r="A369" s="13" t="s">
        <v>133</v>
      </c>
      <c r="B369" s="13" t="s">
        <v>15</v>
      </c>
      <c r="C369" s="13" t="s">
        <v>112</v>
      </c>
      <c r="D369" s="14" t="s">
        <v>134</v>
      </c>
      <c r="E369" s="15">
        <v>14.26</v>
      </c>
      <c r="F369" s="15">
        <v>42.32</v>
      </c>
      <c r="G369" s="16">
        <f>ROUND(E369*F369,2)</f>
        <v>603.48</v>
      </c>
    </row>
    <row r="370" spans="1:7" ht="31.2" x14ac:dyDescent="0.3">
      <c r="A370" s="13" t="s">
        <v>135</v>
      </c>
      <c r="B370" s="13" t="s">
        <v>15</v>
      </c>
      <c r="C370" s="13" t="s">
        <v>28</v>
      </c>
      <c r="D370" s="14" t="s">
        <v>136</v>
      </c>
      <c r="E370" s="15">
        <v>26.59</v>
      </c>
      <c r="F370" s="15">
        <v>5.79</v>
      </c>
      <c r="G370" s="16">
        <f>ROUND(E370*F370,2)</f>
        <v>153.96</v>
      </c>
    </row>
    <row r="371" spans="1:7" x14ac:dyDescent="0.3">
      <c r="A371" s="17"/>
      <c r="B371" s="17"/>
      <c r="C371" s="17"/>
      <c r="D371" s="18" t="s">
        <v>441</v>
      </c>
      <c r="E371" s="15">
        <v>1</v>
      </c>
      <c r="F371" s="12">
        <f>SUM(G369:G370)</f>
        <v>757.44</v>
      </c>
      <c r="G371" s="12">
        <f>ROUND(F371*E371,2)</f>
        <v>757.44</v>
      </c>
    </row>
    <row r="372" spans="1:7" ht="1.05" customHeight="1" x14ac:dyDescent="0.3">
      <c r="A372" s="20"/>
      <c r="B372" s="20"/>
      <c r="C372" s="20"/>
      <c r="D372" s="21"/>
      <c r="E372" s="20"/>
      <c r="F372" s="20"/>
      <c r="G372" s="20"/>
    </row>
    <row r="373" spans="1:7" x14ac:dyDescent="0.3">
      <c r="A373" s="22" t="s">
        <v>442</v>
      </c>
      <c r="B373" s="22" t="s">
        <v>11</v>
      </c>
      <c r="C373" s="22" t="s">
        <v>12</v>
      </c>
      <c r="D373" s="23" t="s">
        <v>347</v>
      </c>
      <c r="E373" s="24">
        <v>1</v>
      </c>
      <c r="F373" s="24">
        <v>0</v>
      </c>
      <c r="G373" s="24">
        <f>ROUND(E373*F373,2)</f>
        <v>0</v>
      </c>
    </row>
    <row r="374" spans="1:7" x14ac:dyDescent="0.3">
      <c r="A374" s="22" t="s">
        <v>443</v>
      </c>
      <c r="B374" s="22" t="s">
        <v>11</v>
      </c>
      <c r="C374" s="22" t="s">
        <v>12</v>
      </c>
      <c r="D374" s="23" t="s">
        <v>141</v>
      </c>
      <c r="E374" s="12">
        <f>E377</f>
        <v>1</v>
      </c>
      <c r="F374" s="12">
        <f>F377</f>
        <v>2775.7999999999997</v>
      </c>
      <c r="G374" s="12">
        <f>G377</f>
        <v>2775.8</v>
      </c>
    </row>
    <row r="375" spans="1:7" ht="31.2" x14ac:dyDescent="0.3">
      <c r="A375" s="13" t="s">
        <v>142</v>
      </c>
      <c r="B375" s="13" t="s">
        <v>15</v>
      </c>
      <c r="C375" s="13" t="s">
        <v>28</v>
      </c>
      <c r="D375" s="14" t="s">
        <v>143</v>
      </c>
      <c r="E375" s="15">
        <v>40.450000000000003</v>
      </c>
      <c r="F375" s="15">
        <v>61.92</v>
      </c>
      <c r="G375" s="16">
        <f>ROUND(E375*F375,2)</f>
        <v>2504.66</v>
      </c>
    </row>
    <row r="376" spans="1:7" x14ac:dyDescent="0.3">
      <c r="A376" s="13" t="s">
        <v>144</v>
      </c>
      <c r="B376" s="13" t="s">
        <v>15</v>
      </c>
      <c r="C376" s="13" t="s">
        <v>112</v>
      </c>
      <c r="D376" s="14" t="s">
        <v>145</v>
      </c>
      <c r="E376" s="15">
        <v>7.05</v>
      </c>
      <c r="F376" s="15">
        <v>38.46</v>
      </c>
      <c r="G376" s="16">
        <f>ROUND(E376*F376,2)</f>
        <v>271.14</v>
      </c>
    </row>
    <row r="377" spans="1:7" x14ac:dyDescent="0.3">
      <c r="A377" s="17"/>
      <c r="B377" s="17"/>
      <c r="C377" s="17"/>
      <c r="D377" s="18" t="s">
        <v>444</v>
      </c>
      <c r="E377" s="15">
        <v>1</v>
      </c>
      <c r="F377" s="12">
        <f>SUM(G375:G376)</f>
        <v>2775.7999999999997</v>
      </c>
      <c r="G377" s="12">
        <f>ROUND(F377*E377,2)</f>
        <v>2775.8</v>
      </c>
    </row>
    <row r="378" spans="1:7" ht="1.05" customHeight="1" x14ac:dyDescent="0.3">
      <c r="A378" s="20"/>
      <c r="B378" s="20"/>
      <c r="C378" s="20"/>
      <c r="D378" s="21"/>
      <c r="E378" s="20"/>
      <c r="F378" s="20"/>
      <c r="G378" s="20"/>
    </row>
    <row r="379" spans="1:7" x14ac:dyDescent="0.3">
      <c r="A379" s="22" t="s">
        <v>445</v>
      </c>
      <c r="B379" s="22" t="s">
        <v>11</v>
      </c>
      <c r="C379" s="22" t="s">
        <v>12</v>
      </c>
      <c r="D379" s="23" t="s">
        <v>148</v>
      </c>
      <c r="E379" s="12">
        <f>E381</f>
        <v>1</v>
      </c>
      <c r="F379" s="12">
        <f>F381</f>
        <v>1698.44</v>
      </c>
      <c r="G379" s="12">
        <f>G381</f>
        <v>1698.44</v>
      </c>
    </row>
    <row r="380" spans="1:7" ht="31.2" x14ac:dyDescent="0.3">
      <c r="A380" s="13" t="s">
        <v>152</v>
      </c>
      <c r="B380" s="13" t="s">
        <v>15</v>
      </c>
      <c r="C380" s="13" t="s">
        <v>151</v>
      </c>
      <c r="D380" s="14" t="s">
        <v>153</v>
      </c>
      <c r="E380" s="15">
        <v>4</v>
      </c>
      <c r="F380" s="15">
        <v>424.61</v>
      </c>
      <c r="G380" s="16">
        <f>ROUND(E380*F380,2)</f>
        <v>1698.44</v>
      </c>
    </row>
    <row r="381" spans="1:7" x14ac:dyDescent="0.3">
      <c r="A381" s="17"/>
      <c r="B381" s="17"/>
      <c r="C381" s="17"/>
      <c r="D381" s="18" t="s">
        <v>446</v>
      </c>
      <c r="E381" s="15">
        <v>1</v>
      </c>
      <c r="F381" s="12">
        <f>G380</f>
        <v>1698.44</v>
      </c>
      <c r="G381" s="12">
        <f>ROUND(F381*E381,2)</f>
        <v>1698.44</v>
      </c>
    </row>
    <row r="382" spans="1:7" ht="1.05" customHeight="1" x14ac:dyDescent="0.3">
      <c r="A382" s="20"/>
      <c r="B382" s="20"/>
      <c r="C382" s="20"/>
      <c r="D382" s="21"/>
      <c r="E382" s="20"/>
      <c r="F382" s="20"/>
      <c r="G382" s="20"/>
    </row>
    <row r="383" spans="1:7" x14ac:dyDescent="0.3">
      <c r="A383" s="22" t="s">
        <v>447</v>
      </c>
      <c r="B383" s="22" t="s">
        <v>11</v>
      </c>
      <c r="C383" s="22" t="s">
        <v>12</v>
      </c>
      <c r="D383" s="23" t="s">
        <v>360</v>
      </c>
      <c r="E383" s="24">
        <v>1</v>
      </c>
      <c r="F383" s="24">
        <v>0</v>
      </c>
      <c r="G383" s="24">
        <f>ROUND(E383*F383,2)</f>
        <v>0</v>
      </c>
    </row>
    <row r="384" spans="1:7" x14ac:dyDescent="0.3">
      <c r="A384" s="22" t="s">
        <v>448</v>
      </c>
      <c r="B384" s="22" t="s">
        <v>11</v>
      </c>
      <c r="C384" s="22" t="s">
        <v>12</v>
      </c>
      <c r="D384" s="23" t="s">
        <v>156</v>
      </c>
      <c r="E384" s="12">
        <f>E388</f>
        <v>1</v>
      </c>
      <c r="F384" s="12">
        <f>F388</f>
        <v>13080.6</v>
      </c>
      <c r="G384" s="12">
        <f>G388</f>
        <v>13080.6</v>
      </c>
    </row>
    <row r="385" spans="1:7" x14ac:dyDescent="0.3">
      <c r="A385" s="13" t="s">
        <v>157</v>
      </c>
      <c r="B385" s="13" t="s">
        <v>15</v>
      </c>
      <c r="C385" s="13" t="s">
        <v>112</v>
      </c>
      <c r="D385" s="14" t="s">
        <v>158</v>
      </c>
      <c r="E385" s="15">
        <v>1205.3499999999999</v>
      </c>
      <c r="F385" s="15">
        <v>4.0199999999999996</v>
      </c>
      <c r="G385" s="16">
        <f>ROUND(E385*F385,2)</f>
        <v>4845.51</v>
      </c>
    </row>
    <row r="386" spans="1:7" x14ac:dyDescent="0.3">
      <c r="A386" s="13" t="s">
        <v>159</v>
      </c>
      <c r="B386" s="13" t="s">
        <v>15</v>
      </c>
      <c r="C386" s="13" t="s">
        <v>112</v>
      </c>
      <c r="D386" s="14" t="s">
        <v>160</v>
      </c>
      <c r="E386" s="15">
        <v>749.38</v>
      </c>
      <c r="F386" s="15">
        <v>4.37</v>
      </c>
      <c r="G386" s="16">
        <f>ROUND(E386*F386,2)</f>
        <v>3274.79</v>
      </c>
    </row>
    <row r="387" spans="1:7" x14ac:dyDescent="0.3">
      <c r="A387" s="13" t="s">
        <v>161</v>
      </c>
      <c r="B387" s="13" t="s">
        <v>15</v>
      </c>
      <c r="C387" s="13" t="s">
        <v>112</v>
      </c>
      <c r="D387" s="14" t="s">
        <v>162</v>
      </c>
      <c r="E387" s="15">
        <v>673.04</v>
      </c>
      <c r="F387" s="15">
        <v>7.37</v>
      </c>
      <c r="G387" s="16">
        <f>ROUND(E387*F387,2)</f>
        <v>4960.3</v>
      </c>
    </row>
    <row r="388" spans="1:7" x14ac:dyDescent="0.3">
      <c r="A388" s="17"/>
      <c r="B388" s="17"/>
      <c r="C388" s="17"/>
      <c r="D388" s="18" t="s">
        <v>449</v>
      </c>
      <c r="E388" s="15">
        <v>1</v>
      </c>
      <c r="F388" s="12">
        <f>SUM(G385:G387)</f>
        <v>13080.6</v>
      </c>
      <c r="G388" s="12">
        <f>ROUND(F388*E388,2)</f>
        <v>13080.6</v>
      </c>
    </row>
    <row r="389" spans="1:7" ht="1.05" customHeight="1" x14ac:dyDescent="0.3">
      <c r="A389" s="20"/>
      <c r="B389" s="20"/>
      <c r="C389" s="20"/>
      <c r="D389" s="21"/>
      <c r="E389" s="20"/>
      <c r="F389" s="20"/>
      <c r="G389" s="20"/>
    </row>
    <row r="390" spans="1:7" x14ac:dyDescent="0.3">
      <c r="A390" s="22" t="s">
        <v>450</v>
      </c>
      <c r="B390" s="22" t="s">
        <v>11</v>
      </c>
      <c r="C390" s="22" t="s">
        <v>12</v>
      </c>
      <c r="D390" s="23" t="s">
        <v>165</v>
      </c>
      <c r="E390" s="12">
        <f>E395</f>
        <v>1</v>
      </c>
      <c r="F390" s="12">
        <f>F395</f>
        <v>3335.29</v>
      </c>
      <c r="G390" s="12">
        <f>G395</f>
        <v>3335.29</v>
      </c>
    </row>
    <row r="391" spans="1:7" x14ac:dyDescent="0.3">
      <c r="A391" s="13" t="s">
        <v>168</v>
      </c>
      <c r="B391" s="13" t="s">
        <v>15</v>
      </c>
      <c r="C391" s="13" t="s">
        <v>151</v>
      </c>
      <c r="D391" s="14" t="s">
        <v>169</v>
      </c>
      <c r="E391" s="15">
        <v>13</v>
      </c>
      <c r="F391" s="15">
        <v>39.68</v>
      </c>
      <c r="G391" s="16">
        <f>ROUND(E391*F391,2)</f>
        <v>515.84</v>
      </c>
    </row>
    <row r="392" spans="1:7" x14ac:dyDescent="0.3">
      <c r="A392" s="13" t="s">
        <v>170</v>
      </c>
      <c r="B392" s="13" t="s">
        <v>15</v>
      </c>
      <c r="C392" s="13" t="s">
        <v>151</v>
      </c>
      <c r="D392" s="14" t="s">
        <v>171</v>
      </c>
      <c r="E392" s="15">
        <v>15</v>
      </c>
      <c r="F392" s="15">
        <v>4.13</v>
      </c>
      <c r="G392" s="16">
        <f>ROUND(E392*F392,2)</f>
        <v>61.95</v>
      </c>
    </row>
    <row r="393" spans="1:7" x14ac:dyDescent="0.3">
      <c r="A393" s="13" t="s">
        <v>172</v>
      </c>
      <c r="B393" s="13" t="s">
        <v>15</v>
      </c>
      <c r="C393" s="13" t="s">
        <v>28</v>
      </c>
      <c r="D393" s="14" t="s">
        <v>173</v>
      </c>
      <c r="E393" s="15">
        <v>10.88</v>
      </c>
      <c r="F393" s="15">
        <v>122.02</v>
      </c>
      <c r="G393" s="16">
        <f>ROUND(E393*F393,2)</f>
        <v>1327.58</v>
      </c>
    </row>
    <row r="394" spans="1:7" x14ac:dyDescent="0.3">
      <c r="A394" s="13" t="s">
        <v>380</v>
      </c>
      <c r="B394" s="13" t="s">
        <v>15</v>
      </c>
      <c r="C394" s="13" t="s">
        <v>112</v>
      </c>
      <c r="D394" s="14" t="s">
        <v>381</v>
      </c>
      <c r="E394" s="15">
        <v>73.48</v>
      </c>
      <c r="F394" s="15">
        <v>19.46</v>
      </c>
      <c r="G394" s="16">
        <f>ROUND(E394*F394,2)</f>
        <v>1429.92</v>
      </c>
    </row>
    <row r="395" spans="1:7" x14ac:dyDescent="0.3">
      <c r="A395" s="17"/>
      <c r="B395" s="17"/>
      <c r="C395" s="17"/>
      <c r="D395" s="18" t="s">
        <v>451</v>
      </c>
      <c r="E395" s="15">
        <v>1</v>
      </c>
      <c r="F395" s="12">
        <f>SUM(G391:G394)</f>
        <v>3335.29</v>
      </c>
      <c r="G395" s="12">
        <f>ROUND(F395*E395,2)</f>
        <v>3335.29</v>
      </c>
    </row>
    <row r="396" spans="1:7" ht="1.05" customHeight="1" x14ac:dyDescent="0.3">
      <c r="A396" s="20"/>
      <c r="B396" s="20"/>
      <c r="C396" s="20"/>
      <c r="D396" s="21"/>
      <c r="E396" s="20"/>
      <c r="F396" s="20"/>
      <c r="G396" s="20"/>
    </row>
    <row r="397" spans="1:7" x14ac:dyDescent="0.3">
      <c r="A397" s="22" t="s">
        <v>452</v>
      </c>
      <c r="B397" s="22" t="s">
        <v>11</v>
      </c>
      <c r="C397" s="22" t="s">
        <v>12</v>
      </c>
      <c r="D397" s="23" t="s">
        <v>176</v>
      </c>
      <c r="E397" s="12">
        <f>E432</f>
        <v>1</v>
      </c>
      <c r="F397" s="12">
        <f>F432</f>
        <v>4058.04</v>
      </c>
      <c r="G397" s="12">
        <f>G432</f>
        <v>4058.04</v>
      </c>
    </row>
    <row r="398" spans="1:7" ht="31.2" x14ac:dyDescent="0.3">
      <c r="A398" s="22" t="s">
        <v>453</v>
      </c>
      <c r="B398" s="22" t="s">
        <v>11</v>
      </c>
      <c r="C398" s="22" t="s">
        <v>12</v>
      </c>
      <c r="D398" s="23" t="s">
        <v>229</v>
      </c>
      <c r="E398" s="12">
        <f>E408</f>
        <v>1</v>
      </c>
      <c r="F398" s="12">
        <f>F408</f>
        <v>236.35999999999999</v>
      </c>
      <c r="G398" s="12">
        <f>G408</f>
        <v>236.36</v>
      </c>
    </row>
    <row r="399" spans="1:7" x14ac:dyDescent="0.3">
      <c r="A399" s="13" t="s">
        <v>230</v>
      </c>
      <c r="B399" s="13" t="s">
        <v>15</v>
      </c>
      <c r="C399" s="13" t="s">
        <v>28</v>
      </c>
      <c r="D399" s="14" t="s">
        <v>231</v>
      </c>
      <c r="E399" s="15">
        <v>3.25</v>
      </c>
      <c r="F399" s="15">
        <v>1.9</v>
      </c>
      <c r="G399" s="16">
        <f>ROUND(E399*F399,2)</f>
        <v>6.18</v>
      </c>
    </row>
    <row r="400" spans="1:7" x14ac:dyDescent="0.3">
      <c r="A400" s="13" t="s">
        <v>232</v>
      </c>
      <c r="B400" s="13" t="s">
        <v>15</v>
      </c>
      <c r="C400" s="13" t="s">
        <v>28</v>
      </c>
      <c r="D400" s="14" t="s">
        <v>233</v>
      </c>
      <c r="E400" s="15">
        <v>3.25</v>
      </c>
      <c r="F400" s="15">
        <v>4.3499999999999996</v>
      </c>
      <c r="G400" s="16">
        <f>ROUND(E400*F400,2)</f>
        <v>14.14</v>
      </c>
    </row>
    <row r="401" spans="1:7" x14ac:dyDescent="0.3">
      <c r="A401" s="13" t="s">
        <v>234</v>
      </c>
      <c r="B401" s="13" t="s">
        <v>15</v>
      </c>
      <c r="C401" s="13" t="s">
        <v>28</v>
      </c>
      <c r="D401" s="14" t="s">
        <v>235</v>
      </c>
      <c r="E401" s="15">
        <v>0</v>
      </c>
      <c r="F401" s="15">
        <v>3.07</v>
      </c>
      <c r="G401" s="16">
        <f>ROUND(E401*F401,2)</f>
        <v>0</v>
      </c>
    </row>
    <row r="402" spans="1:7" x14ac:dyDescent="0.3">
      <c r="A402" s="13" t="s">
        <v>236</v>
      </c>
      <c r="B402" s="13" t="s">
        <v>15</v>
      </c>
      <c r="C402" s="13" t="s">
        <v>28</v>
      </c>
      <c r="D402" s="14" t="s">
        <v>237</v>
      </c>
      <c r="E402" s="15">
        <v>0</v>
      </c>
      <c r="F402" s="15">
        <v>4.22</v>
      </c>
      <c r="G402" s="16">
        <f>ROUND(E402*F402,2)</f>
        <v>0</v>
      </c>
    </row>
    <row r="403" spans="1:7" x14ac:dyDescent="0.3">
      <c r="A403" s="13" t="s">
        <v>238</v>
      </c>
      <c r="B403" s="13" t="s">
        <v>15</v>
      </c>
      <c r="C403" s="13" t="s">
        <v>28</v>
      </c>
      <c r="D403" s="14" t="s">
        <v>239</v>
      </c>
      <c r="E403" s="15">
        <v>0</v>
      </c>
      <c r="F403" s="15">
        <v>13.9</v>
      </c>
      <c r="G403" s="16">
        <f>ROUND(E403*F403,2)</f>
        <v>0</v>
      </c>
    </row>
    <row r="404" spans="1:7" x14ac:dyDescent="0.3">
      <c r="A404" s="13" t="s">
        <v>240</v>
      </c>
      <c r="B404" s="13" t="s">
        <v>15</v>
      </c>
      <c r="C404" s="13" t="s">
        <v>28</v>
      </c>
      <c r="D404" s="14" t="s">
        <v>241</v>
      </c>
      <c r="E404" s="15">
        <v>0</v>
      </c>
      <c r="F404" s="15">
        <v>15.59</v>
      </c>
      <c r="G404" s="16">
        <f>ROUND(E404*F404,2)</f>
        <v>0</v>
      </c>
    </row>
    <row r="405" spans="1:7" ht="31.2" x14ac:dyDescent="0.3">
      <c r="A405" s="13" t="s">
        <v>242</v>
      </c>
      <c r="B405" s="13" t="s">
        <v>15</v>
      </c>
      <c r="C405" s="13" t="s">
        <v>16</v>
      </c>
      <c r="D405" s="14" t="s">
        <v>243</v>
      </c>
      <c r="E405" s="15">
        <v>0.2</v>
      </c>
      <c r="F405" s="15">
        <v>793.65</v>
      </c>
      <c r="G405" s="16">
        <f>ROUND(E405*F405,2)</f>
        <v>158.72999999999999</v>
      </c>
    </row>
    <row r="406" spans="1:7" x14ac:dyDescent="0.3">
      <c r="A406" s="13" t="s">
        <v>244</v>
      </c>
      <c r="B406" s="13" t="s">
        <v>15</v>
      </c>
      <c r="C406" s="13" t="s">
        <v>215</v>
      </c>
      <c r="D406" s="14" t="s">
        <v>245</v>
      </c>
      <c r="E406" s="15">
        <v>0</v>
      </c>
      <c r="F406" s="15">
        <v>13.5</v>
      </c>
      <c r="G406" s="16">
        <f>ROUND(E406*F406,2)</f>
        <v>0</v>
      </c>
    </row>
    <row r="407" spans="1:7" x14ac:dyDescent="0.3">
      <c r="A407" s="13" t="s">
        <v>246</v>
      </c>
      <c r="B407" s="13" t="s">
        <v>15</v>
      </c>
      <c r="C407" s="13" t="s">
        <v>215</v>
      </c>
      <c r="D407" s="14" t="s">
        <v>247</v>
      </c>
      <c r="E407" s="15">
        <v>1</v>
      </c>
      <c r="F407" s="15">
        <v>57.31</v>
      </c>
      <c r="G407" s="16">
        <f>ROUND(E407*F407,2)</f>
        <v>57.31</v>
      </c>
    </row>
    <row r="408" spans="1:7" x14ac:dyDescent="0.3">
      <c r="A408" s="17"/>
      <c r="B408" s="17"/>
      <c r="C408" s="17"/>
      <c r="D408" s="18" t="s">
        <v>454</v>
      </c>
      <c r="E408" s="15">
        <v>1</v>
      </c>
      <c r="F408" s="12">
        <f>SUM(G399:G407)</f>
        <v>236.35999999999999</v>
      </c>
      <c r="G408" s="12">
        <f>ROUND(F408*E408,2)</f>
        <v>236.36</v>
      </c>
    </row>
    <row r="409" spans="1:7" ht="1.05" customHeight="1" x14ac:dyDescent="0.3">
      <c r="A409" s="20"/>
      <c r="B409" s="20"/>
      <c r="C409" s="20"/>
      <c r="D409" s="21"/>
      <c r="E409" s="20"/>
      <c r="F409" s="20"/>
      <c r="G409" s="20"/>
    </row>
    <row r="410" spans="1:7" ht="31.2" x14ac:dyDescent="0.3">
      <c r="A410" s="22" t="s">
        <v>455</v>
      </c>
      <c r="B410" s="22" t="s">
        <v>11</v>
      </c>
      <c r="C410" s="22" t="s">
        <v>12</v>
      </c>
      <c r="D410" s="23" t="s">
        <v>250</v>
      </c>
      <c r="E410" s="12">
        <f>E424</f>
        <v>1</v>
      </c>
      <c r="F410" s="12">
        <f>F424</f>
        <v>1409.99</v>
      </c>
      <c r="G410" s="12">
        <f>G424</f>
        <v>1409.99</v>
      </c>
    </row>
    <row r="411" spans="1:7" x14ac:dyDescent="0.3">
      <c r="A411" s="13" t="s">
        <v>230</v>
      </c>
      <c r="B411" s="13" t="s">
        <v>15</v>
      </c>
      <c r="C411" s="13" t="s">
        <v>28</v>
      </c>
      <c r="D411" s="14" t="s">
        <v>231</v>
      </c>
      <c r="E411" s="15">
        <v>48</v>
      </c>
      <c r="F411" s="15">
        <v>1.9</v>
      </c>
      <c r="G411" s="16">
        <f>ROUND(E411*F411,2)</f>
        <v>91.2</v>
      </c>
    </row>
    <row r="412" spans="1:7" x14ac:dyDescent="0.3">
      <c r="A412" s="13" t="s">
        <v>387</v>
      </c>
      <c r="B412" s="13" t="s">
        <v>15</v>
      </c>
      <c r="C412" s="13" t="s">
        <v>28</v>
      </c>
      <c r="D412" s="14" t="s">
        <v>388</v>
      </c>
      <c r="E412" s="15">
        <v>0</v>
      </c>
      <c r="F412" s="15">
        <v>2.82</v>
      </c>
      <c r="G412" s="16">
        <f>ROUND(E412*F412,2)</f>
        <v>0</v>
      </c>
    </row>
    <row r="413" spans="1:7" x14ac:dyDescent="0.3">
      <c r="A413" s="13" t="s">
        <v>389</v>
      </c>
      <c r="B413" s="13" t="s">
        <v>15</v>
      </c>
      <c r="C413" s="13" t="s">
        <v>28</v>
      </c>
      <c r="D413" s="14" t="s">
        <v>390</v>
      </c>
      <c r="E413" s="15">
        <v>0</v>
      </c>
      <c r="F413" s="15">
        <v>4.3600000000000003</v>
      </c>
      <c r="G413" s="16">
        <f>ROUND(E413*F413,2)</f>
        <v>0</v>
      </c>
    </row>
    <row r="414" spans="1:7" x14ac:dyDescent="0.3">
      <c r="A414" s="13" t="s">
        <v>391</v>
      </c>
      <c r="B414" s="13" t="s">
        <v>15</v>
      </c>
      <c r="C414" s="13" t="s">
        <v>28</v>
      </c>
      <c r="D414" s="14" t="s">
        <v>392</v>
      </c>
      <c r="E414" s="15">
        <v>0</v>
      </c>
      <c r="F414" s="15">
        <v>6.47</v>
      </c>
      <c r="G414" s="16">
        <f>ROUND(E414*F414,2)</f>
        <v>0</v>
      </c>
    </row>
    <row r="415" spans="1:7" x14ac:dyDescent="0.3">
      <c r="A415" s="13" t="s">
        <v>393</v>
      </c>
      <c r="B415" s="13" t="s">
        <v>15</v>
      </c>
      <c r="C415" s="13" t="s">
        <v>28</v>
      </c>
      <c r="D415" s="14" t="s">
        <v>394</v>
      </c>
      <c r="E415" s="15">
        <v>0</v>
      </c>
      <c r="F415" s="15">
        <v>10.02</v>
      </c>
      <c r="G415" s="16">
        <f>ROUND(E415*F415,2)</f>
        <v>0</v>
      </c>
    </row>
    <row r="416" spans="1:7" x14ac:dyDescent="0.3">
      <c r="A416" s="13" t="s">
        <v>395</v>
      </c>
      <c r="B416" s="13" t="s">
        <v>15</v>
      </c>
      <c r="C416" s="13" t="s">
        <v>28</v>
      </c>
      <c r="D416" s="14" t="s">
        <v>396</v>
      </c>
      <c r="E416" s="15">
        <v>0</v>
      </c>
      <c r="F416" s="15">
        <v>11.7</v>
      </c>
      <c r="G416" s="16">
        <f>ROUND(E416*F416,2)</f>
        <v>0</v>
      </c>
    </row>
    <row r="417" spans="1:7" x14ac:dyDescent="0.3">
      <c r="A417" s="13" t="s">
        <v>397</v>
      </c>
      <c r="B417" s="13" t="s">
        <v>15</v>
      </c>
      <c r="C417" s="13" t="s">
        <v>28</v>
      </c>
      <c r="D417" s="14" t="s">
        <v>398</v>
      </c>
      <c r="E417" s="15">
        <v>0</v>
      </c>
      <c r="F417" s="15">
        <v>16.88</v>
      </c>
      <c r="G417" s="16">
        <f>ROUND(E417*F417,2)</f>
        <v>0</v>
      </c>
    </row>
    <row r="418" spans="1:7" ht="31.2" x14ac:dyDescent="0.3">
      <c r="A418" s="13" t="s">
        <v>261</v>
      </c>
      <c r="B418" s="13" t="s">
        <v>15</v>
      </c>
      <c r="C418" s="13" t="s">
        <v>16</v>
      </c>
      <c r="D418" s="14" t="s">
        <v>262</v>
      </c>
      <c r="E418" s="15">
        <v>0.7</v>
      </c>
      <c r="F418" s="15">
        <v>1031.75</v>
      </c>
      <c r="G418" s="16">
        <f>ROUND(E418*F418,2)</f>
        <v>722.23</v>
      </c>
    </row>
    <row r="419" spans="1:7" x14ac:dyDescent="0.3">
      <c r="A419" s="13" t="s">
        <v>399</v>
      </c>
      <c r="B419" s="13" t="s">
        <v>15</v>
      </c>
      <c r="C419" s="13" t="s">
        <v>215</v>
      </c>
      <c r="D419" s="14" t="s">
        <v>400</v>
      </c>
      <c r="E419" s="15">
        <v>6</v>
      </c>
      <c r="F419" s="15">
        <v>30.14</v>
      </c>
      <c r="G419" s="16">
        <f>ROUND(E419*F419,2)</f>
        <v>180.84</v>
      </c>
    </row>
    <row r="420" spans="1:7" ht="31.2" x14ac:dyDescent="0.3">
      <c r="A420" s="13" t="s">
        <v>265</v>
      </c>
      <c r="B420" s="13" t="s">
        <v>15</v>
      </c>
      <c r="C420" s="13" t="s">
        <v>215</v>
      </c>
      <c r="D420" s="14" t="s">
        <v>266</v>
      </c>
      <c r="E420" s="15">
        <v>4</v>
      </c>
      <c r="F420" s="15">
        <v>32.25</v>
      </c>
      <c r="G420" s="16">
        <f>ROUND(E420*F420,2)</f>
        <v>129</v>
      </c>
    </row>
    <row r="421" spans="1:7" ht="31.2" x14ac:dyDescent="0.3">
      <c r="A421" s="13" t="s">
        <v>267</v>
      </c>
      <c r="B421" s="13" t="s">
        <v>15</v>
      </c>
      <c r="C421" s="13" t="s">
        <v>215</v>
      </c>
      <c r="D421" s="14" t="s">
        <v>268</v>
      </c>
      <c r="E421" s="15">
        <v>2</v>
      </c>
      <c r="F421" s="15">
        <v>44.38</v>
      </c>
      <c r="G421" s="16">
        <f>ROUND(E421*F421,2)</f>
        <v>88.76</v>
      </c>
    </row>
    <row r="422" spans="1:7" ht="31.2" x14ac:dyDescent="0.3">
      <c r="A422" s="13" t="s">
        <v>269</v>
      </c>
      <c r="B422" s="13" t="s">
        <v>15</v>
      </c>
      <c r="C422" s="13" t="s">
        <v>215</v>
      </c>
      <c r="D422" s="14" t="s">
        <v>270</v>
      </c>
      <c r="E422" s="15">
        <v>4</v>
      </c>
      <c r="F422" s="15">
        <v>49.49</v>
      </c>
      <c r="G422" s="16">
        <f>ROUND(E422*F422,2)</f>
        <v>197.96</v>
      </c>
    </row>
    <row r="423" spans="1:7" x14ac:dyDescent="0.3">
      <c r="A423" s="13" t="s">
        <v>401</v>
      </c>
      <c r="B423" s="13" t="s">
        <v>15</v>
      </c>
      <c r="C423" s="13" t="s">
        <v>215</v>
      </c>
      <c r="D423" s="14" t="s">
        <v>402</v>
      </c>
      <c r="E423" s="15">
        <v>0</v>
      </c>
      <c r="F423" s="15">
        <v>81.38</v>
      </c>
      <c r="G423" s="16">
        <f>ROUND(E423*F423,2)</f>
        <v>0</v>
      </c>
    </row>
    <row r="424" spans="1:7" x14ac:dyDescent="0.3">
      <c r="A424" s="17"/>
      <c r="B424" s="17"/>
      <c r="C424" s="17"/>
      <c r="D424" s="18" t="s">
        <v>456</v>
      </c>
      <c r="E424" s="15">
        <v>1</v>
      </c>
      <c r="F424" s="12">
        <f>SUM(G411:G423)</f>
        <v>1409.99</v>
      </c>
      <c r="G424" s="12">
        <f>ROUND(F424*E424,2)</f>
        <v>1409.99</v>
      </c>
    </row>
    <row r="425" spans="1:7" ht="1.05" customHeight="1" x14ac:dyDescent="0.3">
      <c r="A425" s="20"/>
      <c r="B425" s="20"/>
      <c r="C425" s="20"/>
      <c r="D425" s="21"/>
      <c r="E425" s="20"/>
      <c r="F425" s="20"/>
      <c r="G425" s="20"/>
    </row>
    <row r="426" spans="1:7" x14ac:dyDescent="0.3">
      <c r="A426" s="22" t="s">
        <v>457</v>
      </c>
      <c r="B426" s="22" t="s">
        <v>11</v>
      </c>
      <c r="C426" s="22" t="s">
        <v>12</v>
      </c>
      <c r="D426" s="23" t="s">
        <v>275</v>
      </c>
      <c r="E426" s="12">
        <f>E430</f>
        <v>1</v>
      </c>
      <c r="F426" s="12">
        <f>F430</f>
        <v>2411.69</v>
      </c>
      <c r="G426" s="12">
        <f>G430</f>
        <v>2411.69</v>
      </c>
    </row>
    <row r="427" spans="1:7" ht="31.2" x14ac:dyDescent="0.3">
      <c r="A427" s="13" t="s">
        <v>276</v>
      </c>
      <c r="B427" s="13" t="s">
        <v>15</v>
      </c>
      <c r="C427" s="13" t="s">
        <v>28</v>
      </c>
      <c r="D427" s="14" t="s">
        <v>277</v>
      </c>
      <c r="E427" s="15">
        <v>6.94</v>
      </c>
      <c r="F427" s="15">
        <v>27.3</v>
      </c>
      <c r="G427" s="16">
        <f>ROUND(E427*F427,2)</f>
        <v>189.46</v>
      </c>
    </row>
    <row r="428" spans="1:7" x14ac:dyDescent="0.3">
      <c r="A428" s="13" t="s">
        <v>278</v>
      </c>
      <c r="B428" s="13" t="s">
        <v>15</v>
      </c>
      <c r="C428" s="13" t="s">
        <v>215</v>
      </c>
      <c r="D428" s="14" t="s">
        <v>279</v>
      </c>
      <c r="E428" s="15">
        <v>1</v>
      </c>
      <c r="F428" s="15">
        <v>1666.67</v>
      </c>
      <c r="G428" s="16">
        <f>ROUND(E428*F428,2)</f>
        <v>1666.67</v>
      </c>
    </row>
    <row r="429" spans="1:7" ht="31.2" x14ac:dyDescent="0.3">
      <c r="A429" s="13" t="s">
        <v>280</v>
      </c>
      <c r="B429" s="13" t="s">
        <v>15</v>
      </c>
      <c r="C429" s="13" t="s">
        <v>215</v>
      </c>
      <c r="D429" s="14" t="s">
        <v>281</v>
      </c>
      <c r="E429" s="15">
        <v>1</v>
      </c>
      <c r="F429" s="15">
        <v>555.55999999999995</v>
      </c>
      <c r="G429" s="16">
        <f>ROUND(E429*F429,2)</f>
        <v>555.55999999999995</v>
      </c>
    </row>
    <row r="430" spans="1:7" x14ac:dyDescent="0.3">
      <c r="A430" s="17"/>
      <c r="B430" s="17"/>
      <c r="C430" s="17"/>
      <c r="D430" s="18" t="s">
        <v>458</v>
      </c>
      <c r="E430" s="15">
        <v>1</v>
      </c>
      <c r="F430" s="12">
        <f>SUM(G427:G429)</f>
        <v>2411.69</v>
      </c>
      <c r="G430" s="12">
        <f>ROUND(F430*E430,2)</f>
        <v>2411.69</v>
      </c>
    </row>
    <row r="431" spans="1:7" ht="1.05" customHeight="1" x14ac:dyDescent="0.3">
      <c r="A431" s="20"/>
      <c r="B431" s="20"/>
      <c r="C431" s="20"/>
      <c r="D431" s="21"/>
      <c r="E431" s="20"/>
      <c r="F431" s="20"/>
      <c r="G431" s="20"/>
    </row>
    <row r="432" spans="1:7" x14ac:dyDescent="0.3">
      <c r="A432" s="17"/>
      <c r="B432" s="17"/>
      <c r="C432" s="17"/>
      <c r="D432" s="18" t="s">
        <v>459</v>
      </c>
      <c r="E432" s="15">
        <v>1</v>
      </c>
      <c r="F432" s="12">
        <f>G408+G424+G430</f>
        <v>4058.04</v>
      </c>
      <c r="G432" s="12">
        <f>ROUND(F432*E432,2)</f>
        <v>4058.04</v>
      </c>
    </row>
    <row r="433" spans="1:7" ht="1.05" customHeight="1" x14ac:dyDescent="0.3">
      <c r="A433" s="20"/>
      <c r="B433" s="20"/>
      <c r="C433" s="20"/>
      <c r="D433" s="21"/>
      <c r="E433" s="20"/>
      <c r="F433" s="20"/>
      <c r="G433" s="20"/>
    </row>
    <row r="434" spans="1:7" x14ac:dyDescent="0.3">
      <c r="A434" s="22" t="s">
        <v>460</v>
      </c>
      <c r="B434" s="22" t="s">
        <v>11</v>
      </c>
      <c r="C434" s="22" t="s">
        <v>12</v>
      </c>
      <c r="D434" s="23" t="s">
        <v>285</v>
      </c>
      <c r="E434" s="12">
        <f>E443</f>
        <v>1</v>
      </c>
      <c r="F434" s="12">
        <f>F443</f>
        <v>6714.54</v>
      </c>
      <c r="G434" s="12">
        <f>G443</f>
        <v>6714.54</v>
      </c>
    </row>
    <row r="435" spans="1:7" ht="31.2" x14ac:dyDescent="0.3">
      <c r="A435" s="13" t="s">
        <v>290</v>
      </c>
      <c r="B435" s="13" t="s">
        <v>15</v>
      </c>
      <c r="C435" s="13" t="s">
        <v>215</v>
      </c>
      <c r="D435" s="14" t="s">
        <v>291</v>
      </c>
      <c r="E435" s="15">
        <v>23</v>
      </c>
      <c r="F435" s="15">
        <v>194.2</v>
      </c>
      <c r="G435" s="16">
        <f>ROUND(E435*F435,2)</f>
        <v>4466.6000000000004</v>
      </c>
    </row>
    <row r="436" spans="1:7" x14ac:dyDescent="0.3">
      <c r="A436" s="13" t="s">
        <v>292</v>
      </c>
      <c r="B436" s="13" t="s">
        <v>15</v>
      </c>
      <c r="C436" s="13" t="s">
        <v>215</v>
      </c>
      <c r="D436" s="14" t="s">
        <v>293</v>
      </c>
      <c r="E436" s="15">
        <v>5</v>
      </c>
      <c r="F436" s="15">
        <v>11.25</v>
      </c>
      <c r="G436" s="16">
        <f>ROUND(E436*F436,2)</f>
        <v>56.25</v>
      </c>
    </row>
    <row r="437" spans="1:7" ht="31.2" x14ac:dyDescent="0.3">
      <c r="A437" s="13" t="s">
        <v>294</v>
      </c>
      <c r="B437" s="13" t="s">
        <v>15</v>
      </c>
      <c r="C437" s="13" t="s">
        <v>215</v>
      </c>
      <c r="D437" s="14" t="s">
        <v>295</v>
      </c>
      <c r="E437" s="15">
        <v>4</v>
      </c>
      <c r="F437" s="15">
        <v>29.23</v>
      </c>
      <c r="G437" s="16">
        <f>ROUND(E437*F437,2)</f>
        <v>116.92</v>
      </c>
    </row>
    <row r="438" spans="1:7" x14ac:dyDescent="0.3">
      <c r="A438" s="13" t="s">
        <v>296</v>
      </c>
      <c r="B438" s="13" t="s">
        <v>15</v>
      </c>
      <c r="C438" s="13" t="s">
        <v>215</v>
      </c>
      <c r="D438" s="14" t="s">
        <v>297</v>
      </c>
      <c r="E438" s="15">
        <v>28</v>
      </c>
      <c r="F438" s="15">
        <v>50.07</v>
      </c>
      <c r="G438" s="16">
        <f>ROUND(E438*F438,2)</f>
        <v>1401.96</v>
      </c>
    </row>
    <row r="439" spans="1:7" x14ac:dyDescent="0.3">
      <c r="A439" s="13" t="s">
        <v>298</v>
      </c>
      <c r="B439" s="13" t="s">
        <v>15</v>
      </c>
      <c r="C439" s="13" t="s">
        <v>215</v>
      </c>
      <c r="D439" s="14" t="s">
        <v>299</v>
      </c>
      <c r="E439" s="15">
        <v>2</v>
      </c>
      <c r="F439" s="15">
        <v>42.74</v>
      </c>
      <c r="G439" s="16">
        <f>ROUND(E439*F439,2)</f>
        <v>85.48</v>
      </c>
    </row>
    <row r="440" spans="1:7" x14ac:dyDescent="0.3">
      <c r="A440" s="13" t="s">
        <v>302</v>
      </c>
      <c r="B440" s="13" t="s">
        <v>15</v>
      </c>
      <c r="C440" s="13" t="s">
        <v>215</v>
      </c>
      <c r="D440" s="14" t="s">
        <v>303</v>
      </c>
      <c r="E440" s="15">
        <v>1</v>
      </c>
      <c r="F440" s="15">
        <v>51.73</v>
      </c>
      <c r="G440" s="16">
        <f>ROUND(E440*F440,2)</f>
        <v>51.73</v>
      </c>
    </row>
    <row r="441" spans="1:7" x14ac:dyDescent="0.3">
      <c r="A441" s="13" t="s">
        <v>304</v>
      </c>
      <c r="B441" s="13" t="s">
        <v>15</v>
      </c>
      <c r="C441" s="13" t="s">
        <v>215</v>
      </c>
      <c r="D441" s="14" t="s">
        <v>305</v>
      </c>
      <c r="E441" s="15">
        <v>2</v>
      </c>
      <c r="F441" s="15">
        <v>53.67</v>
      </c>
      <c r="G441" s="16">
        <f>ROUND(E441*F441,2)</f>
        <v>107.34</v>
      </c>
    </row>
    <row r="442" spans="1:7" ht="31.2" x14ac:dyDescent="0.3">
      <c r="A442" s="13" t="s">
        <v>306</v>
      </c>
      <c r="B442" s="13" t="s">
        <v>15</v>
      </c>
      <c r="C442" s="13" t="s">
        <v>215</v>
      </c>
      <c r="D442" s="14" t="s">
        <v>307</v>
      </c>
      <c r="E442" s="15">
        <v>7</v>
      </c>
      <c r="F442" s="15">
        <v>61.18</v>
      </c>
      <c r="G442" s="16">
        <f>ROUND(E442*F442,2)</f>
        <v>428.26</v>
      </c>
    </row>
    <row r="443" spans="1:7" x14ac:dyDescent="0.3">
      <c r="A443" s="17"/>
      <c r="B443" s="17"/>
      <c r="C443" s="17"/>
      <c r="D443" s="18" t="s">
        <v>461</v>
      </c>
      <c r="E443" s="15">
        <v>1</v>
      </c>
      <c r="F443" s="12">
        <f>SUM(G435:G442)</f>
        <v>6714.54</v>
      </c>
      <c r="G443" s="12">
        <f>ROUND(F443*E443,2)</f>
        <v>6714.54</v>
      </c>
    </row>
    <row r="444" spans="1:7" ht="1.05" customHeight="1" x14ac:dyDescent="0.3">
      <c r="A444" s="20"/>
      <c r="B444" s="20"/>
      <c r="C444" s="20"/>
      <c r="D444" s="21"/>
      <c r="E444" s="20"/>
      <c r="F444" s="20"/>
      <c r="G444" s="20"/>
    </row>
    <row r="445" spans="1:7" x14ac:dyDescent="0.3">
      <c r="A445" s="17"/>
      <c r="B445" s="17"/>
      <c r="C445" s="17"/>
      <c r="D445" s="18" t="s">
        <v>462</v>
      </c>
      <c r="E445" s="19">
        <v>1</v>
      </c>
      <c r="F445" s="12">
        <f>G352+G356+G366+G371+G373+G377+G381+G383+G388+G395+G432+G443</f>
        <v>163846.99000000005</v>
      </c>
      <c r="G445" s="12">
        <f>ROUND(F445*E445,2)</f>
        <v>163846.99</v>
      </c>
    </row>
    <row r="446" spans="1:7" ht="1.05" customHeight="1" x14ac:dyDescent="0.3">
      <c r="A446" s="20"/>
      <c r="B446" s="20"/>
      <c r="C446" s="20"/>
      <c r="D446" s="21"/>
      <c r="E446" s="20"/>
      <c r="F446" s="20"/>
      <c r="G446" s="20"/>
    </row>
    <row r="447" spans="1:7" x14ac:dyDescent="0.3">
      <c r="A447" s="9" t="s">
        <v>463</v>
      </c>
      <c r="B447" s="9" t="s">
        <v>11</v>
      </c>
      <c r="C447" s="9" t="s">
        <v>12</v>
      </c>
      <c r="D447" s="10" t="s">
        <v>464</v>
      </c>
      <c r="E447" s="11">
        <f>E563</f>
        <v>1</v>
      </c>
      <c r="F447" s="12">
        <f>F563</f>
        <v>178388.81000000003</v>
      </c>
      <c r="G447" s="12">
        <f>G563</f>
        <v>178388.81</v>
      </c>
    </row>
    <row r="448" spans="1:7" x14ac:dyDescent="0.3">
      <c r="A448" s="22" t="s">
        <v>465</v>
      </c>
      <c r="B448" s="22" t="s">
        <v>11</v>
      </c>
      <c r="C448" s="22" t="s">
        <v>12</v>
      </c>
      <c r="D448" s="23" t="s">
        <v>57</v>
      </c>
      <c r="E448" s="12">
        <f>E471</f>
        <v>1</v>
      </c>
      <c r="F448" s="12">
        <f>F471</f>
        <v>126085.49</v>
      </c>
      <c r="G448" s="12">
        <f>G471</f>
        <v>126085.49</v>
      </c>
    </row>
    <row r="449" spans="1:7" x14ac:dyDescent="0.3">
      <c r="A449" s="13" t="s">
        <v>81</v>
      </c>
      <c r="B449" s="13" t="s">
        <v>15</v>
      </c>
      <c r="C449" s="13" t="s">
        <v>60</v>
      </c>
      <c r="D449" s="14" t="s">
        <v>82</v>
      </c>
      <c r="E449" s="15">
        <v>11.86</v>
      </c>
      <c r="F449" s="15">
        <v>572.66999999999996</v>
      </c>
      <c r="G449" s="16">
        <f>ROUND(E449*F449,2)</f>
        <v>6791.87</v>
      </c>
    </row>
    <row r="450" spans="1:7" x14ac:dyDescent="0.3">
      <c r="A450" s="13" t="s">
        <v>83</v>
      </c>
      <c r="B450" s="13" t="s">
        <v>15</v>
      </c>
      <c r="C450" s="13" t="s">
        <v>60</v>
      </c>
      <c r="D450" s="14" t="s">
        <v>84</v>
      </c>
      <c r="E450" s="15">
        <v>5.88</v>
      </c>
      <c r="F450" s="15">
        <v>545.57000000000005</v>
      </c>
      <c r="G450" s="16">
        <f>ROUND(E450*F450,2)</f>
        <v>3207.95</v>
      </c>
    </row>
    <row r="451" spans="1:7" ht="31.2" x14ac:dyDescent="0.3">
      <c r="A451" s="13" t="s">
        <v>422</v>
      </c>
      <c r="B451" s="13" t="s">
        <v>15</v>
      </c>
      <c r="C451" s="13" t="s">
        <v>60</v>
      </c>
      <c r="D451" s="14" t="s">
        <v>423</v>
      </c>
      <c r="E451" s="15">
        <v>24.51</v>
      </c>
      <c r="F451" s="15">
        <v>410.36</v>
      </c>
      <c r="G451" s="16">
        <f>ROUND(E451*F451,2)</f>
        <v>10057.92</v>
      </c>
    </row>
    <row r="452" spans="1:7" ht="31.2" x14ac:dyDescent="0.3">
      <c r="A452" s="13" t="s">
        <v>97</v>
      </c>
      <c r="B452" s="13" t="s">
        <v>15</v>
      </c>
      <c r="C452" s="13" t="s">
        <v>60</v>
      </c>
      <c r="D452" s="14" t="s">
        <v>98</v>
      </c>
      <c r="E452" s="15">
        <v>11.75</v>
      </c>
      <c r="F452" s="15">
        <v>1055.26</v>
      </c>
      <c r="G452" s="16">
        <f>ROUND(E452*F452,2)</f>
        <v>12399.31</v>
      </c>
    </row>
    <row r="453" spans="1:7" ht="31.2" x14ac:dyDescent="0.3">
      <c r="A453" s="13" t="s">
        <v>99</v>
      </c>
      <c r="B453" s="13" t="s">
        <v>15</v>
      </c>
      <c r="C453" s="13" t="s">
        <v>60</v>
      </c>
      <c r="D453" s="14" t="s">
        <v>100</v>
      </c>
      <c r="E453" s="15">
        <v>7.52</v>
      </c>
      <c r="F453" s="15">
        <v>779.5</v>
      </c>
      <c r="G453" s="16">
        <f>ROUND(E453*F453,2)</f>
        <v>5861.84</v>
      </c>
    </row>
    <row r="454" spans="1:7" ht="31.2" x14ac:dyDescent="0.3">
      <c r="A454" s="13" t="s">
        <v>101</v>
      </c>
      <c r="B454" s="13" t="s">
        <v>15</v>
      </c>
      <c r="C454" s="13" t="s">
        <v>60</v>
      </c>
      <c r="D454" s="14" t="s">
        <v>102</v>
      </c>
      <c r="E454" s="15">
        <v>9.4</v>
      </c>
      <c r="F454" s="15">
        <v>1077.93</v>
      </c>
      <c r="G454" s="16">
        <f>ROUND(E454*F454,2)</f>
        <v>10132.540000000001</v>
      </c>
    </row>
    <row r="455" spans="1:7" ht="31.2" x14ac:dyDescent="0.3">
      <c r="A455" s="13" t="s">
        <v>103</v>
      </c>
      <c r="B455" s="13" t="s">
        <v>15</v>
      </c>
      <c r="C455" s="13" t="s">
        <v>60</v>
      </c>
      <c r="D455" s="14" t="s">
        <v>104</v>
      </c>
      <c r="E455" s="15">
        <v>7.05</v>
      </c>
      <c r="F455" s="15">
        <v>1000.73</v>
      </c>
      <c r="G455" s="16">
        <f>ROUND(E455*F455,2)</f>
        <v>7055.15</v>
      </c>
    </row>
    <row r="456" spans="1:7" x14ac:dyDescent="0.3">
      <c r="A456" s="13" t="s">
        <v>105</v>
      </c>
      <c r="B456" s="13" t="s">
        <v>15</v>
      </c>
      <c r="C456" s="13" t="s">
        <v>60</v>
      </c>
      <c r="D456" s="14" t="s">
        <v>106</v>
      </c>
      <c r="E456" s="15">
        <v>5.1100000000000003</v>
      </c>
      <c r="F456" s="15">
        <v>476.95</v>
      </c>
      <c r="G456" s="16">
        <f>ROUND(E456*F456,2)</f>
        <v>2437.21</v>
      </c>
    </row>
    <row r="457" spans="1:7" x14ac:dyDescent="0.3">
      <c r="A457" s="13" t="s">
        <v>424</v>
      </c>
      <c r="B457" s="13" t="s">
        <v>15</v>
      </c>
      <c r="C457" s="13" t="s">
        <v>60</v>
      </c>
      <c r="D457" s="14" t="s">
        <v>425</v>
      </c>
      <c r="E457" s="15">
        <v>4.34</v>
      </c>
      <c r="F457" s="15">
        <v>646.07000000000005</v>
      </c>
      <c r="G457" s="16">
        <f>ROUND(E457*F457,2)</f>
        <v>2803.94</v>
      </c>
    </row>
    <row r="458" spans="1:7" x14ac:dyDescent="0.3">
      <c r="A458" s="13" t="s">
        <v>321</v>
      </c>
      <c r="B458" s="13" t="s">
        <v>15</v>
      </c>
      <c r="C458" s="13" t="s">
        <v>60</v>
      </c>
      <c r="D458" s="14" t="s">
        <v>322</v>
      </c>
      <c r="E458" s="15">
        <v>0</v>
      </c>
      <c r="F458" s="15">
        <v>713.28</v>
      </c>
      <c r="G458" s="16">
        <f>ROUND(E458*F458,2)</f>
        <v>0</v>
      </c>
    </row>
    <row r="459" spans="1:7" x14ac:dyDescent="0.3">
      <c r="A459" s="13" t="s">
        <v>323</v>
      </c>
      <c r="B459" s="13" t="s">
        <v>15</v>
      </c>
      <c r="C459" s="13" t="s">
        <v>60</v>
      </c>
      <c r="D459" s="14" t="s">
        <v>324</v>
      </c>
      <c r="E459" s="15">
        <v>2.94</v>
      </c>
      <c r="F459" s="15">
        <v>702.51</v>
      </c>
      <c r="G459" s="16">
        <f>ROUND(E459*F459,2)</f>
        <v>2065.38</v>
      </c>
    </row>
    <row r="460" spans="1:7" x14ac:dyDescent="0.3">
      <c r="A460" s="13" t="s">
        <v>325</v>
      </c>
      <c r="B460" s="13" t="s">
        <v>15</v>
      </c>
      <c r="C460" s="13" t="s">
        <v>60</v>
      </c>
      <c r="D460" s="14" t="s">
        <v>326</v>
      </c>
      <c r="E460" s="15">
        <v>4.55</v>
      </c>
      <c r="F460" s="15">
        <v>680.27</v>
      </c>
      <c r="G460" s="16">
        <f>ROUND(E460*F460,2)</f>
        <v>3095.23</v>
      </c>
    </row>
    <row r="461" spans="1:7" x14ac:dyDescent="0.3">
      <c r="A461" s="13" t="s">
        <v>327</v>
      </c>
      <c r="B461" s="13" t="s">
        <v>15</v>
      </c>
      <c r="C461" s="13" t="s">
        <v>60</v>
      </c>
      <c r="D461" s="14" t="s">
        <v>328</v>
      </c>
      <c r="E461" s="15">
        <v>4.25</v>
      </c>
      <c r="F461" s="15">
        <v>693.2</v>
      </c>
      <c r="G461" s="16">
        <f>ROUND(E461*F461,2)</f>
        <v>2946.1</v>
      </c>
    </row>
    <row r="462" spans="1:7" x14ac:dyDescent="0.3">
      <c r="A462" s="13" t="s">
        <v>426</v>
      </c>
      <c r="B462" s="13" t="s">
        <v>15</v>
      </c>
      <c r="C462" s="13" t="s">
        <v>60</v>
      </c>
      <c r="D462" s="14" t="s">
        <v>427</v>
      </c>
      <c r="E462" s="15">
        <v>5.79</v>
      </c>
      <c r="F462" s="15">
        <v>659.97</v>
      </c>
      <c r="G462" s="16">
        <f>ROUND(E462*F462,2)</f>
        <v>3821.23</v>
      </c>
    </row>
    <row r="463" spans="1:7" x14ac:dyDescent="0.3">
      <c r="A463" s="13" t="s">
        <v>428</v>
      </c>
      <c r="B463" s="13" t="s">
        <v>15</v>
      </c>
      <c r="C463" s="13" t="s">
        <v>60</v>
      </c>
      <c r="D463" s="14" t="s">
        <v>429</v>
      </c>
      <c r="E463" s="15">
        <v>4.93</v>
      </c>
      <c r="F463" s="15">
        <v>709.6</v>
      </c>
      <c r="G463" s="16">
        <f>ROUND(E463*F463,2)</f>
        <v>3498.33</v>
      </c>
    </row>
    <row r="464" spans="1:7" x14ac:dyDescent="0.3">
      <c r="A464" s="13" t="s">
        <v>329</v>
      </c>
      <c r="B464" s="13" t="s">
        <v>15</v>
      </c>
      <c r="C464" s="13" t="s">
        <v>60</v>
      </c>
      <c r="D464" s="14" t="s">
        <v>330</v>
      </c>
      <c r="E464" s="15">
        <v>4.43</v>
      </c>
      <c r="F464" s="15">
        <v>693.4</v>
      </c>
      <c r="G464" s="16">
        <f>ROUND(E464*F464,2)</f>
        <v>3071.76</v>
      </c>
    </row>
    <row r="465" spans="1:7" x14ac:dyDescent="0.3">
      <c r="A465" s="13" t="s">
        <v>331</v>
      </c>
      <c r="B465" s="13" t="s">
        <v>15</v>
      </c>
      <c r="C465" s="13" t="s">
        <v>60</v>
      </c>
      <c r="D465" s="14" t="s">
        <v>332</v>
      </c>
      <c r="E465" s="15">
        <v>4.4800000000000004</v>
      </c>
      <c r="F465" s="15">
        <v>700.15</v>
      </c>
      <c r="G465" s="16">
        <f>ROUND(E465*F465,2)</f>
        <v>3136.67</v>
      </c>
    </row>
    <row r="466" spans="1:7" x14ac:dyDescent="0.3">
      <c r="A466" s="13" t="s">
        <v>333</v>
      </c>
      <c r="B466" s="13" t="s">
        <v>15</v>
      </c>
      <c r="C466" s="13" t="s">
        <v>60</v>
      </c>
      <c r="D466" s="14" t="s">
        <v>334</v>
      </c>
      <c r="E466" s="15">
        <v>2.76</v>
      </c>
      <c r="F466" s="15">
        <v>693.4</v>
      </c>
      <c r="G466" s="16">
        <f>ROUND(E466*F466,2)</f>
        <v>1913.78</v>
      </c>
    </row>
    <row r="467" spans="1:7" x14ac:dyDescent="0.3">
      <c r="A467" s="13" t="s">
        <v>430</v>
      </c>
      <c r="B467" s="13" t="s">
        <v>15</v>
      </c>
      <c r="C467" s="13" t="s">
        <v>60</v>
      </c>
      <c r="D467" s="14" t="s">
        <v>431</v>
      </c>
      <c r="E467" s="15">
        <v>5.21</v>
      </c>
      <c r="F467" s="15">
        <v>698.55</v>
      </c>
      <c r="G467" s="16">
        <f>ROUND(E467*F467,2)</f>
        <v>3639.45</v>
      </c>
    </row>
    <row r="468" spans="1:7" ht="31.2" x14ac:dyDescent="0.3">
      <c r="A468" s="13" t="s">
        <v>432</v>
      </c>
      <c r="B468" s="13" t="s">
        <v>15</v>
      </c>
      <c r="C468" s="13" t="s">
        <v>60</v>
      </c>
      <c r="D468" s="14" t="s">
        <v>433</v>
      </c>
      <c r="E468" s="15">
        <v>0.95</v>
      </c>
      <c r="F468" s="15">
        <v>700.07</v>
      </c>
      <c r="G468" s="16">
        <f>ROUND(E468*F468,2)</f>
        <v>665.07</v>
      </c>
    </row>
    <row r="469" spans="1:7" x14ac:dyDescent="0.3">
      <c r="A469" s="13" t="s">
        <v>335</v>
      </c>
      <c r="B469" s="13" t="s">
        <v>15</v>
      </c>
      <c r="C469" s="13" t="s">
        <v>91</v>
      </c>
      <c r="D469" s="14" t="s">
        <v>336</v>
      </c>
      <c r="E469" s="15">
        <v>11.08</v>
      </c>
      <c r="F469" s="15">
        <v>367.46</v>
      </c>
      <c r="G469" s="16">
        <f>ROUND(E469*F469,2)</f>
        <v>4071.46</v>
      </c>
    </row>
    <row r="470" spans="1:7" x14ac:dyDescent="0.3">
      <c r="A470" s="13" t="s">
        <v>466</v>
      </c>
      <c r="B470" s="13" t="s">
        <v>15</v>
      </c>
      <c r="C470" s="13" t="s">
        <v>60</v>
      </c>
      <c r="D470" s="14" t="s">
        <v>467</v>
      </c>
      <c r="E470" s="15">
        <v>69.05</v>
      </c>
      <c r="F470" s="15">
        <v>483.9</v>
      </c>
      <c r="G470" s="16">
        <f>ROUND(E470*F470,2)</f>
        <v>33413.300000000003</v>
      </c>
    </row>
    <row r="471" spans="1:7" x14ac:dyDescent="0.3">
      <c r="A471" s="17"/>
      <c r="B471" s="17"/>
      <c r="C471" s="17"/>
      <c r="D471" s="18" t="s">
        <v>468</v>
      </c>
      <c r="E471" s="15">
        <v>1</v>
      </c>
      <c r="F471" s="12">
        <f>SUM(G449:G470)</f>
        <v>126085.49</v>
      </c>
      <c r="G471" s="12">
        <f>ROUND(F471*E471,2)</f>
        <v>126085.49</v>
      </c>
    </row>
    <row r="472" spans="1:7" ht="1.05" customHeight="1" x14ac:dyDescent="0.3">
      <c r="A472" s="20"/>
      <c r="B472" s="20"/>
      <c r="C472" s="20"/>
      <c r="D472" s="21"/>
      <c r="E472" s="20"/>
      <c r="F472" s="20"/>
      <c r="G472" s="20"/>
    </row>
    <row r="473" spans="1:7" x14ac:dyDescent="0.3">
      <c r="A473" s="22" t="s">
        <v>469</v>
      </c>
      <c r="B473" s="22" t="s">
        <v>11</v>
      </c>
      <c r="C473" s="22" t="s">
        <v>12</v>
      </c>
      <c r="D473" s="23" t="s">
        <v>109</v>
      </c>
      <c r="E473" s="12">
        <f>E475</f>
        <v>1</v>
      </c>
      <c r="F473" s="12">
        <f>F475</f>
        <v>3587.97</v>
      </c>
      <c r="G473" s="12">
        <f>G475</f>
        <v>3587.97</v>
      </c>
    </row>
    <row r="474" spans="1:7" ht="31.2" x14ac:dyDescent="0.3">
      <c r="A474" s="13" t="s">
        <v>110</v>
      </c>
      <c r="B474" s="13" t="s">
        <v>15</v>
      </c>
      <c r="C474" s="13" t="s">
        <v>112</v>
      </c>
      <c r="D474" s="14" t="s">
        <v>111</v>
      </c>
      <c r="E474" s="15">
        <v>130.9</v>
      </c>
      <c r="F474" s="15">
        <v>27.41</v>
      </c>
      <c r="G474" s="16">
        <f>ROUND(E474*F474,2)</f>
        <v>3587.97</v>
      </c>
    </row>
    <row r="475" spans="1:7" x14ac:dyDescent="0.3">
      <c r="A475" s="17"/>
      <c r="B475" s="17"/>
      <c r="C475" s="17"/>
      <c r="D475" s="18" t="s">
        <v>470</v>
      </c>
      <c r="E475" s="15">
        <v>1</v>
      </c>
      <c r="F475" s="12">
        <f>G474</f>
        <v>3587.97</v>
      </c>
      <c r="G475" s="12">
        <f>ROUND(F475*E475,2)</f>
        <v>3587.97</v>
      </c>
    </row>
    <row r="476" spans="1:7" ht="1.05" customHeight="1" x14ac:dyDescent="0.3">
      <c r="A476" s="20"/>
      <c r="B476" s="20"/>
      <c r="C476" s="20"/>
      <c r="D476" s="21"/>
      <c r="E476" s="20"/>
      <c r="F476" s="20"/>
      <c r="G476" s="20"/>
    </row>
    <row r="477" spans="1:7" x14ac:dyDescent="0.3">
      <c r="A477" s="22" t="s">
        <v>471</v>
      </c>
      <c r="B477" s="22" t="s">
        <v>11</v>
      </c>
      <c r="C477" s="22" t="s">
        <v>12</v>
      </c>
      <c r="D477" s="23" t="s">
        <v>115</v>
      </c>
      <c r="E477" s="12">
        <f>E485</f>
        <v>1</v>
      </c>
      <c r="F477" s="12">
        <f>F485</f>
        <v>17370.099999999999</v>
      </c>
      <c r="G477" s="12">
        <f>G485</f>
        <v>17370.099999999999</v>
      </c>
    </row>
    <row r="478" spans="1:7" x14ac:dyDescent="0.3">
      <c r="A478" s="13" t="s">
        <v>116</v>
      </c>
      <c r="B478" s="13" t="s">
        <v>15</v>
      </c>
      <c r="C478" s="13" t="s">
        <v>112</v>
      </c>
      <c r="D478" s="14" t="s">
        <v>117</v>
      </c>
      <c r="E478" s="15">
        <v>589.97</v>
      </c>
      <c r="F478" s="15">
        <v>1.96</v>
      </c>
      <c r="G478" s="16">
        <f>ROUND(E478*F478,2)</f>
        <v>1156.3399999999999</v>
      </c>
    </row>
    <row r="479" spans="1:7" ht="31.2" x14ac:dyDescent="0.3">
      <c r="A479" s="13" t="s">
        <v>118</v>
      </c>
      <c r="B479" s="13" t="s">
        <v>15</v>
      </c>
      <c r="C479" s="13" t="s">
        <v>112</v>
      </c>
      <c r="D479" s="14" t="s">
        <v>119</v>
      </c>
      <c r="E479" s="15">
        <v>476.15</v>
      </c>
      <c r="F479" s="15">
        <v>8.4</v>
      </c>
      <c r="G479" s="16">
        <f>ROUND(E479*F479,2)</f>
        <v>3999.66</v>
      </c>
    </row>
    <row r="480" spans="1:7" ht="31.2" x14ac:dyDescent="0.3">
      <c r="A480" s="13" t="s">
        <v>120</v>
      </c>
      <c r="B480" s="13" t="s">
        <v>15</v>
      </c>
      <c r="C480" s="13" t="s">
        <v>112</v>
      </c>
      <c r="D480" s="14" t="s">
        <v>121</v>
      </c>
      <c r="E480" s="15">
        <v>122.55</v>
      </c>
      <c r="F480" s="15">
        <v>8.4700000000000006</v>
      </c>
      <c r="G480" s="16">
        <f>ROUND(E480*F480,2)</f>
        <v>1038</v>
      </c>
    </row>
    <row r="481" spans="1:7" ht="31.2" x14ac:dyDescent="0.3">
      <c r="A481" s="13" t="s">
        <v>122</v>
      </c>
      <c r="B481" s="13" t="s">
        <v>15</v>
      </c>
      <c r="C481" s="13" t="s">
        <v>112</v>
      </c>
      <c r="D481" s="14" t="s">
        <v>123</v>
      </c>
      <c r="E481" s="15">
        <v>628.34</v>
      </c>
      <c r="F481" s="15">
        <v>11.87</v>
      </c>
      <c r="G481" s="16">
        <f>ROUND(E481*F481,2)</f>
        <v>7458.4</v>
      </c>
    </row>
    <row r="482" spans="1:7" ht="31.2" x14ac:dyDescent="0.3">
      <c r="A482" s="13" t="s">
        <v>124</v>
      </c>
      <c r="B482" s="13" t="s">
        <v>15</v>
      </c>
      <c r="C482" s="13" t="s">
        <v>112</v>
      </c>
      <c r="D482" s="14" t="s">
        <v>125</v>
      </c>
      <c r="E482" s="15">
        <v>209.6</v>
      </c>
      <c r="F482" s="15">
        <v>9.4600000000000009</v>
      </c>
      <c r="G482" s="16">
        <f>ROUND(E482*F482,2)</f>
        <v>1982.82</v>
      </c>
    </row>
    <row r="483" spans="1:7" x14ac:dyDescent="0.3">
      <c r="A483" s="13" t="s">
        <v>126</v>
      </c>
      <c r="B483" s="13" t="s">
        <v>15</v>
      </c>
      <c r="C483" s="13" t="s">
        <v>28</v>
      </c>
      <c r="D483" s="14" t="s">
        <v>127</v>
      </c>
      <c r="E483" s="15">
        <v>399.8</v>
      </c>
      <c r="F483" s="15">
        <v>4.16</v>
      </c>
      <c r="G483" s="16">
        <f>ROUND(E483*F483,2)</f>
        <v>1663.17</v>
      </c>
    </row>
    <row r="484" spans="1:7" x14ac:dyDescent="0.3">
      <c r="A484" s="13" t="s">
        <v>128</v>
      </c>
      <c r="B484" s="13" t="s">
        <v>15</v>
      </c>
      <c r="C484" s="13" t="s">
        <v>28</v>
      </c>
      <c r="D484" s="14" t="s">
        <v>129</v>
      </c>
      <c r="E484" s="15">
        <v>15.9</v>
      </c>
      <c r="F484" s="15">
        <v>4.51</v>
      </c>
      <c r="G484" s="16">
        <f>ROUND(E484*F484,2)</f>
        <v>71.709999999999994</v>
      </c>
    </row>
    <row r="485" spans="1:7" x14ac:dyDescent="0.3">
      <c r="A485" s="17"/>
      <c r="B485" s="17"/>
      <c r="C485" s="17"/>
      <c r="D485" s="18" t="s">
        <v>472</v>
      </c>
      <c r="E485" s="15">
        <v>1</v>
      </c>
      <c r="F485" s="12">
        <f>SUM(G478:G484)</f>
        <v>17370.099999999999</v>
      </c>
      <c r="G485" s="12">
        <f>ROUND(F485*E485,2)</f>
        <v>17370.099999999999</v>
      </c>
    </row>
    <row r="486" spans="1:7" ht="1.05" customHeight="1" x14ac:dyDescent="0.3">
      <c r="A486" s="20"/>
      <c r="B486" s="20"/>
      <c r="C486" s="20"/>
      <c r="D486" s="21"/>
      <c r="E486" s="20"/>
      <c r="F486" s="20"/>
      <c r="G486" s="20"/>
    </row>
    <row r="487" spans="1:7" x14ac:dyDescent="0.3">
      <c r="A487" s="22" t="s">
        <v>473</v>
      </c>
      <c r="B487" s="22" t="s">
        <v>11</v>
      </c>
      <c r="C487" s="22" t="s">
        <v>12</v>
      </c>
      <c r="D487" s="23" t="s">
        <v>132</v>
      </c>
      <c r="E487" s="12">
        <f>E490</f>
        <v>1</v>
      </c>
      <c r="F487" s="12">
        <f>F490</f>
        <v>719.8900000000001</v>
      </c>
      <c r="G487" s="12">
        <f>G490</f>
        <v>719.89</v>
      </c>
    </row>
    <row r="488" spans="1:7" ht="31.2" x14ac:dyDescent="0.3">
      <c r="A488" s="13" t="s">
        <v>133</v>
      </c>
      <c r="B488" s="13" t="s">
        <v>15</v>
      </c>
      <c r="C488" s="13" t="s">
        <v>112</v>
      </c>
      <c r="D488" s="14" t="s">
        <v>134</v>
      </c>
      <c r="E488" s="15">
        <v>13.37</v>
      </c>
      <c r="F488" s="15">
        <v>42.32</v>
      </c>
      <c r="G488" s="16">
        <f>ROUND(E488*F488,2)</f>
        <v>565.82000000000005</v>
      </c>
    </row>
    <row r="489" spans="1:7" ht="31.2" x14ac:dyDescent="0.3">
      <c r="A489" s="13" t="s">
        <v>135</v>
      </c>
      <c r="B489" s="13" t="s">
        <v>15</v>
      </c>
      <c r="C489" s="13" t="s">
        <v>28</v>
      </c>
      <c r="D489" s="14" t="s">
        <v>136</v>
      </c>
      <c r="E489" s="15">
        <v>26.61</v>
      </c>
      <c r="F489" s="15">
        <v>5.79</v>
      </c>
      <c r="G489" s="16">
        <f>ROUND(E489*F489,2)</f>
        <v>154.07</v>
      </c>
    </row>
    <row r="490" spans="1:7" x14ac:dyDescent="0.3">
      <c r="A490" s="17"/>
      <c r="B490" s="17"/>
      <c r="C490" s="17"/>
      <c r="D490" s="18" t="s">
        <v>474</v>
      </c>
      <c r="E490" s="15">
        <v>1</v>
      </c>
      <c r="F490" s="12">
        <f>SUM(G488:G489)</f>
        <v>719.8900000000001</v>
      </c>
      <c r="G490" s="12">
        <f>ROUND(F490*E490,2)</f>
        <v>719.89</v>
      </c>
    </row>
    <row r="491" spans="1:7" ht="1.05" customHeight="1" x14ac:dyDescent="0.3">
      <c r="A491" s="20"/>
      <c r="B491" s="20"/>
      <c r="C491" s="20"/>
      <c r="D491" s="21"/>
      <c r="E491" s="20"/>
      <c r="F491" s="20"/>
      <c r="G491" s="20"/>
    </row>
    <row r="492" spans="1:7" x14ac:dyDescent="0.3">
      <c r="A492" s="22" t="s">
        <v>442</v>
      </c>
      <c r="B492" s="22" t="s">
        <v>11</v>
      </c>
      <c r="C492" s="22" t="s">
        <v>12</v>
      </c>
      <c r="D492" s="23" t="s">
        <v>347</v>
      </c>
      <c r="E492" s="24">
        <v>1</v>
      </c>
      <c r="F492" s="24">
        <v>0</v>
      </c>
      <c r="G492" s="24">
        <f>ROUND(E492*F492,2)</f>
        <v>0</v>
      </c>
    </row>
    <row r="493" spans="1:7" x14ac:dyDescent="0.3">
      <c r="A493" s="22" t="s">
        <v>475</v>
      </c>
      <c r="B493" s="22" t="s">
        <v>11</v>
      </c>
      <c r="C493" s="22" t="s">
        <v>12</v>
      </c>
      <c r="D493" s="23" t="s">
        <v>141</v>
      </c>
      <c r="E493" s="12">
        <f>E496</f>
        <v>1</v>
      </c>
      <c r="F493" s="12">
        <f>F496</f>
        <v>2999.59</v>
      </c>
      <c r="G493" s="12">
        <f>G496</f>
        <v>2999.59</v>
      </c>
    </row>
    <row r="494" spans="1:7" ht="31.2" x14ac:dyDescent="0.3">
      <c r="A494" s="13" t="s">
        <v>142</v>
      </c>
      <c r="B494" s="13" t="s">
        <v>15</v>
      </c>
      <c r="C494" s="13" t="s">
        <v>28</v>
      </c>
      <c r="D494" s="14" t="s">
        <v>143</v>
      </c>
      <c r="E494" s="15">
        <v>44.3</v>
      </c>
      <c r="F494" s="15">
        <v>61.92</v>
      </c>
      <c r="G494" s="16">
        <f>ROUND(E494*F494,2)</f>
        <v>2743.06</v>
      </c>
    </row>
    <row r="495" spans="1:7" x14ac:dyDescent="0.3">
      <c r="A495" s="13" t="s">
        <v>144</v>
      </c>
      <c r="B495" s="13" t="s">
        <v>15</v>
      </c>
      <c r="C495" s="13" t="s">
        <v>112</v>
      </c>
      <c r="D495" s="14" t="s">
        <v>145</v>
      </c>
      <c r="E495" s="15">
        <v>6.67</v>
      </c>
      <c r="F495" s="15">
        <v>38.46</v>
      </c>
      <c r="G495" s="16">
        <f>ROUND(E495*F495,2)</f>
        <v>256.52999999999997</v>
      </c>
    </row>
    <row r="496" spans="1:7" x14ac:dyDescent="0.3">
      <c r="A496" s="17"/>
      <c r="B496" s="17"/>
      <c r="C496" s="17"/>
      <c r="D496" s="18" t="s">
        <v>476</v>
      </c>
      <c r="E496" s="15">
        <v>1</v>
      </c>
      <c r="F496" s="12">
        <f>SUM(G494:G495)</f>
        <v>2999.59</v>
      </c>
      <c r="G496" s="12">
        <f>ROUND(F496*E496,2)</f>
        <v>2999.59</v>
      </c>
    </row>
    <row r="497" spans="1:7" ht="1.05" customHeight="1" x14ac:dyDescent="0.3">
      <c r="A497" s="20"/>
      <c r="B497" s="20"/>
      <c r="C497" s="20"/>
      <c r="D497" s="21"/>
      <c r="E497" s="20"/>
      <c r="F497" s="20"/>
      <c r="G497" s="20"/>
    </row>
    <row r="498" spans="1:7" x14ac:dyDescent="0.3">
      <c r="A498" s="22" t="s">
        <v>477</v>
      </c>
      <c r="B498" s="22" t="s">
        <v>11</v>
      </c>
      <c r="C498" s="22" t="s">
        <v>12</v>
      </c>
      <c r="D498" s="23" t="s">
        <v>148</v>
      </c>
      <c r="E498" s="12">
        <f>E500</f>
        <v>1</v>
      </c>
      <c r="F498" s="12">
        <f>F500</f>
        <v>849.22</v>
      </c>
      <c r="G498" s="12">
        <f>G500</f>
        <v>849.22</v>
      </c>
    </row>
    <row r="499" spans="1:7" ht="31.2" x14ac:dyDescent="0.3">
      <c r="A499" s="13" t="s">
        <v>152</v>
      </c>
      <c r="B499" s="13" t="s">
        <v>15</v>
      </c>
      <c r="C499" s="13" t="s">
        <v>151</v>
      </c>
      <c r="D499" s="14" t="s">
        <v>153</v>
      </c>
      <c r="E499" s="15">
        <v>2</v>
      </c>
      <c r="F499" s="15">
        <v>424.61</v>
      </c>
      <c r="G499" s="16">
        <f>ROUND(E499*F499,2)</f>
        <v>849.22</v>
      </c>
    </row>
    <row r="500" spans="1:7" x14ac:dyDescent="0.3">
      <c r="A500" s="17"/>
      <c r="B500" s="17"/>
      <c r="C500" s="17"/>
      <c r="D500" s="18" t="s">
        <v>478</v>
      </c>
      <c r="E500" s="15">
        <v>1</v>
      </c>
      <c r="F500" s="12">
        <f>G499</f>
        <v>849.22</v>
      </c>
      <c r="G500" s="12">
        <f>ROUND(F500*E500,2)</f>
        <v>849.22</v>
      </c>
    </row>
    <row r="501" spans="1:7" ht="1.05" customHeight="1" x14ac:dyDescent="0.3">
      <c r="A501" s="20"/>
      <c r="B501" s="20"/>
      <c r="C501" s="20"/>
      <c r="D501" s="21"/>
      <c r="E501" s="20"/>
      <c r="F501" s="20"/>
      <c r="G501" s="20"/>
    </row>
    <row r="502" spans="1:7" x14ac:dyDescent="0.3">
      <c r="A502" s="22" t="s">
        <v>447</v>
      </c>
      <c r="B502" s="22" t="s">
        <v>11</v>
      </c>
      <c r="C502" s="22" t="s">
        <v>12</v>
      </c>
      <c r="D502" s="23" t="s">
        <v>360</v>
      </c>
      <c r="E502" s="24">
        <v>1</v>
      </c>
      <c r="F502" s="24">
        <v>0</v>
      </c>
      <c r="G502" s="24">
        <f>ROUND(E502*F502,2)</f>
        <v>0</v>
      </c>
    </row>
    <row r="503" spans="1:7" x14ac:dyDescent="0.3">
      <c r="A503" s="22" t="s">
        <v>479</v>
      </c>
      <c r="B503" s="22" t="s">
        <v>11</v>
      </c>
      <c r="C503" s="22" t="s">
        <v>12</v>
      </c>
      <c r="D503" s="23" t="s">
        <v>156</v>
      </c>
      <c r="E503" s="12">
        <f>E507</f>
        <v>1</v>
      </c>
      <c r="F503" s="12">
        <f>F507</f>
        <v>13527.34</v>
      </c>
      <c r="G503" s="12">
        <f>G507</f>
        <v>13527.34</v>
      </c>
    </row>
    <row r="504" spans="1:7" x14ac:dyDescent="0.3">
      <c r="A504" s="13" t="s">
        <v>157</v>
      </c>
      <c r="B504" s="13" t="s">
        <v>15</v>
      </c>
      <c r="C504" s="13" t="s">
        <v>112</v>
      </c>
      <c r="D504" s="14" t="s">
        <v>158</v>
      </c>
      <c r="E504" s="15">
        <v>1316.48</v>
      </c>
      <c r="F504" s="15">
        <v>4.0199999999999996</v>
      </c>
      <c r="G504" s="16">
        <f>ROUND(E504*F504,2)</f>
        <v>5292.25</v>
      </c>
    </row>
    <row r="505" spans="1:7" x14ac:dyDescent="0.3">
      <c r="A505" s="13" t="s">
        <v>159</v>
      </c>
      <c r="B505" s="13" t="s">
        <v>15</v>
      </c>
      <c r="C505" s="13" t="s">
        <v>112</v>
      </c>
      <c r="D505" s="14" t="s">
        <v>160</v>
      </c>
      <c r="E505" s="15">
        <v>749.38</v>
      </c>
      <c r="F505" s="15">
        <v>4.37</v>
      </c>
      <c r="G505" s="16">
        <f>ROUND(E505*F505,2)</f>
        <v>3274.79</v>
      </c>
    </row>
    <row r="506" spans="1:7" x14ac:dyDescent="0.3">
      <c r="A506" s="13" t="s">
        <v>161</v>
      </c>
      <c r="B506" s="13" t="s">
        <v>15</v>
      </c>
      <c r="C506" s="13" t="s">
        <v>112</v>
      </c>
      <c r="D506" s="14" t="s">
        <v>162</v>
      </c>
      <c r="E506" s="15">
        <v>673.04</v>
      </c>
      <c r="F506" s="15">
        <v>7.37</v>
      </c>
      <c r="G506" s="16">
        <f>ROUND(E506*F506,2)</f>
        <v>4960.3</v>
      </c>
    </row>
    <row r="507" spans="1:7" x14ac:dyDescent="0.3">
      <c r="A507" s="17"/>
      <c r="B507" s="17"/>
      <c r="C507" s="17"/>
      <c r="D507" s="18" t="s">
        <v>480</v>
      </c>
      <c r="E507" s="15">
        <v>1</v>
      </c>
      <c r="F507" s="12">
        <f>SUM(G504:G506)</f>
        <v>13527.34</v>
      </c>
      <c r="G507" s="12">
        <f>ROUND(F507*E507,2)</f>
        <v>13527.34</v>
      </c>
    </row>
    <row r="508" spans="1:7" ht="1.05" customHeight="1" x14ac:dyDescent="0.3">
      <c r="A508" s="20"/>
      <c r="B508" s="20"/>
      <c r="C508" s="20"/>
      <c r="D508" s="21"/>
      <c r="E508" s="20"/>
      <c r="F508" s="20"/>
      <c r="G508" s="20"/>
    </row>
    <row r="509" spans="1:7" x14ac:dyDescent="0.3">
      <c r="A509" s="22" t="s">
        <v>481</v>
      </c>
      <c r="B509" s="22" t="s">
        <v>11</v>
      </c>
      <c r="C509" s="22" t="s">
        <v>12</v>
      </c>
      <c r="D509" s="23" t="s">
        <v>165</v>
      </c>
      <c r="E509" s="12">
        <f>E514</f>
        <v>1</v>
      </c>
      <c r="F509" s="12">
        <f>F514</f>
        <v>2331.2600000000002</v>
      </c>
      <c r="G509" s="12">
        <f>G514</f>
        <v>2331.2600000000002</v>
      </c>
    </row>
    <row r="510" spans="1:7" x14ac:dyDescent="0.3">
      <c r="A510" s="13" t="s">
        <v>168</v>
      </c>
      <c r="B510" s="13" t="s">
        <v>15</v>
      </c>
      <c r="C510" s="13" t="s">
        <v>151</v>
      </c>
      <c r="D510" s="14" t="s">
        <v>169</v>
      </c>
      <c r="E510" s="15">
        <v>12</v>
      </c>
      <c r="F510" s="15">
        <v>39.68</v>
      </c>
      <c r="G510" s="16">
        <f>ROUND(E510*F510,2)</f>
        <v>476.16</v>
      </c>
    </row>
    <row r="511" spans="1:7" x14ac:dyDescent="0.3">
      <c r="A511" s="13" t="s">
        <v>170</v>
      </c>
      <c r="B511" s="13" t="s">
        <v>15</v>
      </c>
      <c r="C511" s="13" t="s">
        <v>151</v>
      </c>
      <c r="D511" s="14" t="s">
        <v>171</v>
      </c>
      <c r="E511" s="15">
        <v>13</v>
      </c>
      <c r="F511" s="15">
        <v>4.13</v>
      </c>
      <c r="G511" s="16">
        <f>ROUND(E511*F511,2)</f>
        <v>53.69</v>
      </c>
    </row>
    <row r="512" spans="1:7" x14ac:dyDescent="0.3">
      <c r="A512" s="13" t="s">
        <v>172</v>
      </c>
      <c r="B512" s="13" t="s">
        <v>15</v>
      </c>
      <c r="C512" s="13" t="s">
        <v>28</v>
      </c>
      <c r="D512" s="14" t="s">
        <v>173</v>
      </c>
      <c r="E512" s="15">
        <v>11.58</v>
      </c>
      <c r="F512" s="15">
        <v>122.02</v>
      </c>
      <c r="G512" s="16">
        <f>ROUND(E512*F512,2)</f>
        <v>1412.99</v>
      </c>
    </row>
    <row r="513" spans="1:7" x14ac:dyDescent="0.3">
      <c r="A513" s="13" t="s">
        <v>380</v>
      </c>
      <c r="B513" s="13" t="s">
        <v>15</v>
      </c>
      <c r="C513" s="13" t="s">
        <v>112</v>
      </c>
      <c r="D513" s="14" t="s">
        <v>381</v>
      </c>
      <c r="E513" s="15">
        <v>19.96</v>
      </c>
      <c r="F513" s="15">
        <v>19.46</v>
      </c>
      <c r="G513" s="16">
        <f>ROUND(E513*F513,2)</f>
        <v>388.42</v>
      </c>
    </row>
    <row r="514" spans="1:7" x14ac:dyDescent="0.3">
      <c r="A514" s="17"/>
      <c r="B514" s="17"/>
      <c r="C514" s="17"/>
      <c r="D514" s="18" t="s">
        <v>482</v>
      </c>
      <c r="E514" s="15">
        <v>1</v>
      </c>
      <c r="F514" s="12">
        <f>SUM(G510:G513)</f>
        <v>2331.2600000000002</v>
      </c>
      <c r="G514" s="12">
        <f>ROUND(F514*E514,2)</f>
        <v>2331.2600000000002</v>
      </c>
    </row>
    <row r="515" spans="1:7" ht="1.05" customHeight="1" x14ac:dyDescent="0.3">
      <c r="A515" s="20"/>
      <c r="B515" s="20"/>
      <c r="C515" s="20"/>
      <c r="D515" s="21"/>
      <c r="E515" s="20"/>
      <c r="F515" s="20"/>
      <c r="G515" s="20"/>
    </row>
    <row r="516" spans="1:7" x14ac:dyDescent="0.3">
      <c r="A516" s="22" t="s">
        <v>483</v>
      </c>
      <c r="B516" s="22" t="s">
        <v>11</v>
      </c>
      <c r="C516" s="22" t="s">
        <v>12</v>
      </c>
      <c r="D516" s="23" t="s">
        <v>176</v>
      </c>
      <c r="E516" s="12">
        <f>E551</f>
        <v>1</v>
      </c>
      <c r="F516" s="12">
        <f>F551</f>
        <v>5608.75</v>
      </c>
      <c r="G516" s="12">
        <f>G551</f>
        <v>5608.75</v>
      </c>
    </row>
    <row r="517" spans="1:7" ht="31.2" x14ac:dyDescent="0.3">
      <c r="A517" s="22" t="s">
        <v>484</v>
      </c>
      <c r="B517" s="22" t="s">
        <v>11</v>
      </c>
      <c r="C517" s="22" t="s">
        <v>12</v>
      </c>
      <c r="D517" s="23" t="s">
        <v>229</v>
      </c>
      <c r="E517" s="12">
        <f>E527</f>
        <v>1</v>
      </c>
      <c r="F517" s="12">
        <f>F527</f>
        <v>525.47</v>
      </c>
      <c r="G517" s="12">
        <f>G527</f>
        <v>525.47</v>
      </c>
    </row>
    <row r="518" spans="1:7" x14ac:dyDescent="0.3">
      <c r="A518" s="13" t="s">
        <v>230</v>
      </c>
      <c r="B518" s="13" t="s">
        <v>15</v>
      </c>
      <c r="C518" s="13" t="s">
        <v>28</v>
      </c>
      <c r="D518" s="14" t="s">
        <v>231</v>
      </c>
      <c r="E518" s="15">
        <v>18.600000000000001</v>
      </c>
      <c r="F518" s="15">
        <v>1.9</v>
      </c>
      <c r="G518" s="16">
        <f>ROUND(E518*F518,2)</f>
        <v>35.340000000000003</v>
      </c>
    </row>
    <row r="519" spans="1:7" x14ac:dyDescent="0.3">
      <c r="A519" s="13" t="s">
        <v>232</v>
      </c>
      <c r="B519" s="13" t="s">
        <v>15</v>
      </c>
      <c r="C519" s="13" t="s">
        <v>28</v>
      </c>
      <c r="D519" s="14" t="s">
        <v>233</v>
      </c>
      <c r="E519" s="15">
        <v>18.600000000000001</v>
      </c>
      <c r="F519" s="15">
        <v>4.3499999999999996</v>
      </c>
      <c r="G519" s="16">
        <f>ROUND(E519*F519,2)</f>
        <v>80.91</v>
      </c>
    </row>
    <row r="520" spans="1:7" x14ac:dyDescent="0.3">
      <c r="A520" s="13" t="s">
        <v>234</v>
      </c>
      <c r="B520" s="13" t="s">
        <v>15</v>
      </c>
      <c r="C520" s="13" t="s">
        <v>28</v>
      </c>
      <c r="D520" s="14" t="s">
        <v>235</v>
      </c>
      <c r="E520" s="15">
        <v>0</v>
      </c>
      <c r="F520" s="15">
        <v>3.07</v>
      </c>
      <c r="G520" s="16">
        <f>ROUND(E520*F520,2)</f>
        <v>0</v>
      </c>
    </row>
    <row r="521" spans="1:7" x14ac:dyDescent="0.3">
      <c r="A521" s="13" t="s">
        <v>236</v>
      </c>
      <c r="B521" s="13" t="s">
        <v>15</v>
      </c>
      <c r="C521" s="13" t="s">
        <v>28</v>
      </c>
      <c r="D521" s="14" t="s">
        <v>237</v>
      </c>
      <c r="E521" s="15">
        <v>0</v>
      </c>
      <c r="F521" s="15">
        <v>4.22</v>
      </c>
      <c r="G521" s="16">
        <f>ROUND(E521*F521,2)</f>
        <v>0</v>
      </c>
    </row>
    <row r="522" spans="1:7" x14ac:dyDescent="0.3">
      <c r="A522" s="13" t="s">
        <v>238</v>
      </c>
      <c r="B522" s="13" t="s">
        <v>15</v>
      </c>
      <c r="C522" s="13" t="s">
        <v>28</v>
      </c>
      <c r="D522" s="14" t="s">
        <v>239</v>
      </c>
      <c r="E522" s="15">
        <v>0</v>
      </c>
      <c r="F522" s="15">
        <v>13.9</v>
      </c>
      <c r="G522" s="16">
        <f>ROUND(E522*F522,2)</f>
        <v>0</v>
      </c>
    </row>
    <row r="523" spans="1:7" x14ac:dyDescent="0.3">
      <c r="A523" s="13" t="s">
        <v>240</v>
      </c>
      <c r="B523" s="13" t="s">
        <v>15</v>
      </c>
      <c r="C523" s="13" t="s">
        <v>28</v>
      </c>
      <c r="D523" s="14" t="s">
        <v>241</v>
      </c>
      <c r="E523" s="15">
        <v>7.3</v>
      </c>
      <c r="F523" s="15">
        <v>15.59</v>
      </c>
      <c r="G523" s="16">
        <f>ROUND(E523*F523,2)</f>
        <v>113.81</v>
      </c>
    </row>
    <row r="524" spans="1:7" ht="31.2" x14ac:dyDescent="0.3">
      <c r="A524" s="13" t="s">
        <v>242</v>
      </c>
      <c r="B524" s="13" t="s">
        <v>15</v>
      </c>
      <c r="C524" s="13" t="s">
        <v>16</v>
      </c>
      <c r="D524" s="14" t="s">
        <v>243</v>
      </c>
      <c r="E524" s="15">
        <v>0.3</v>
      </c>
      <c r="F524" s="15">
        <v>793.65</v>
      </c>
      <c r="G524" s="16">
        <f>ROUND(E524*F524,2)</f>
        <v>238.1</v>
      </c>
    </row>
    <row r="525" spans="1:7" x14ac:dyDescent="0.3">
      <c r="A525" s="13" t="s">
        <v>244</v>
      </c>
      <c r="B525" s="13" t="s">
        <v>15</v>
      </c>
      <c r="C525" s="13" t="s">
        <v>215</v>
      </c>
      <c r="D525" s="14" t="s">
        <v>245</v>
      </c>
      <c r="E525" s="15">
        <v>0</v>
      </c>
      <c r="F525" s="15">
        <v>13.5</v>
      </c>
      <c r="G525" s="16">
        <f>ROUND(E525*F525,2)</f>
        <v>0</v>
      </c>
    </row>
    <row r="526" spans="1:7" x14ac:dyDescent="0.3">
      <c r="A526" s="13" t="s">
        <v>246</v>
      </c>
      <c r="B526" s="13" t="s">
        <v>15</v>
      </c>
      <c r="C526" s="13" t="s">
        <v>215</v>
      </c>
      <c r="D526" s="14" t="s">
        <v>247</v>
      </c>
      <c r="E526" s="15">
        <v>1</v>
      </c>
      <c r="F526" s="15">
        <v>57.31</v>
      </c>
      <c r="G526" s="16">
        <f>ROUND(E526*F526,2)</f>
        <v>57.31</v>
      </c>
    </row>
    <row r="527" spans="1:7" x14ac:dyDescent="0.3">
      <c r="A527" s="17"/>
      <c r="B527" s="17"/>
      <c r="C527" s="17"/>
      <c r="D527" s="18" t="s">
        <v>485</v>
      </c>
      <c r="E527" s="15">
        <v>1</v>
      </c>
      <c r="F527" s="12">
        <f>SUM(G518:G526)</f>
        <v>525.47</v>
      </c>
      <c r="G527" s="12">
        <f>ROUND(F527*E527,2)</f>
        <v>525.47</v>
      </c>
    </row>
    <row r="528" spans="1:7" ht="1.05" customHeight="1" x14ac:dyDescent="0.3">
      <c r="A528" s="20"/>
      <c r="B528" s="20"/>
      <c r="C528" s="20"/>
      <c r="D528" s="21"/>
      <c r="E528" s="20"/>
      <c r="F528" s="20"/>
      <c r="G528" s="20"/>
    </row>
    <row r="529" spans="1:7" ht="31.2" x14ac:dyDescent="0.3">
      <c r="A529" s="22" t="s">
        <v>486</v>
      </c>
      <c r="B529" s="22" t="s">
        <v>11</v>
      </c>
      <c r="C529" s="22" t="s">
        <v>12</v>
      </c>
      <c r="D529" s="23" t="s">
        <v>250</v>
      </c>
      <c r="E529" s="12">
        <f>E543</f>
        <v>1</v>
      </c>
      <c r="F529" s="12">
        <f>F543</f>
        <v>2751.8500000000004</v>
      </c>
      <c r="G529" s="12">
        <f>G543</f>
        <v>2751.85</v>
      </c>
    </row>
    <row r="530" spans="1:7" x14ac:dyDescent="0.3">
      <c r="A530" s="13" t="s">
        <v>230</v>
      </c>
      <c r="B530" s="13" t="s">
        <v>15</v>
      </c>
      <c r="C530" s="13" t="s">
        <v>28</v>
      </c>
      <c r="D530" s="14" t="s">
        <v>231</v>
      </c>
      <c r="E530" s="15">
        <v>122.78</v>
      </c>
      <c r="F530" s="15">
        <v>1.9</v>
      </c>
      <c r="G530" s="16">
        <f>ROUND(E530*F530,2)</f>
        <v>233.28</v>
      </c>
    </row>
    <row r="531" spans="1:7" x14ac:dyDescent="0.3">
      <c r="A531" s="13" t="s">
        <v>387</v>
      </c>
      <c r="B531" s="13" t="s">
        <v>15</v>
      </c>
      <c r="C531" s="13" t="s">
        <v>28</v>
      </c>
      <c r="D531" s="14" t="s">
        <v>388</v>
      </c>
      <c r="E531" s="15">
        <v>0</v>
      </c>
      <c r="F531" s="15">
        <v>2.82</v>
      </c>
      <c r="G531" s="16">
        <f>ROUND(E531*F531,2)</f>
        <v>0</v>
      </c>
    </row>
    <row r="532" spans="1:7" x14ac:dyDescent="0.3">
      <c r="A532" s="13" t="s">
        <v>389</v>
      </c>
      <c r="B532" s="13" t="s">
        <v>15</v>
      </c>
      <c r="C532" s="13" t="s">
        <v>28</v>
      </c>
      <c r="D532" s="14" t="s">
        <v>390</v>
      </c>
      <c r="E532" s="15">
        <v>0.2</v>
      </c>
      <c r="F532" s="15">
        <v>4.3600000000000003</v>
      </c>
      <c r="G532" s="16">
        <f>ROUND(E532*F532,2)</f>
        <v>0.87</v>
      </c>
    </row>
    <row r="533" spans="1:7" x14ac:dyDescent="0.3">
      <c r="A533" s="13" t="s">
        <v>391</v>
      </c>
      <c r="B533" s="13" t="s">
        <v>15</v>
      </c>
      <c r="C533" s="13" t="s">
        <v>28</v>
      </c>
      <c r="D533" s="14" t="s">
        <v>392</v>
      </c>
      <c r="E533" s="15">
        <v>0</v>
      </c>
      <c r="F533" s="15">
        <v>6.47</v>
      </c>
      <c r="G533" s="16">
        <f>ROUND(E533*F533,2)</f>
        <v>0</v>
      </c>
    </row>
    <row r="534" spans="1:7" x14ac:dyDescent="0.3">
      <c r="A534" s="13" t="s">
        <v>393</v>
      </c>
      <c r="B534" s="13" t="s">
        <v>15</v>
      </c>
      <c r="C534" s="13" t="s">
        <v>28</v>
      </c>
      <c r="D534" s="14" t="s">
        <v>394</v>
      </c>
      <c r="E534" s="15">
        <v>26.1</v>
      </c>
      <c r="F534" s="15">
        <v>10.02</v>
      </c>
      <c r="G534" s="16">
        <f>ROUND(E534*F534,2)</f>
        <v>261.52</v>
      </c>
    </row>
    <row r="535" spans="1:7" x14ac:dyDescent="0.3">
      <c r="A535" s="13" t="s">
        <v>395</v>
      </c>
      <c r="B535" s="13" t="s">
        <v>15</v>
      </c>
      <c r="C535" s="13" t="s">
        <v>28</v>
      </c>
      <c r="D535" s="14" t="s">
        <v>396</v>
      </c>
      <c r="E535" s="15">
        <v>36.770000000000003</v>
      </c>
      <c r="F535" s="15">
        <v>11.7</v>
      </c>
      <c r="G535" s="16">
        <f>ROUND(E535*F535,2)</f>
        <v>430.21</v>
      </c>
    </row>
    <row r="536" spans="1:7" x14ac:dyDescent="0.3">
      <c r="A536" s="13" t="s">
        <v>397</v>
      </c>
      <c r="B536" s="13" t="s">
        <v>15</v>
      </c>
      <c r="C536" s="13" t="s">
        <v>28</v>
      </c>
      <c r="D536" s="14" t="s">
        <v>398</v>
      </c>
      <c r="E536" s="15">
        <v>11.71</v>
      </c>
      <c r="F536" s="15">
        <v>16.88</v>
      </c>
      <c r="G536" s="16">
        <f>ROUND(E536*F536,2)</f>
        <v>197.66</v>
      </c>
    </row>
    <row r="537" spans="1:7" ht="31.2" x14ac:dyDescent="0.3">
      <c r="A537" s="13" t="s">
        <v>261</v>
      </c>
      <c r="B537" s="13" t="s">
        <v>15</v>
      </c>
      <c r="C537" s="13" t="s">
        <v>16</v>
      </c>
      <c r="D537" s="14" t="s">
        <v>262</v>
      </c>
      <c r="E537" s="15">
        <v>1</v>
      </c>
      <c r="F537" s="15">
        <v>1031.75</v>
      </c>
      <c r="G537" s="16">
        <f>ROUND(E537*F537,2)</f>
        <v>1031.75</v>
      </c>
    </row>
    <row r="538" spans="1:7" x14ac:dyDescent="0.3">
      <c r="A538" s="13" t="s">
        <v>399</v>
      </c>
      <c r="B538" s="13" t="s">
        <v>15</v>
      </c>
      <c r="C538" s="13" t="s">
        <v>215</v>
      </c>
      <c r="D538" s="14" t="s">
        <v>400</v>
      </c>
      <c r="E538" s="15">
        <v>6</v>
      </c>
      <c r="F538" s="15">
        <v>30.14</v>
      </c>
      <c r="G538" s="16">
        <f>ROUND(E538*F538,2)</f>
        <v>180.84</v>
      </c>
    </row>
    <row r="539" spans="1:7" ht="31.2" x14ac:dyDescent="0.3">
      <c r="A539" s="13" t="s">
        <v>265</v>
      </c>
      <c r="B539" s="13" t="s">
        <v>15</v>
      </c>
      <c r="C539" s="13" t="s">
        <v>215</v>
      </c>
      <c r="D539" s="14" t="s">
        <v>266</v>
      </c>
      <c r="E539" s="15">
        <v>4</v>
      </c>
      <c r="F539" s="15">
        <v>32.25</v>
      </c>
      <c r="G539" s="16">
        <f>ROUND(E539*F539,2)</f>
        <v>129</v>
      </c>
    </row>
    <row r="540" spans="1:7" ht="31.2" x14ac:dyDescent="0.3">
      <c r="A540" s="13" t="s">
        <v>267</v>
      </c>
      <c r="B540" s="13" t="s">
        <v>15</v>
      </c>
      <c r="C540" s="13" t="s">
        <v>215</v>
      </c>
      <c r="D540" s="14" t="s">
        <v>268</v>
      </c>
      <c r="E540" s="15">
        <v>2</v>
      </c>
      <c r="F540" s="15">
        <v>44.38</v>
      </c>
      <c r="G540" s="16">
        <f>ROUND(E540*F540,2)</f>
        <v>88.76</v>
      </c>
    </row>
    <row r="541" spans="1:7" ht="31.2" x14ac:dyDescent="0.3">
      <c r="A541" s="13" t="s">
        <v>269</v>
      </c>
      <c r="B541" s="13" t="s">
        <v>15</v>
      </c>
      <c r="C541" s="13" t="s">
        <v>215</v>
      </c>
      <c r="D541" s="14" t="s">
        <v>270</v>
      </c>
      <c r="E541" s="15">
        <v>4</v>
      </c>
      <c r="F541" s="15">
        <v>49.49</v>
      </c>
      <c r="G541" s="16">
        <f>ROUND(E541*F541,2)</f>
        <v>197.96</v>
      </c>
    </row>
    <row r="542" spans="1:7" x14ac:dyDescent="0.3">
      <c r="A542" s="13" t="s">
        <v>401</v>
      </c>
      <c r="B542" s="13" t="s">
        <v>15</v>
      </c>
      <c r="C542" s="13" t="s">
        <v>215</v>
      </c>
      <c r="D542" s="14" t="s">
        <v>402</v>
      </c>
      <c r="E542" s="15">
        <v>0</v>
      </c>
      <c r="F542" s="15">
        <v>81.38</v>
      </c>
      <c r="G542" s="16">
        <f>ROUND(E542*F542,2)</f>
        <v>0</v>
      </c>
    </row>
    <row r="543" spans="1:7" x14ac:dyDescent="0.3">
      <c r="A543" s="17"/>
      <c r="B543" s="17"/>
      <c r="C543" s="17"/>
      <c r="D543" s="18" t="s">
        <v>487</v>
      </c>
      <c r="E543" s="15">
        <v>1</v>
      </c>
      <c r="F543" s="12">
        <f>SUM(G530:G542)</f>
        <v>2751.8500000000004</v>
      </c>
      <c r="G543" s="12">
        <f>ROUND(F543*E543,2)</f>
        <v>2751.85</v>
      </c>
    </row>
    <row r="544" spans="1:7" ht="1.05" customHeight="1" x14ac:dyDescent="0.3">
      <c r="A544" s="20"/>
      <c r="B544" s="20"/>
      <c r="C544" s="20"/>
      <c r="D544" s="21"/>
      <c r="E544" s="20"/>
      <c r="F544" s="20"/>
      <c r="G544" s="20"/>
    </row>
    <row r="545" spans="1:7" x14ac:dyDescent="0.3">
      <c r="A545" s="22" t="s">
        <v>488</v>
      </c>
      <c r="B545" s="22" t="s">
        <v>11</v>
      </c>
      <c r="C545" s="22" t="s">
        <v>12</v>
      </c>
      <c r="D545" s="23" t="s">
        <v>275</v>
      </c>
      <c r="E545" s="12">
        <f>E549</f>
        <v>1</v>
      </c>
      <c r="F545" s="12">
        <f>F549</f>
        <v>2331.4300000000003</v>
      </c>
      <c r="G545" s="12">
        <f>G549</f>
        <v>2331.4299999999998</v>
      </c>
    </row>
    <row r="546" spans="1:7" ht="31.2" x14ac:dyDescent="0.3">
      <c r="A546" s="13" t="s">
        <v>276</v>
      </c>
      <c r="B546" s="13" t="s">
        <v>15</v>
      </c>
      <c r="C546" s="13" t="s">
        <v>28</v>
      </c>
      <c r="D546" s="14" t="s">
        <v>277</v>
      </c>
      <c r="E546" s="15">
        <v>4</v>
      </c>
      <c r="F546" s="15">
        <v>27.3</v>
      </c>
      <c r="G546" s="16">
        <f>ROUND(E546*F546,2)</f>
        <v>109.2</v>
      </c>
    </row>
    <row r="547" spans="1:7" x14ac:dyDescent="0.3">
      <c r="A547" s="13" t="s">
        <v>278</v>
      </c>
      <c r="B547" s="13" t="s">
        <v>15</v>
      </c>
      <c r="C547" s="13" t="s">
        <v>215</v>
      </c>
      <c r="D547" s="14" t="s">
        <v>279</v>
      </c>
      <c r="E547" s="15">
        <v>1</v>
      </c>
      <c r="F547" s="15">
        <v>1666.67</v>
      </c>
      <c r="G547" s="16">
        <f>ROUND(E547*F547,2)</f>
        <v>1666.67</v>
      </c>
    </row>
    <row r="548" spans="1:7" ht="31.2" x14ac:dyDescent="0.3">
      <c r="A548" s="13" t="s">
        <v>280</v>
      </c>
      <c r="B548" s="13" t="s">
        <v>15</v>
      </c>
      <c r="C548" s="13" t="s">
        <v>215</v>
      </c>
      <c r="D548" s="14" t="s">
        <v>281</v>
      </c>
      <c r="E548" s="15">
        <v>1</v>
      </c>
      <c r="F548" s="15">
        <v>555.55999999999995</v>
      </c>
      <c r="G548" s="16">
        <f>ROUND(E548*F548,2)</f>
        <v>555.55999999999995</v>
      </c>
    </row>
    <row r="549" spans="1:7" x14ac:dyDescent="0.3">
      <c r="A549" s="17"/>
      <c r="B549" s="17"/>
      <c r="C549" s="17"/>
      <c r="D549" s="18" t="s">
        <v>489</v>
      </c>
      <c r="E549" s="15">
        <v>1</v>
      </c>
      <c r="F549" s="12">
        <f>SUM(G546:G548)</f>
        <v>2331.4300000000003</v>
      </c>
      <c r="G549" s="12">
        <f>ROUND(F549*E549,2)</f>
        <v>2331.4299999999998</v>
      </c>
    </row>
    <row r="550" spans="1:7" ht="1.05" customHeight="1" x14ac:dyDescent="0.3">
      <c r="A550" s="20"/>
      <c r="B550" s="20"/>
      <c r="C550" s="20"/>
      <c r="D550" s="21"/>
      <c r="E550" s="20"/>
      <c r="F550" s="20"/>
      <c r="G550" s="20"/>
    </row>
    <row r="551" spans="1:7" x14ac:dyDescent="0.3">
      <c r="A551" s="17"/>
      <c r="B551" s="17"/>
      <c r="C551" s="17"/>
      <c r="D551" s="18" t="s">
        <v>490</v>
      </c>
      <c r="E551" s="15">
        <v>1</v>
      </c>
      <c r="F551" s="12">
        <f>G527+G543+G549</f>
        <v>5608.75</v>
      </c>
      <c r="G551" s="12">
        <f>ROUND(F551*E551,2)</f>
        <v>5608.75</v>
      </c>
    </row>
    <row r="552" spans="1:7" ht="1.05" customHeight="1" x14ac:dyDescent="0.3">
      <c r="A552" s="20"/>
      <c r="B552" s="20"/>
      <c r="C552" s="20"/>
      <c r="D552" s="21"/>
      <c r="E552" s="20"/>
      <c r="F552" s="20"/>
      <c r="G552" s="20"/>
    </row>
    <row r="553" spans="1:7" x14ac:dyDescent="0.3">
      <c r="A553" s="22" t="s">
        <v>491</v>
      </c>
      <c r="B553" s="22" t="s">
        <v>11</v>
      </c>
      <c r="C553" s="22" t="s">
        <v>12</v>
      </c>
      <c r="D553" s="23" t="s">
        <v>285</v>
      </c>
      <c r="E553" s="12">
        <f>E561</f>
        <v>1</v>
      </c>
      <c r="F553" s="12">
        <f>F561</f>
        <v>5309.2</v>
      </c>
      <c r="G553" s="12">
        <f>G561</f>
        <v>5309.2</v>
      </c>
    </row>
    <row r="554" spans="1:7" ht="31.2" x14ac:dyDescent="0.3">
      <c r="A554" s="13" t="s">
        <v>290</v>
      </c>
      <c r="B554" s="13" t="s">
        <v>15</v>
      </c>
      <c r="C554" s="13" t="s">
        <v>215</v>
      </c>
      <c r="D554" s="14" t="s">
        <v>291</v>
      </c>
      <c r="E554" s="15">
        <v>19</v>
      </c>
      <c r="F554" s="15">
        <v>194.2</v>
      </c>
      <c r="G554" s="16">
        <f>ROUND(E554*F554,2)</f>
        <v>3689.8</v>
      </c>
    </row>
    <row r="555" spans="1:7" x14ac:dyDescent="0.3">
      <c r="A555" s="13" t="s">
        <v>292</v>
      </c>
      <c r="B555" s="13" t="s">
        <v>15</v>
      </c>
      <c r="C555" s="13" t="s">
        <v>215</v>
      </c>
      <c r="D555" s="14" t="s">
        <v>293</v>
      </c>
      <c r="E555" s="15">
        <v>5</v>
      </c>
      <c r="F555" s="15">
        <v>11.25</v>
      </c>
      <c r="G555" s="16">
        <f>ROUND(E555*F555,2)</f>
        <v>56.25</v>
      </c>
    </row>
    <row r="556" spans="1:7" ht="31.2" x14ac:dyDescent="0.3">
      <c r="A556" s="13" t="s">
        <v>294</v>
      </c>
      <c r="B556" s="13" t="s">
        <v>15</v>
      </c>
      <c r="C556" s="13" t="s">
        <v>215</v>
      </c>
      <c r="D556" s="14" t="s">
        <v>295</v>
      </c>
      <c r="E556" s="15">
        <v>4</v>
      </c>
      <c r="F556" s="15">
        <v>29.23</v>
      </c>
      <c r="G556" s="16">
        <f>ROUND(E556*F556,2)</f>
        <v>116.92</v>
      </c>
    </row>
    <row r="557" spans="1:7" x14ac:dyDescent="0.3">
      <c r="A557" s="13" t="s">
        <v>296</v>
      </c>
      <c r="B557" s="13" t="s">
        <v>15</v>
      </c>
      <c r="C557" s="13" t="s">
        <v>215</v>
      </c>
      <c r="D557" s="14" t="s">
        <v>297</v>
      </c>
      <c r="E557" s="15">
        <v>24</v>
      </c>
      <c r="F557" s="15">
        <v>50.07</v>
      </c>
      <c r="G557" s="16">
        <f>ROUND(E557*F557,2)</f>
        <v>1201.68</v>
      </c>
    </row>
    <row r="558" spans="1:7" x14ac:dyDescent="0.3">
      <c r="A558" s="13" t="s">
        <v>298</v>
      </c>
      <c r="B558" s="13" t="s">
        <v>15</v>
      </c>
      <c r="C558" s="13" t="s">
        <v>215</v>
      </c>
      <c r="D558" s="14" t="s">
        <v>299</v>
      </c>
      <c r="E558" s="15">
        <v>2</v>
      </c>
      <c r="F558" s="15">
        <v>42.74</v>
      </c>
      <c r="G558" s="16">
        <f>ROUND(E558*F558,2)</f>
        <v>85.48</v>
      </c>
    </row>
    <row r="559" spans="1:7" x14ac:dyDescent="0.3">
      <c r="A559" s="13" t="s">
        <v>302</v>
      </c>
      <c r="B559" s="13" t="s">
        <v>15</v>
      </c>
      <c r="C559" s="13" t="s">
        <v>215</v>
      </c>
      <c r="D559" s="14" t="s">
        <v>303</v>
      </c>
      <c r="E559" s="15">
        <v>1</v>
      </c>
      <c r="F559" s="15">
        <v>51.73</v>
      </c>
      <c r="G559" s="16">
        <f>ROUND(E559*F559,2)</f>
        <v>51.73</v>
      </c>
    </row>
    <row r="560" spans="1:7" x14ac:dyDescent="0.3">
      <c r="A560" s="13" t="s">
        <v>304</v>
      </c>
      <c r="B560" s="13" t="s">
        <v>15</v>
      </c>
      <c r="C560" s="13" t="s">
        <v>215</v>
      </c>
      <c r="D560" s="14" t="s">
        <v>305</v>
      </c>
      <c r="E560" s="15">
        <v>2</v>
      </c>
      <c r="F560" s="15">
        <v>53.67</v>
      </c>
      <c r="G560" s="16">
        <f>ROUND(E560*F560,2)</f>
        <v>107.34</v>
      </c>
    </row>
    <row r="561" spans="1:7" x14ac:dyDescent="0.3">
      <c r="A561" s="17"/>
      <c r="B561" s="17"/>
      <c r="C561" s="17"/>
      <c r="D561" s="18" t="s">
        <v>492</v>
      </c>
      <c r="E561" s="15">
        <v>1</v>
      </c>
      <c r="F561" s="12">
        <f>SUM(G554:G560)</f>
        <v>5309.2</v>
      </c>
      <c r="G561" s="12">
        <f>ROUND(F561*E561,2)</f>
        <v>5309.2</v>
      </c>
    </row>
    <row r="562" spans="1:7" ht="1.05" customHeight="1" x14ac:dyDescent="0.3">
      <c r="A562" s="20"/>
      <c r="B562" s="20"/>
      <c r="C562" s="20"/>
      <c r="D562" s="21"/>
      <c r="E562" s="20"/>
      <c r="F562" s="20"/>
      <c r="G562" s="20"/>
    </row>
    <row r="563" spans="1:7" x14ac:dyDescent="0.3">
      <c r="A563" s="17"/>
      <c r="B563" s="17"/>
      <c r="C563" s="17"/>
      <c r="D563" s="18" t="s">
        <v>493</v>
      </c>
      <c r="E563" s="19">
        <v>1</v>
      </c>
      <c r="F563" s="12">
        <f>G471+G475+G485+G490+G492+G496+G500+G502+G507+G514+G551+G561</f>
        <v>178388.81000000003</v>
      </c>
      <c r="G563" s="12">
        <f>ROUND(F563*E563,2)</f>
        <v>178388.81</v>
      </c>
    </row>
    <row r="564" spans="1:7" ht="1.05" customHeight="1" x14ac:dyDescent="0.3">
      <c r="A564" s="20"/>
      <c r="B564" s="20"/>
      <c r="C564" s="20"/>
      <c r="D564" s="21"/>
      <c r="E564" s="20"/>
      <c r="F564" s="20"/>
      <c r="G564" s="20"/>
    </row>
    <row r="565" spans="1:7" x14ac:dyDescent="0.3">
      <c r="A565" s="9" t="s">
        <v>494</v>
      </c>
      <c r="B565" s="9" t="s">
        <v>11</v>
      </c>
      <c r="C565" s="9" t="s">
        <v>12</v>
      </c>
      <c r="D565" s="10" t="s">
        <v>495</v>
      </c>
      <c r="E565" s="11">
        <f>E723</f>
        <v>1</v>
      </c>
      <c r="F565" s="12">
        <f>F723</f>
        <v>278980.07</v>
      </c>
      <c r="G565" s="12">
        <f>G723</f>
        <v>278980.07</v>
      </c>
    </row>
    <row r="566" spans="1:7" x14ac:dyDescent="0.3">
      <c r="A566" s="22" t="s">
        <v>496</v>
      </c>
      <c r="B566" s="22" t="s">
        <v>11</v>
      </c>
      <c r="C566" s="22" t="s">
        <v>12</v>
      </c>
      <c r="D566" s="23" t="s">
        <v>57</v>
      </c>
      <c r="E566" s="12">
        <f>E587</f>
        <v>1</v>
      </c>
      <c r="F566" s="12">
        <f>F587</f>
        <v>94775.420000000013</v>
      </c>
      <c r="G566" s="12">
        <f>G587</f>
        <v>94775.42</v>
      </c>
    </row>
    <row r="567" spans="1:7" x14ac:dyDescent="0.3">
      <c r="A567" s="13" t="s">
        <v>81</v>
      </c>
      <c r="B567" s="13" t="s">
        <v>15</v>
      </c>
      <c r="C567" s="13" t="s">
        <v>60</v>
      </c>
      <c r="D567" s="14" t="s">
        <v>82</v>
      </c>
      <c r="E567" s="15">
        <v>8.18</v>
      </c>
      <c r="F567" s="15">
        <v>572.66999999999996</v>
      </c>
      <c r="G567" s="16">
        <f>ROUND(E567*F567,2)</f>
        <v>4684.4399999999996</v>
      </c>
    </row>
    <row r="568" spans="1:7" x14ac:dyDescent="0.3">
      <c r="A568" s="13" t="s">
        <v>83</v>
      </c>
      <c r="B568" s="13" t="s">
        <v>15</v>
      </c>
      <c r="C568" s="13" t="s">
        <v>60</v>
      </c>
      <c r="D568" s="14" t="s">
        <v>84</v>
      </c>
      <c r="E568" s="15">
        <v>4.0599999999999996</v>
      </c>
      <c r="F568" s="15">
        <v>545.57000000000005</v>
      </c>
      <c r="G568" s="16">
        <f>ROUND(E568*F568,2)</f>
        <v>2215.0100000000002</v>
      </c>
    </row>
    <row r="569" spans="1:7" ht="31.2" x14ac:dyDescent="0.3">
      <c r="A569" s="13" t="s">
        <v>97</v>
      </c>
      <c r="B569" s="13" t="s">
        <v>15</v>
      </c>
      <c r="C569" s="13" t="s">
        <v>60</v>
      </c>
      <c r="D569" s="14" t="s">
        <v>98</v>
      </c>
      <c r="E569" s="15">
        <v>0</v>
      </c>
      <c r="F569" s="15">
        <v>1055.26</v>
      </c>
      <c r="G569" s="16">
        <f>ROUND(E569*F569,2)</f>
        <v>0</v>
      </c>
    </row>
    <row r="570" spans="1:7" ht="31.2" x14ac:dyDescent="0.3">
      <c r="A570" s="13" t="s">
        <v>99</v>
      </c>
      <c r="B570" s="13" t="s">
        <v>15</v>
      </c>
      <c r="C570" s="13" t="s">
        <v>60</v>
      </c>
      <c r="D570" s="14" t="s">
        <v>100</v>
      </c>
      <c r="E570" s="15">
        <v>5.18</v>
      </c>
      <c r="F570" s="15">
        <v>779.5</v>
      </c>
      <c r="G570" s="16">
        <f>ROUND(E570*F570,2)</f>
        <v>4037.81</v>
      </c>
    </row>
    <row r="571" spans="1:7" ht="31.2" x14ac:dyDescent="0.3">
      <c r="A571" s="13" t="s">
        <v>101</v>
      </c>
      <c r="B571" s="13" t="s">
        <v>15</v>
      </c>
      <c r="C571" s="13" t="s">
        <v>60</v>
      </c>
      <c r="D571" s="14" t="s">
        <v>102</v>
      </c>
      <c r="E571" s="15">
        <v>6.48</v>
      </c>
      <c r="F571" s="15">
        <v>1077.93</v>
      </c>
      <c r="G571" s="16">
        <f>ROUND(E571*F571,2)</f>
        <v>6984.99</v>
      </c>
    </row>
    <row r="572" spans="1:7" ht="31.2" x14ac:dyDescent="0.3">
      <c r="A572" s="13" t="s">
        <v>103</v>
      </c>
      <c r="B572" s="13" t="s">
        <v>15</v>
      </c>
      <c r="C572" s="13" t="s">
        <v>60</v>
      </c>
      <c r="D572" s="14" t="s">
        <v>104</v>
      </c>
      <c r="E572" s="15">
        <v>4.8600000000000003</v>
      </c>
      <c r="F572" s="15">
        <v>1000.73</v>
      </c>
      <c r="G572" s="16">
        <f>ROUND(E572*F572,2)</f>
        <v>4863.55</v>
      </c>
    </row>
    <row r="573" spans="1:7" x14ac:dyDescent="0.3">
      <c r="A573" s="13" t="s">
        <v>105</v>
      </c>
      <c r="B573" s="13" t="s">
        <v>15</v>
      </c>
      <c r="C573" s="13" t="s">
        <v>60</v>
      </c>
      <c r="D573" s="14" t="s">
        <v>106</v>
      </c>
      <c r="E573" s="15">
        <v>9.48</v>
      </c>
      <c r="F573" s="15">
        <v>476.95</v>
      </c>
      <c r="G573" s="16">
        <f>ROUND(E573*F573,2)</f>
        <v>4521.49</v>
      </c>
    </row>
    <row r="574" spans="1:7" x14ac:dyDescent="0.3">
      <c r="A574" s="13" t="s">
        <v>321</v>
      </c>
      <c r="B574" s="13" t="s">
        <v>15</v>
      </c>
      <c r="C574" s="13" t="s">
        <v>60</v>
      </c>
      <c r="D574" s="14" t="s">
        <v>322</v>
      </c>
      <c r="E574" s="15">
        <v>3.74</v>
      </c>
      <c r="F574" s="15">
        <v>713.28</v>
      </c>
      <c r="G574" s="16">
        <f>ROUND(E574*F574,2)</f>
        <v>2667.67</v>
      </c>
    </row>
    <row r="575" spans="1:7" x14ac:dyDescent="0.3">
      <c r="A575" s="13" t="s">
        <v>323</v>
      </c>
      <c r="B575" s="13" t="s">
        <v>15</v>
      </c>
      <c r="C575" s="13" t="s">
        <v>60</v>
      </c>
      <c r="D575" s="14" t="s">
        <v>324</v>
      </c>
      <c r="E575" s="15">
        <v>4.34</v>
      </c>
      <c r="F575" s="15">
        <v>702.51</v>
      </c>
      <c r="G575" s="16">
        <f>ROUND(E575*F575,2)</f>
        <v>3048.89</v>
      </c>
    </row>
    <row r="576" spans="1:7" x14ac:dyDescent="0.3">
      <c r="A576" s="13" t="s">
        <v>325</v>
      </c>
      <c r="B576" s="13" t="s">
        <v>15</v>
      </c>
      <c r="C576" s="13" t="s">
        <v>60</v>
      </c>
      <c r="D576" s="14" t="s">
        <v>326</v>
      </c>
      <c r="E576" s="15">
        <v>4.55</v>
      </c>
      <c r="F576" s="15">
        <v>680.27</v>
      </c>
      <c r="G576" s="16">
        <f>ROUND(E576*F576,2)</f>
        <v>3095.23</v>
      </c>
    </row>
    <row r="577" spans="1:7" x14ac:dyDescent="0.3">
      <c r="A577" s="13" t="s">
        <v>327</v>
      </c>
      <c r="B577" s="13" t="s">
        <v>15</v>
      </c>
      <c r="C577" s="13" t="s">
        <v>60</v>
      </c>
      <c r="D577" s="14" t="s">
        <v>328</v>
      </c>
      <c r="E577" s="15">
        <v>4.25</v>
      </c>
      <c r="F577" s="15">
        <v>693.2</v>
      </c>
      <c r="G577" s="16">
        <f>ROUND(E577*F577,2)</f>
        <v>2946.1</v>
      </c>
    </row>
    <row r="578" spans="1:7" x14ac:dyDescent="0.3">
      <c r="A578" s="13" t="s">
        <v>426</v>
      </c>
      <c r="B578" s="13" t="s">
        <v>15</v>
      </c>
      <c r="C578" s="13" t="s">
        <v>60</v>
      </c>
      <c r="D578" s="14" t="s">
        <v>427</v>
      </c>
      <c r="E578" s="15">
        <v>5.79</v>
      </c>
      <c r="F578" s="15">
        <v>659.97</v>
      </c>
      <c r="G578" s="16">
        <f>ROUND(E578*F578,2)</f>
        <v>3821.23</v>
      </c>
    </row>
    <row r="579" spans="1:7" x14ac:dyDescent="0.3">
      <c r="A579" s="13" t="s">
        <v>428</v>
      </c>
      <c r="B579" s="13" t="s">
        <v>15</v>
      </c>
      <c r="C579" s="13" t="s">
        <v>60</v>
      </c>
      <c r="D579" s="14" t="s">
        <v>429</v>
      </c>
      <c r="E579" s="15">
        <v>4.6500000000000004</v>
      </c>
      <c r="F579" s="15">
        <v>709.6</v>
      </c>
      <c r="G579" s="16">
        <f>ROUND(E579*F579,2)</f>
        <v>3299.64</v>
      </c>
    </row>
    <row r="580" spans="1:7" x14ac:dyDescent="0.3">
      <c r="A580" s="13" t="s">
        <v>329</v>
      </c>
      <c r="B580" s="13" t="s">
        <v>15</v>
      </c>
      <c r="C580" s="13" t="s">
        <v>60</v>
      </c>
      <c r="D580" s="14" t="s">
        <v>330</v>
      </c>
      <c r="E580" s="15">
        <v>4.18</v>
      </c>
      <c r="F580" s="15">
        <v>693.4</v>
      </c>
      <c r="G580" s="16">
        <f>ROUND(E580*F580,2)</f>
        <v>2898.41</v>
      </c>
    </row>
    <row r="581" spans="1:7" x14ac:dyDescent="0.3">
      <c r="A581" s="13" t="s">
        <v>331</v>
      </c>
      <c r="B581" s="13" t="s">
        <v>15</v>
      </c>
      <c r="C581" s="13" t="s">
        <v>60</v>
      </c>
      <c r="D581" s="14" t="s">
        <v>332</v>
      </c>
      <c r="E581" s="15">
        <v>3.98</v>
      </c>
      <c r="F581" s="15">
        <v>700.15</v>
      </c>
      <c r="G581" s="16">
        <f>ROUND(E581*F581,2)</f>
        <v>2786.6</v>
      </c>
    </row>
    <row r="582" spans="1:7" x14ac:dyDescent="0.3">
      <c r="A582" s="13" t="s">
        <v>333</v>
      </c>
      <c r="B582" s="13" t="s">
        <v>15</v>
      </c>
      <c r="C582" s="13" t="s">
        <v>60</v>
      </c>
      <c r="D582" s="14" t="s">
        <v>334</v>
      </c>
      <c r="E582" s="15">
        <v>4.0199999999999996</v>
      </c>
      <c r="F582" s="15">
        <v>693.4</v>
      </c>
      <c r="G582" s="16">
        <f>ROUND(E582*F582,2)</f>
        <v>2787.47</v>
      </c>
    </row>
    <row r="583" spans="1:7" x14ac:dyDescent="0.3">
      <c r="A583" s="13" t="s">
        <v>430</v>
      </c>
      <c r="B583" s="13" t="s">
        <v>15</v>
      </c>
      <c r="C583" s="13" t="s">
        <v>60</v>
      </c>
      <c r="D583" s="14" t="s">
        <v>431</v>
      </c>
      <c r="E583" s="15">
        <v>4.75</v>
      </c>
      <c r="F583" s="15">
        <v>698.55</v>
      </c>
      <c r="G583" s="16">
        <f>ROUND(E583*F583,2)</f>
        <v>3318.11</v>
      </c>
    </row>
    <row r="584" spans="1:7" ht="31.2" x14ac:dyDescent="0.3">
      <c r="A584" s="13" t="s">
        <v>432</v>
      </c>
      <c r="B584" s="13" t="s">
        <v>15</v>
      </c>
      <c r="C584" s="13" t="s">
        <v>60</v>
      </c>
      <c r="D584" s="14" t="s">
        <v>433</v>
      </c>
      <c r="E584" s="15">
        <v>0.95</v>
      </c>
      <c r="F584" s="15">
        <v>700.07</v>
      </c>
      <c r="G584" s="16">
        <f>ROUND(E584*F584,2)</f>
        <v>665.07</v>
      </c>
    </row>
    <row r="585" spans="1:7" x14ac:dyDescent="0.3">
      <c r="A585" s="13" t="s">
        <v>335</v>
      </c>
      <c r="B585" s="13" t="s">
        <v>15</v>
      </c>
      <c r="C585" s="13" t="s">
        <v>91</v>
      </c>
      <c r="D585" s="14" t="s">
        <v>336</v>
      </c>
      <c r="E585" s="15">
        <v>14.87</v>
      </c>
      <c r="F585" s="15">
        <v>367.46</v>
      </c>
      <c r="G585" s="16">
        <f>ROUND(E585*F585,2)</f>
        <v>5464.13</v>
      </c>
    </row>
    <row r="586" spans="1:7" x14ac:dyDescent="0.3">
      <c r="A586" s="13" t="s">
        <v>466</v>
      </c>
      <c r="B586" s="13" t="s">
        <v>15</v>
      </c>
      <c r="C586" s="13" t="s">
        <v>60</v>
      </c>
      <c r="D586" s="14" t="s">
        <v>467</v>
      </c>
      <c r="E586" s="15">
        <v>63.38</v>
      </c>
      <c r="F586" s="15">
        <v>483.9</v>
      </c>
      <c r="G586" s="16">
        <f>ROUND(E586*F586,2)</f>
        <v>30669.58</v>
      </c>
    </row>
    <row r="587" spans="1:7" x14ac:dyDescent="0.3">
      <c r="A587" s="17"/>
      <c r="B587" s="17"/>
      <c r="C587" s="17"/>
      <c r="D587" s="18" t="s">
        <v>497</v>
      </c>
      <c r="E587" s="15">
        <v>1</v>
      </c>
      <c r="F587" s="12">
        <f>SUM(G567:G586)</f>
        <v>94775.420000000013</v>
      </c>
      <c r="G587" s="12">
        <f>ROUND(F587*E587,2)</f>
        <v>94775.42</v>
      </c>
    </row>
    <row r="588" spans="1:7" ht="1.05" customHeight="1" x14ac:dyDescent="0.3">
      <c r="A588" s="20"/>
      <c r="B588" s="20"/>
      <c r="C588" s="20"/>
      <c r="D588" s="21"/>
      <c r="E588" s="20"/>
      <c r="F588" s="20"/>
      <c r="G588" s="20"/>
    </row>
    <row r="589" spans="1:7" x14ac:dyDescent="0.3">
      <c r="A589" s="22" t="s">
        <v>498</v>
      </c>
      <c r="B589" s="22" t="s">
        <v>11</v>
      </c>
      <c r="C589" s="22" t="s">
        <v>12</v>
      </c>
      <c r="D589" s="23" t="s">
        <v>109</v>
      </c>
      <c r="E589" s="12">
        <f>E592</f>
        <v>1</v>
      </c>
      <c r="F589" s="12">
        <f>F592</f>
        <v>19706.640000000003</v>
      </c>
      <c r="G589" s="12">
        <f>G592</f>
        <v>19706.64</v>
      </c>
    </row>
    <row r="590" spans="1:7" ht="31.2" x14ac:dyDescent="0.3">
      <c r="A590" s="13" t="s">
        <v>110</v>
      </c>
      <c r="B590" s="13" t="s">
        <v>15</v>
      </c>
      <c r="C590" s="13" t="s">
        <v>112</v>
      </c>
      <c r="D590" s="14" t="s">
        <v>111</v>
      </c>
      <c r="E590" s="15">
        <v>709.06</v>
      </c>
      <c r="F590" s="15">
        <v>27.41</v>
      </c>
      <c r="G590" s="16">
        <f>ROUND(E590*F590,2)</f>
        <v>19435.330000000002</v>
      </c>
    </row>
    <row r="591" spans="1:7" ht="31.2" x14ac:dyDescent="0.3">
      <c r="A591" s="13" t="s">
        <v>499</v>
      </c>
      <c r="B591" s="13" t="s">
        <v>15</v>
      </c>
      <c r="C591" s="13" t="s">
        <v>112</v>
      </c>
      <c r="D591" s="14" t="s">
        <v>500</v>
      </c>
      <c r="E591" s="15">
        <v>13.05</v>
      </c>
      <c r="F591" s="15">
        <v>20.79</v>
      </c>
      <c r="G591" s="16">
        <f>ROUND(E591*F591,2)</f>
        <v>271.31</v>
      </c>
    </row>
    <row r="592" spans="1:7" x14ac:dyDescent="0.3">
      <c r="A592" s="17"/>
      <c r="B592" s="17"/>
      <c r="C592" s="17"/>
      <c r="D592" s="18" t="s">
        <v>501</v>
      </c>
      <c r="E592" s="15">
        <v>1</v>
      </c>
      <c r="F592" s="12">
        <f>SUM(G590:G591)</f>
        <v>19706.640000000003</v>
      </c>
      <c r="G592" s="12">
        <f>ROUND(F592*E592,2)</f>
        <v>19706.64</v>
      </c>
    </row>
    <row r="593" spans="1:7" ht="1.05" customHeight="1" x14ac:dyDescent="0.3">
      <c r="A593" s="20"/>
      <c r="B593" s="20"/>
      <c r="C593" s="20"/>
      <c r="D593" s="21"/>
      <c r="E593" s="20"/>
      <c r="F593" s="20"/>
      <c r="G593" s="20"/>
    </row>
    <row r="594" spans="1:7" x14ac:dyDescent="0.3">
      <c r="A594" s="22" t="s">
        <v>502</v>
      </c>
      <c r="B594" s="22" t="s">
        <v>11</v>
      </c>
      <c r="C594" s="22" t="s">
        <v>12</v>
      </c>
      <c r="D594" s="23" t="s">
        <v>115</v>
      </c>
      <c r="E594" s="12">
        <f>E603</f>
        <v>1</v>
      </c>
      <c r="F594" s="12">
        <f>F603</f>
        <v>33091.9</v>
      </c>
      <c r="G594" s="12">
        <f>G603</f>
        <v>33091.9</v>
      </c>
    </row>
    <row r="595" spans="1:7" x14ac:dyDescent="0.3">
      <c r="A595" s="13" t="s">
        <v>116</v>
      </c>
      <c r="B595" s="13" t="s">
        <v>15</v>
      </c>
      <c r="C595" s="13" t="s">
        <v>112</v>
      </c>
      <c r="D595" s="14" t="s">
        <v>117</v>
      </c>
      <c r="E595" s="15">
        <v>394.33</v>
      </c>
      <c r="F595" s="15">
        <v>1.96</v>
      </c>
      <c r="G595" s="16">
        <f>ROUND(E595*F595,2)</f>
        <v>772.89</v>
      </c>
    </row>
    <row r="596" spans="1:7" ht="31.2" x14ac:dyDescent="0.3">
      <c r="A596" s="13" t="s">
        <v>118</v>
      </c>
      <c r="B596" s="13" t="s">
        <v>15</v>
      </c>
      <c r="C596" s="13" t="s">
        <v>112</v>
      </c>
      <c r="D596" s="14" t="s">
        <v>119</v>
      </c>
      <c r="E596" s="15">
        <v>1295.3499999999999</v>
      </c>
      <c r="F596" s="15">
        <v>8.4</v>
      </c>
      <c r="G596" s="16">
        <f>ROUND(E596*F596,2)</f>
        <v>10880.94</v>
      </c>
    </row>
    <row r="597" spans="1:7" x14ac:dyDescent="0.3">
      <c r="A597" s="13" t="s">
        <v>503</v>
      </c>
      <c r="B597" s="13" t="s">
        <v>15</v>
      </c>
      <c r="C597" s="13" t="s">
        <v>112</v>
      </c>
      <c r="D597" s="14" t="s">
        <v>504</v>
      </c>
      <c r="E597" s="15">
        <v>1929.35</v>
      </c>
      <c r="F597" s="15">
        <v>3.02</v>
      </c>
      <c r="G597" s="16">
        <f>ROUND(E597*F597,2)</f>
        <v>5826.64</v>
      </c>
    </row>
    <row r="598" spans="1:7" ht="31.2" x14ac:dyDescent="0.3">
      <c r="A598" s="13" t="s">
        <v>120</v>
      </c>
      <c r="B598" s="13" t="s">
        <v>15</v>
      </c>
      <c r="C598" s="13" t="s">
        <v>112</v>
      </c>
      <c r="D598" s="14" t="s">
        <v>121</v>
      </c>
      <c r="E598" s="15">
        <v>248.48</v>
      </c>
      <c r="F598" s="15">
        <v>8.4700000000000006</v>
      </c>
      <c r="G598" s="16">
        <f>ROUND(E598*F598,2)</f>
        <v>2104.63</v>
      </c>
    </row>
    <row r="599" spans="1:7" ht="31.2" x14ac:dyDescent="0.3">
      <c r="A599" s="13" t="s">
        <v>122</v>
      </c>
      <c r="B599" s="13" t="s">
        <v>15</v>
      </c>
      <c r="C599" s="13" t="s">
        <v>112</v>
      </c>
      <c r="D599" s="14" t="s">
        <v>123</v>
      </c>
      <c r="E599" s="15">
        <v>634</v>
      </c>
      <c r="F599" s="15">
        <v>11.87</v>
      </c>
      <c r="G599" s="16">
        <f>ROUND(E599*F599,2)</f>
        <v>7525.58</v>
      </c>
    </row>
    <row r="600" spans="1:7" ht="31.2" x14ac:dyDescent="0.3">
      <c r="A600" s="13" t="s">
        <v>124</v>
      </c>
      <c r="B600" s="13" t="s">
        <v>15</v>
      </c>
      <c r="C600" s="13" t="s">
        <v>112</v>
      </c>
      <c r="D600" s="14" t="s">
        <v>125</v>
      </c>
      <c r="E600" s="15">
        <v>97.2</v>
      </c>
      <c r="F600" s="15">
        <v>9.4600000000000009</v>
      </c>
      <c r="G600" s="16">
        <f>ROUND(E600*F600,2)</f>
        <v>919.51</v>
      </c>
    </row>
    <row r="601" spans="1:7" x14ac:dyDescent="0.3">
      <c r="A601" s="13" t="s">
        <v>126</v>
      </c>
      <c r="B601" s="13" t="s">
        <v>15</v>
      </c>
      <c r="C601" s="13" t="s">
        <v>28</v>
      </c>
      <c r="D601" s="14" t="s">
        <v>127</v>
      </c>
      <c r="E601" s="15">
        <v>840.4</v>
      </c>
      <c r="F601" s="15">
        <v>4.16</v>
      </c>
      <c r="G601" s="16">
        <f>ROUND(E601*F601,2)</f>
        <v>3496.06</v>
      </c>
    </row>
    <row r="602" spans="1:7" x14ac:dyDescent="0.3">
      <c r="A602" s="13" t="s">
        <v>128</v>
      </c>
      <c r="B602" s="13" t="s">
        <v>15</v>
      </c>
      <c r="C602" s="13" t="s">
        <v>28</v>
      </c>
      <c r="D602" s="14" t="s">
        <v>129</v>
      </c>
      <c r="E602" s="15">
        <v>347.15</v>
      </c>
      <c r="F602" s="15">
        <v>4.51</v>
      </c>
      <c r="G602" s="16">
        <f>ROUND(E602*F602,2)</f>
        <v>1565.65</v>
      </c>
    </row>
    <row r="603" spans="1:7" x14ac:dyDescent="0.3">
      <c r="A603" s="17"/>
      <c r="B603" s="17"/>
      <c r="C603" s="17"/>
      <c r="D603" s="18" t="s">
        <v>505</v>
      </c>
      <c r="E603" s="15">
        <v>1</v>
      </c>
      <c r="F603" s="12">
        <f>SUM(G595:G602)</f>
        <v>33091.9</v>
      </c>
      <c r="G603" s="12">
        <f>ROUND(F603*E603,2)</f>
        <v>33091.9</v>
      </c>
    </row>
    <row r="604" spans="1:7" ht="1.05" customHeight="1" x14ac:dyDescent="0.3">
      <c r="A604" s="20"/>
      <c r="B604" s="20"/>
      <c r="C604" s="20"/>
      <c r="D604" s="21"/>
      <c r="E604" s="20"/>
      <c r="F604" s="20"/>
      <c r="G604" s="20"/>
    </row>
    <row r="605" spans="1:7" x14ac:dyDescent="0.3">
      <c r="A605" s="22" t="s">
        <v>506</v>
      </c>
      <c r="B605" s="22" t="s">
        <v>11</v>
      </c>
      <c r="C605" s="22" t="s">
        <v>12</v>
      </c>
      <c r="D605" s="23" t="s">
        <v>132</v>
      </c>
      <c r="E605" s="12">
        <f>E610</f>
        <v>1</v>
      </c>
      <c r="F605" s="12">
        <f>F610</f>
        <v>18559.739999999998</v>
      </c>
      <c r="G605" s="12">
        <f>G610</f>
        <v>18559.740000000002</v>
      </c>
    </row>
    <row r="606" spans="1:7" ht="31.2" x14ac:dyDescent="0.3">
      <c r="A606" s="13" t="s">
        <v>133</v>
      </c>
      <c r="B606" s="13" t="s">
        <v>15</v>
      </c>
      <c r="C606" s="13" t="s">
        <v>112</v>
      </c>
      <c r="D606" s="14" t="s">
        <v>134</v>
      </c>
      <c r="E606" s="15">
        <v>329.81</v>
      </c>
      <c r="F606" s="15">
        <v>42.32</v>
      </c>
      <c r="G606" s="16">
        <f>ROUND(E606*F606,2)</f>
        <v>13957.56</v>
      </c>
    </row>
    <row r="607" spans="1:7" ht="31.2" x14ac:dyDescent="0.3">
      <c r="A607" s="13" t="s">
        <v>135</v>
      </c>
      <c r="B607" s="13" t="s">
        <v>15</v>
      </c>
      <c r="C607" s="13" t="s">
        <v>28</v>
      </c>
      <c r="D607" s="14" t="s">
        <v>136</v>
      </c>
      <c r="E607" s="15">
        <v>323.76</v>
      </c>
      <c r="F607" s="15">
        <v>5.79</v>
      </c>
      <c r="G607" s="16">
        <f>ROUND(E607*F607,2)</f>
        <v>1874.57</v>
      </c>
    </row>
    <row r="608" spans="1:7" x14ac:dyDescent="0.3">
      <c r="A608" s="13" t="s">
        <v>507</v>
      </c>
      <c r="B608" s="13" t="s">
        <v>15</v>
      </c>
      <c r="C608" s="13" t="s">
        <v>112</v>
      </c>
      <c r="D608" s="14" t="s">
        <v>508</v>
      </c>
      <c r="E608" s="15">
        <v>66.11</v>
      </c>
      <c r="F608" s="15">
        <v>36.85</v>
      </c>
      <c r="G608" s="16">
        <f>ROUND(E608*F608,2)</f>
        <v>2436.15</v>
      </c>
    </row>
    <row r="609" spans="1:7" x14ac:dyDescent="0.3">
      <c r="A609" s="13" t="s">
        <v>509</v>
      </c>
      <c r="B609" s="13" t="s">
        <v>15</v>
      </c>
      <c r="C609" s="13" t="s">
        <v>28</v>
      </c>
      <c r="D609" s="14" t="s">
        <v>510</v>
      </c>
      <c r="E609" s="15">
        <v>49.15</v>
      </c>
      <c r="F609" s="15">
        <v>5.93</v>
      </c>
      <c r="G609" s="16">
        <f>ROUND(E609*F609,2)</f>
        <v>291.45999999999998</v>
      </c>
    </row>
    <row r="610" spans="1:7" x14ac:dyDescent="0.3">
      <c r="A610" s="17"/>
      <c r="B610" s="17"/>
      <c r="C610" s="17"/>
      <c r="D610" s="18" t="s">
        <v>511</v>
      </c>
      <c r="E610" s="15">
        <v>1</v>
      </c>
      <c r="F610" s="12">
        <f>SUM(G606:G609)</f>
        <v>18559.739999999998</v>
      </c>
      <c r="G610" s="12">
        <f>ROUND(F610*E610,2)</f>
        <v>18559.740000000002</v>
      </c>
    </row>
    <row r="611" spans="1:7" ht="1.05" customHeight="1" x14ac:dyDescent="0.3">
      <c r="A611" s="20"/>
      <c r="B611" s="20"/>
      <c r="C611" s="20"/>
      <c r="D611" s="21"/>
      <c r="E611" s="20"/>
      <c r="F611" s="20"/>
      <c r="G611" s="20"/>
    </row>
    <row r="612" spans="1:7" x14ac:dyDescent="0.3">
      <c r="A612" s="22" t="s">
        <v>512</v>
      </c>
      <c r="B612" s="22" t="s">
        <v>11</v>
      </c>
      <c r="C612" s="22" t="s">
        <v>12</v>
      </c>
      <c r="D612" s="23" t="s">
        <v>347</v>
      </c>
      <c r="E612" s="12">
        <f>E614</f>
        <v>1</v>
      </c>
      <c r="F612" s="12">
        <f>F614</f>
        <v>4997.1499999999996</v>
      </c>
      <c r="G612" s="12">
        <f>G614</f>
        <v>4997.1499999999996</v>
      </c>
    </row>
    <row r="613" spans="1:7" ht="31.2" x14ac:dyDescent="0.3">
      <c r="A613" s="13" t="s">
        <v>348</v>
      </c>
      <c r="B613" s="13" t="s">
        <v>15</v>
      </c>
      <c r="C613" s="13" t="s">
        <v>22</v>
      </c>
      <c r="D613" s="14" t="s">
        <v>349</v>
      </c>
      <c r="E613" s="15">
        <v>115.97</v>
      </c>
      <c r="F613" s="15">
        <v>43.09</v>
      </c>
      <c r="G613" s="16">
        <f>ROUND(E613*F613,2)</f>
        <v>4997.1499999999996</v>
      </c>
    </row>
    <row r="614" spans="1:7" x14ac:dyDescent="0.3">
      <c r="A614" s="17"/>
      <c r="B614" s="17"/>
      <c r="C614" s="17"/>
      <c r="D614" s="18" t="s">
        <v>513</v>
      </c>
      <c r="E614" s="15">
        <v>1</v>
      </c>
      <c r="F614" s="12">
        <f>G613</f>
        <v>4997.1499999999996</v>
      </c>
      <c r="G614" s="12">
        <f>ROUND(F614*E614,2)</f>
        <v>4997.1499999999996</v>
      </c>
    </row>
    <row r="615" spans="1:7" ht="1.05" customHeight="1" x14ac:dyDescent="0.3">
      <c r="A615" s="20"/>
      <c r="B615" s="20"/>
      <c r="C615" s="20"/>
      <c r="D615" s="21"/>
      <c r="E615" s="20"/>
      <c r="F615" s="20"/>
      <c r="G615" s="20"/>
    </row>
    <row r="616" spans="1:7" x14ac:dyDescent="0.3">
      <c r="A616" s="22" t="s">
        <v>514</v>
      </c>
      <c r="B616" s="22" t="s">
        <v>11</v>
      </c>
      <c r="C616" s="22" t="s">
        <v>12</v>
      </c>
      <c r="D616" s="23" t="s">
        <v>141</v>
      </c>
      <c r="E616" s="12">
        <f>E619</f>
        <v>1</v>
      </c>
      <c r="F616" s="12">
        <f>F619</f>
        <v>5519.7300000000005</v>
      </c>
      <c r="G616" s="12">
        <f>G619</f>
        <v>5519.73</v>
      </c>
    </row>
    <row r="617" spans="1:7" ht="31.2" x14ac:dyDescent="0.3">
      <c r="A617" s="13" t="s">
        <v>142</v>
      </c>
      <c r="B617" s="13" t="s">
        <v>15</v>
      </c>
      <c r="C617" s="13" t="s">
        <v>28</v>
      </c>
      <c r="D617" s="14" t="s">
        <v>143</v>
      </c>
      <c r="E617" s="15">
        <v>80</v>
      </c>
      <c r="F617" s="15">
        <v>61.92</v>
      </c>
      <c r="G617" s="16">
        <f>ROUND(E617*F617,2)</f>
        <v>4953.6000000000004</v>
      </c>
    </row>
    <row r="618" spans="1:7" x14ac:dyDescent="0.3">
      <c r="A618" s="13" t="s">
        <v>144</v>
      </c>
      <c r="B618" s="13" t="s">
        <v>15</v>
      </c>
      <c r="C618" s="13" t="s">
        <v>112</v>
      </c>
      <c r="D618" s="14" t="s">
        <v>145</v>
      </c>
      <c r="E618" s="15">
        <v>14.72</v>
      </c>
      <c r="F618" s="15">
        <v>38.46</v>
      </c>
      <c r="G618" s="16">
        <f>ROUND(E618*F618,2)</f>
        <v>566.13</v>
      </c>
    </row>
    <row r="619" spans="1:7" x14ac:dyDescent="0.3">
      <c r="A619" s="17"/>
      <c r="B619" s="17"/>
      <c r="C619" s="17"/>
      <c r="D619" s="18" t="s">
        <v>515</v>
      </c>
      <c r="E619" s="15">
        <v>1</v>
      </c>
      <c r="F619" s="12">
        <f>SUM(G617:G618)</f>
        <v>5519.7300000000005</v>
      </c>
      <c r="G619" s="12">
        <f>ROUND(F619*E619,2)</f>
        <v>5519.73</v>
      </c>
    </row>
    <row r="620" spans="1:7" ht="1.05" customHeight="1" x14ac:dyDescent="0.3">
      <c r="A620" s="20"/>
      <c r="B620" s="20"/>
      <c r="C620" s="20"/>
      <c r="D620" s="21"/>
      <c r="E620" s="20"/>
      <c r="F620" s="20"/>
      <c r="G620" s="20"/>
    </row>
    <row r="621" spans="1:7" x14ac:dyDescent="0.3">
      <c r="A621" s="22" t="s">
        <v>516</v>
      </c>
      <c r="B621" s="22" t="s">
        <v>11</v>
      </c>
      <c r="C621" s="22" t="s">
        <v>12</v>
      </c>
      <c r="D621" s="23" t="s">
        <v>148</v>
      </c>
      <c r="E621" s="12">
        <f>E627</f>
        <v>1</v>
      </c>
      <c r="F621" s="12">
        <f>F627</f>
        <v>20332.88</v>
      </c>
      <c r="G621" s="12">
        <f>G627</f>
        <v>20332.88</v>
      </c>
    </row>
    <row r="622" spans="1:7" ht="31.2" x14ac:dyDescent="0.3">
      <c r="A622" s="13" t="s">
        <v>149</v>
      </c>
      <c r="B622" s="13" t="s">
        <v>15</v>
      </c>
      <c r="C622" s="13" t="s">
        <v>151</v>
      </c>
      <c r="D622" s="14" t="s">
        <v>150</v>
      </c>
      <c r="E622" s="15">
        <v>3</v>
      </c>
      <c r="F622" s="15">
        <v>249.6</v>
      </c>
      <c r="G622" s="16">
        <f>ROUND(E622*F622,2)</f>
        <v>748.8</v>
      </c>
    </row>
    <row r="623" spans="1:7" ht="31.2" x14ac:dyDescent="0.3">
      <c r="A623" s="13" t="s">
        <v>152</v>
      </c>
      <c r="B623" s="13" t="s">
        <v>15</v>
      </c>
      <c r="C623" s="13" t="s">
        <v>151</v>
      </c>
      <c r="D623" s="14" t="s">
        <v>153</v>
      </c>
      <c r="E623" s="15">
        <v>4</v>
      </c>
      <c r="F623" s="15">
        <v>424.61</v>
      </c>
      <c r="G623" s="16">
        <f>ROUND(E623*F623,2)</f>
        <v>1698.44</v>
      </c>
    </row>
    <row r="624" spans="1:7" ht="31.2" x14ac:dyDescent="0.3">
      <c r="A624" s="13" t="s">
        <v>517</v>
      </c>
      <c r="B624" s="13" t="s">
        <v>15</v>
      </c>
      <c r="C624" s="13" t="s">
        <v>151</v>
      </c>
      <c r="D624" s="14" t="s">
        <v>518</v>
      </c>
      <c r="E624" s="15">
        <v>3</v>
      </c>
      <c r="F624" s="15">
        <v>714</v>
      </c>
      <c r="G624" s="16">
        <f>ROUND(E624*F624,2)</f>
        <v>2142</v>
      </c>
    </row>
    <row r="625" spans="1:7" ht="31.2" x14ac:dyDescent="0.3">
      <c r="A625" s="13" t="s">
        <v>519</v>
      </c>
      <c r="B625" s="13" t="s">
        <v>15</v>
      </c>
      <c r="C625" s="13" t="s">
        <v>151</v>
      </c>
      <c r="D625" s="14" t="s">
        <v>520</v>
      </c>
      <c r="E625" s="15">
        <v>17</v>
      </c>
      <c r="F625" s="15">
        <v>538.34</v>
      </c>
      <c r="G625" s="16">
        <f>ROUND(E625*F625,2)</f>
        <v>9151.7800000000007</v>
      </c>
    </row>
    <row r="626" spans="1:7" ht="31.2" x14ac:dyDescent="0.3">
      <c r="A626" s="13" t="s">
        <v>521</v>
      </c>
      <c r="B626" s="13" t="s">
        <v>15</v>
      </c>
      <c r="C626" s="13" t="s">
        <v>363</v>
      </c>
      <c r="D626" s="14" t="s">
        <v>522</v>
      </c>
      <c r="E626" s="15">
        <v>282.67</v>
      </c>
      <c r="F626" s="15">
        <v>23.32</v>
      </c>
      <c r="G626" s="16">
        <f>ROUND(E626*F626,2)</f>
        <v>6591.86</v>
      </c>
    </row>
    <row r="627" spans="1:7" x14ac:dyDescent="0.3">
      <c r="A627" s="17"/>
      <c r="B627" s="17"/>
      <c r="C627" s="17"/>
      <c r="D627" s="18" t="s">
        <v>523</v>
      </c>
      <c r="E627" s="15">
        <v>1</v>
      </c>
      <c r="F627" s="12">
        <f>SUM(G622:G626)</f>
        <v>20332.88</v>
      </c>
      <c r="G627" s="12">
        <f>ROUND(F627*E627,2)</f>
        <v>20332.88</v>
      </c>
    </row>
    <row r="628" spans="1:7" ht="1.05" customHeight="1" x14ac:dyDescent="0.3">
      <c r="A628" s="20"/>
      <c r="B628" s="20"/>
      <c r="C628" s="20"/>
      <c r="D628" s="21"/>
      <c r="E628" s="20"/>
      <c r="F628" s="20"/>
      <c r="G628" s="20"/>
    </row>
    <row r="629" spans="1:7" x14ac:dyDescent="0.3">
      <c r="A629" s="22" t="s">
        <v>524</v>
      </c>
      <c r="B629" s="22" t="s">
        <v>11</v>
      </c>
      <c r="C629" s="22" t="s">
        <v>12</v>
      </c>
      <c r="D629" s="23" t="s">
        <v>360</v>
      </c>
      <c r="E629" s="12">
        <f>E631</f>
        <v>1</v>
      </c>
      <c r="F629" s="12">
        <f>F631</f>
        <v>4363.66</v>
      </c>
      <c r="G629" s="12">
        <f>G631</f>
        <v>4363.66</v>
      </c>
    </row>
    <row r="630" spans="1:7" ht="31.2" x14ac:dyDescent="0.3">
      <c r="A630" s="13" t="s">
        <v>361</v>
      </c>
      <c r="B630" s="13" t="s">
        <v>15</v>
      </c>
      <c r="C630" s="13" t="s">
        <v>363</v>
      </c>
      <c r="D630" s="14" t="s">
        <v>362</v>
      </c>
      <c r="E630" s="15">
        <v>490.85</v>
      </c>
      <c r="F630" s="15">
        <v>8.89</v>
      </c>
      <c r="G630" s="16">
        <f>ROUND(E630*F630,2)</f>
        <v>4363.66</v>
      </c>
    </row>
    <row r="631" spans="1:7" x14ac:dyDescent="0.3">
      <c r="A631" s="17"/>
      <c r="B631" s="17"/>
      <c r="C631" s="17"/>
      <c r="D631" s="18" t="s">
        <v>525</v>
      </c>
      <c r="E631" s="15">
        <v>1</v>
      </c>
      <c r="F631" s="12">
        <f>G630</f>
        <v>4363.66</v>
      </c>
      <c r="G631" s="12">
        <f>ROUND(F631*E631,2)</f>
        <v>4363.66</v>
      </c>
    </row>
    <row r="632" spans="1:7" ht="1.05" customHeight="1" x14ac:dyDescent="0.3">
      <c r="A632" s="20"/>
      <c r="B632" s="20"/>
      <c r="C632" s="20"/>
      <c r="D632" s="21"/>
      <c r="E632" s="20"/>
      <c r="F632" s="20"/>
      <c r="G632" s="20"/>
    </row>
    <row r="633" spans="1:7" x14ac:dyDescent="0.3">
      <c r="A633" s="22" t="s">
        <v>526</v>
      </c>
      <c r="B633" s="22" t="s">
        <v>11</v>
      </c>
      <c r="C633" s="22" t="s">
        <v>12</v>
      </c>
      <c r="D633" s="23" t="s">
        <v>156</v>
      </c>
      <c r="E633" s="12">
        <f>E638</f>
        <v>1</v>
      </c>
      <c r="F633" s="12">
        <f>F638</f>
        <v>22415.32</v>
      </c>
      <c r="G633" s="12">
        <f>G638</f>
        <v>22415.32</v>
      </c>
    </row>
    <row r="634" spans="1:7" x14ac:dyDescent="0.3">
      <c r="A634" s="13" t="s">
        <v>157</v>
      </c>
      <c r="B634" s="13" t="s">
        <v>15</v>
      </c>
      <c r="C634" s="13" t="s">
        <v>112</v>
      </c>
      <c r="D634" s="14" t="s">
        <v>158</v>
      </c>
      <c r="E634" s="15">
        <v>2327.1</v>
      </c>
      <c r="F634" s="15">
        <v>4.0199999999999996</v>
      </c>
      <c r="G634" s="16">
        <f>ROUND(E634*F634,2)</f>
        <v>9354.94</v>
      </c>
    </row>
    <row r="635" spans="1:7" x14ac:dyDescent="0.3">
      <c r="A635" s="13" t="s">
        <v>159</v>
      </c>
      <c r="B635" s="13" t="s">
        <v>15</v>
      </c>
      <c r="C635" s="13" t="s">
        <v>112</v>
      </c>
      <c r="D635" s="14" t="s">
        <v>160</v>
      </c>
      <c r="E635" s="15">
        <v>1444.62</v>
      </c>
      <c r="F635" s="15">
        <v>4.37</v>
      </c>
      <c r="G635" s="16">
        <f>ROUND(E635*F635,2)</f>
        <v>6312.99</v>
      </c>
    </row>
    <row r="636" spans="1:7" x14ac:dyDescent="0.3">
      <c r="A636" s="13" t="s">
        <v>527</v>
      </c>
      <c r="B636" s="13" t="s">
        <v>15</v>
      </c>
      <c r="C636" s="13" t="s">
        <v>112</v>
      </c>
      <c r="D636" s="14" t="s">
        <v>528</v>
      </c>
      <c r="E636" s="15">
        <v>248.48</v>
      </c>
      <c r="F636" s="15">
        <v>8.35</v>
      </c>
      <c r="G636" s="16">
        <f>ROUND(E636*F636,2)</f>
        <v>2074.81</v>
      </c>
    </row>
    <row r="637" spans="1:7" x14ac:dyDescent="0.3">
      <c r="A637" s="13" t="s">
        <v>161</v>
      </c>
      <c r="B637" s="13" t="s">
        <v>15</v>
      </c>
      <c r="C637" s="13" t="s">
        <v>112</v>
      </c>
      <c r="D637" s="14" t="s">
        <v>162</v>
      </c>
      <c r="E637" s="15">
        <v>634</v>
      </c>
      <c r="F637" s="15">
        <v>7.37</v>
      </c>
      <c r="G637" s="16">
        <f>ROUND(E637*F637,2)</f>
        <v>4672.58</v>
      </c>
    </row>
    <row r="638" spans="1:7" x14ac:dyDescent="0.3">
      <c r="A638" s="17"/>
      <c r="B638" s="17"/>
      <c r="C638" s="17"/>
      <c r="D638" s="18" t="s">
        <v>529</v>
      </c>
      <c r="E638" s="15">
        <v>1</v>
      </c>
      <c r="F638" s="12">
        <f>SUM(G634:G637)</f>
        <v>22415.32</v>
      </c>
      <c r="G638" s="12">
        <f>ROUND(F638*E638,2)</f>
        <v>22415.32</v>
      </c>
    </row>
    <row r="639" spans="1:7" ht="1.05" customHeight="1" x14ac:dyDescent="0.3">
      <c r="A639" s="20"/>
      <c r="B639" s="20"/>
      <c r="C639" s="20"/>
      <c r="D639" s="21"/>
      <c r="E639" s="20"/>
      <c r="F639" s="20"/>
      <c r="G639" s="20"/>
    </row>
    <row r="640" spans="1:7" x14ac:dyDescent="0.3">
      <c r="A640" s="22" t="s">
        <v>530</v>
      </c>
      <c r="B640" s="22" t="s">
        <v>11</v>
      </c>
      <c r="C640" s="22" t="s">
        <v>12</v>
      </c>
      <c r="D640" s="23" t="s">
        <v>531</v>
      </c>
      <c r="E640" s="12">
        <f>E644</f>
        <v>1</v>
      </c>
      <c r="F640" s="12">
        <f>F644</f>
        <v>7657.23</v>
      </c>
      <c r="G640" s="12">
        <f>G644</f>
        <v>7657.23</v>
      </c>
    </row>
    <row r="641" spans="1:7" ht="31.2" x14ac:dyDescent="0.3">
      <c r="A641" s="13" t="s">
        <v>532</v>
      </c>
      <c r="B641" s="13" t="s">
        <v>15</v>
      </c>
      <c r="C641" s="13" t="s">
        <v>534</v>
      </c>
      <c r="D641" s="14" t="s">
        <v>533</v>
      </c>
      <c r="E641" s="15">
        <v>31.65</v>
      </c>
      <c r="F641" s="15">
        <v>53.17</v>
      </c>
      <c r="G641" s="16">
        <f>ROUND(E641*F641,2)</f>
        <v>1682.83</v>
      </c>
    </row>
    <row r="642" spans="1:7" x14ac:dyDescent="0.3">
      <c r="A642" s="13" t="s">
        <v>535</v>
      </c>
      <c r="B642" s="13" t="s">
        <v>15</v>
      </c>
      <c r="C642" s="13" t="s">
        <v>534</v>
      </c>
      <c r="D642" s="14" t="s">
        <v>536</v>
      </c>
      <c r="E642" s="15">
        <v>36.24</v>
      </c>
      <c r="F642" s="15">
        <v>71.430000000000007</v>
      </c>
      <c r="G642" s="16">
        <f>ROUND(E642*F642,2)</f>
        <v>2588.62</v>
      </c>
    </row>
    <row r="643" spans="1:7" x14ac:dyDescent="0.3">
      <c r="A643" s="13" t="s">
        <v>537</v>
      </c>
      <c r="B643" s="13" t="s">
        <v>15</v>
      </c>
      <c r="C643" s="13" t="s">
        <v>534</v>
      </c>
      <c r="D643" s="14" t="s">
        <v>538</v>
      </c>
      <c r="E643" s="15">
        <v>47.4</v>
      </c>
      <c r="F643" s="15">
        <v>71.430000000000007</v>
      </c>
      <c r="G643" s="16">
        <f>ROUND(E643*F643,2)</f>
        <v>3385.78</v>
      </c>
    </row>
    <row r="644" spans="1:7" x14ac:dyDescent="0.3">
      <c r="A644" s="17"/>
      <c r="B644" s="17"/>
      <c r="C644" s="17"/>
      <c r="D644" s="18" t="s">
        <v>539</v>
      </c>
      <c r="E644" s="15">
        <v>1</v>
      </c>
      <c r="F644" s="12">
        <f>SUM(G641:G643)</f>
        <v>7657.23</v>
      </c>
      <c r="G644" s="12">
        <f>ROUND(F644*E644,2)</f>
        <v>7657.23</v>
      </c>
    </row>
    <row r="645" spans="1:7" ht="1.05" customHeight="1" x14ac:dyDescent="0.3">
      <c r="A645" s="20"/>
      <c r="B645" s="20"/>
      <c r="C645" s="20"/>
      <c r="D645" s="21"/>
      <c r="E645" s="20"/>
      <c r="F645" s="20"/>
      <c r="G645" s="20"/>
    </row>
    <row r="646" spans="1:7" x14ac:dyDescent="0.3">
      <c r="A646" s="22" t="s">
        <v>540</v>
      </c>
      <c r="B646" s="22" t="s">
        <v>11</v>
      </c>
      <c r="C646" s="22" t="s">
        <v>12</v>
      </c>
      <c r="D646" s="23" t="s">
        <v>165</v>
      </c>
      <c r="E646" s="12">
        <f>E651</f>
        <v>1</v>
      </c>
      <c r="F646" s="12">
        <f>F651</f>
        <v>12688.74</v>
      </c>
      <c r="G646" s="12">
        <f>G651</f>
        <v>12688.74</v>
      </c>
    </row>
    <row r="647" spans="1:7" x14ac:dyDescent="0.3">
      <c r="A647" s="13" t="s">
        <v>172</v>
      </c>
      <c r="B647" s="13" t="s">
        <v>15</v>
      </c>
      <c r="C647" s="13" t="s">
        <v>28</v>
      </c>
      <c r="D647" s="14" t="s">
        <v>173</v>
      </c>
      <c r="E647" s="15">
        <v>23.35</v>
      </c>
      <c r="F647" s="15">
        <v>122.02</v>
      </c>
      <c r="G647" s="16">
        <f>ROUND(E647*F647,2)</f>
        <v>2849.17</v>
      </c>
    </row>
    <row r="648" spans="1:7" x14ac:dyDescent="0.3">
      <c r="A648" s="13" t="s">
        <v>541</v>
      </c>
      <c r="B648" s="13" t="s">
        <v>15</v>
      </c>
      <c r="C648" s="13" t="s">
        <v>22</v>
      </c>
      <c r="D648" s="14" t="s">
        <v>542</v>
      </c>
      <c r="E648" s="15">
        <v>41.44</v>
      </c>
      <c r="F648" s="15">
        <v>212.06</v>
      </c>
      <c r="G648" s="16">
        <f>ROUND(E648*F648,2)</f>
        <v>8787.77</v>
      </c>
    </row>
    <row r="649" spans="1:7" x14ac:dyDescent="0.3">
      <c r="A649" s="13" t="s">
        <v>543</v>
      </c>
      <c r="B649" s="13" t="s">
        <v>15</v>
      </c>
      <c r="C649" s="13" t="s">
        <v>91</v>
      </c>
      <c r="D649" s="14" t="s">
        <v>544</v>
      </c>
      <c r="E649" s="15">
        <v>1.97</v>
      </c>
      <c r="F649" s="15">
        <v>113.44</v>
      </c>
      <c r="G649" s="16">
        <f>ROUND(E649*F649,2)</f>
        <v>223.48</v>
      </c>
    </row>
    <row r="650" spans="1:7" ht="31.2" x14ac:dyDescent="0.3">
      <c r="A650" s="13" t="s">
        <v>545</v>
      </c>
      <c r="B650" s="13" t="s">
        <v>15</v>
      </c>
      <c r="C650" s="13" t="s">
        <v>22</v>
      </c>
      <c r="D650" s="14" t="s">
        <v>546</v>
      </c>
      <c r="E650" s="15">
        <v>18.77</v>
      </c>
      <c r="F650" s="15">
        <v>44.13</v>
      </c>
      <c r="G650" s="16">
        <f>ROUND(E650*F650,2)</f>
        <v>828.32</v>
      </c>
    </row>
    <row r="651" spans="1:7" x14ac:dyDescent="0.3">
      <c r="A651" s="17"/>
      <c r="B651" s="17"/>
      <c r="C651" s="17"/>
      <c r="D651" s="18" t="s">
        <v>547</v>
      </c>
      <c r="E651" s="15">
        <v>1</v>
      </c>
      <c r="F651" s="12">
        <f>SUM(G647:G650)</f>
        <v>12688.74</v>
      </c>
      <c r="G651" s="12">
        <f>ROUND(F651*E651,2)</f>
        <v>12688.74</v>
      </c>
    </row>
    <row r="652" spans="1:7" ht="1.05" customHeight="1" x14ac:dyDescent="0.3">
      <c r="A652" s="20"/>
      <c r="B652" s="20"/>
      <c r="C652" s="20"/>
      <c r="D652" s="21"/>
      <c r="E652" s="20"/>
      <c r="F652" s="20"/>
      <c r="G652" s="20"/>
    </row>
    <row r="653" spans="1:7" x14ac:dyDescent="0.3">
      <c r="A653" s="22" t="s">
        <v>548</v>
      </c>
      <c r="B653" s="22" t="s">
        <v>11</v>
      </c>
      <c r="C653" s="22" t="s">
        <v>12</v>
      </c>
      <c r="D653" s="23" t="s">
        <v>176</v>
      </c>
      <c r="E653" s="12">
        <f>E704</f>
        <v>1</v>
      </c>
      <c r="F653" s="12">
        <f>F704</f>
        <v>22345.120000000003</v>
      </c>
      <c r="G653" s="12">
        <f>G704</f>
        <v>22345.119999999999</v>
      </c>
    </row>
    <row r="654" spans="1:7" ht="31.2" x14ac:dyDescent="0.3">
      <c r="A654" s="22" t="s">
        <v>549</v>
      </c>
      <c r="B654" s="22" t="s">
        <v>11</v>
      </c>
      <c r="C654" s="22" t="s">
        <v>12</v>
      </c>
      <c r="D654" s="23" t="s">
        <v>229</v>
      </c>
      <c r="E654" s="12">
        <f>E667</f>
        <v>1</v>
      </c>
      <c r="F654" s="12">
        <f>F667</f>
        <v>2418.88</v>
      </c>
      <c r="G654" s="12">
        <f>G667</f>
        <v>2418.88</v>
      </c>
    </row>
    <row r="655" spans="1:7" x14ac:dyDescent="0.3">
      <c r="A655" s="13" t="s">
        <v>230</v>
      </c>
      <c r="B655" s="13" t="s">
        <v>15</v>
      </c>
      <c r="C655" s="13" t="s">
        <v>28</v>
      </c>
      <c r="D655" s="14" t="s">
        <v>231</v>
      </c>
      <c r="E655" s="15">
        <v>177.08</v>
      </c>
      <c r="F655" s="15">
        <v>1.9</v>
      </c>
      <c r="G655" s="16">
        <f>ROUND(E655*F655,2)</f>
        <v>336.45</v>
      </c>
    </row>
    <row r="656" spans="1:7" x14ac:dyDescent="0.3">
      <c r="A656" s="13" t="s">
        <v>232</v>
      </c>
      <c r="B656" s="13" t="s">
        <v>15</v>
      </c>
      <c r="C656" s="13" t="s">
        <v>28</v>
      </c>
      <c r="D656" s="14" t="s">
        <v>233</v>
      </c>
      <c r="E656" s="15">
        <v>177.08</v>
      </c>
      <c r="F656" s="15">
        <v>4.3499999999999996</v>
      </c>
      <c r="G656" s="16">
        <f>ROUND(E656*F656,2)</f>
        <v>770.3</v>
      </c>
    </row>
    <row r="657" spans="1:7" x14ac:dyDescent="0.3">
      <c r="A657" s="13" t="s">
        <v>550</v>
      </c>
      <c r="B657" s="13" t="s">
        <v>15</v>
      </c>
      <c r="C657" s="13" t="s">
        <v>28</v>
      </c>
      <c r="D657" s="14" t="s">
        <v>551</v>
      </c>
      <c r="E657" s="15">
        <v>117.61</v>
      </c>
      <c r="F657" s="15">
        <v>2.98</v>
      </c>
      <c r="G657" s="16">
        <f>ROUND(E657*F657,2)</f>
        <v>350.48</v>
      </c>
    </row>
    <row r="658" spans="1:7" x14ac:dyDescent="0.3">
      <c r="A658" s="13" t="s">
        <v>234</v>
      </c>
      <c r="B658" s="13" t="s">
        <v>15</v>
      </c>
      <c r="C658" s="13" t="s">
        <v>28</v>
      </c>
      <c r="D658" s="14" t="s">
        <v>235</v>
      </c>
      <c r="E658" s="15">
        <v>39.97</v>
      </c>
      <c r="F658" s="15">
        <v>3.07</v>
      </c>
      <c r="G658" s="16">
        <f>ROUND(E658*F658,2)</f>
        <v>122.71</v>
      </c>
    </row>
    <row r="659" spans="1:7" x14ac:dyDescent="0.3">
      <c r="A659" s="13" t="s">
        <v>236</v>
      </c>
      <c r="B659" s="13" t="s">
        <v>15</v>
      </c>
      <c r="C659" s="13" t="s">
        <v>28</v>
      </c>
      <c r="D659" s="14" t="s">
        <v>237</v>
      </c>
      <c r="E659" s="15">
        <v>0</v>
      </c>
      <c r="F659" s="15">
        <v>4.22</v>
      </c>
      <c r="G659" s="16">
        <f>ROUND(E659*F659,2)</f>
        <v>0</v>
      </c>
    </row>
    <row r="660" spans="1:7" x14ac:dyDescent="0.3">
      <c r="A660" s="13" t="s">
        <v>238</v>
      </c>
      <c r="B660" s="13" t="s">
        <v>15</v>
      </c>
      <c r="C660" s="13" t="s">
        <v>28</v>
      </c>
      <c r="D660" s="14" t="s">
        <v>239</v>
      </c>
      <c r="E660" s="15">
        <v>0</v>
      </c>
      <c r="F660" s="15">
        <v>13.9</v>
      </c>
      <c r="G660" s="16">
        <f>ROUND(E660*F660,2)</f>
        <v>0</v>
      </c>
    </row>
    <row r="661" spans="1:7" x14ac:dyDescent="0.3">
      <c r="A661" s="13" t="s">
        <v>240</v>
      </c>
      <c r="B661" s="13" t="s">
        <v>15</v>
      </c>
      <c r="C661" s="13" t="s">
        <v>28</v>
      </c>
      <c r="D661" s="14" t="s">
        <v>241</v>
      </c>
      <c r="E661" s="15">
        <v>0</v>
      </c>
      <c r="F661" s="15">
        <v>15.59</v>
      </c>
      <c r="G661" s="16">
        <f>ROUND(E661*F661,2)</f>
        <v>0</v>
      </c>
    </row>
    <row r="662" spans="1:7" ht="31.2" x14ac:dyDescent="0.3">
      <c r="A662" s="13" t="s">
        <v>242</v>
      </c>
      <c r="B662" s="13" t="s">
        <v>15</v>
      </c>
      <c r="C662" s="13" t="s">
        <v>16</v>
      </c>
      <c r="D662" s="14" t="s">
        <v>243</v>
      </c>
      <c r="E662" s="15">
        <v>0.8</v>
      </c>
      <c r="F662" s="15">
        <v>793.65</v>
      </c>
      <c r="G662" s="16">
        <f>ROUND(E662*F662,2)</f>
        <v>634.91999999999996</v>
      </c>
    </row>
    <row r="663" spans="1:7" x14ac:dyDescent="0.3">
      <c r="A663" s="13" t="s">
        <v>244</v>
      </c>
      <c r="B663" s="13" t="s">
        <v>15</v>
      </c>
      <c r="C663" s="13" t="s">
        <v>215</v>
      </c>
      <c r="D663" s="14" t="s">
        <v>245</v>
      </c>
      <c r="E663" s="15">
        <v>0</v>
      </c>
      <c r="F663" s="15">
        <v>13.5</v>
      </c>
      <c r="G663" s="16">
        <f>ROUND(E663*F663,2)</f>
        <v>0</v>
      </c>
    </row>
    <row r="664" spans="1:7" x14ac:dyDescent="0.3">
      <c r="A664" s="13" t="s">
        <v>552</v>
      </c>
      <c r="B664" s="13" t="s">
        <v>15</v>
      </c>
      <c r="C664" s="13" t="s">
        <v>215</v>
      </c>
      <c r="D664" s="14" t="s">
        <v>553</v>
      </c>
      <c r="E664" s="15">
        <v>1</v>
      </c>
      <c r="F664" s="15">
        <v>23.11</v>
      </c>
      <c r="G664" s="16">
        <f>ROUND(E664*F664,2)</f>
        <v>23.11</v>
      </c>
    </row>
    <row r="665" spans="1:7" x14ac:dyDescent="0.3">
      <c r="A665" s="13" t="s">
        <v>554</v>
      </c>
      <c r="B665" s="13" t="s">
        <v>15</v>
      </c>
      <c r="C665" s="13" t="s">
        <v>215</v>
      </c>
      <c r="D665" s="14" t="s">
        <v>555</v>
      </c>
      <c r="E665" s="15">
        <v>4</v>
      </c>
      <c r="F665" s="15">
        <v>30.9</v>
      </c>
      <c r="G665" s="16">
        <f>ROUND(E665*F665,2)</f>
        <v>123.6</v>
      </c>
    </row>
    <row r="666" spans="1:7" x14ac:dyDescent="0.3">
      <c r="A666" s="13" t="s">
        <v>246</v>
      </c>
      <c r="B666" s="13" t="s">
        <v>15</v>
      </c>
      <c r="C666" s="13" t="s">
        <v>215</v>
      </c>
      <c r="D666" s="14" t="s">
        <v>247</v>
      </c>
      <c r="E666" s="15">
        <v>1</v>
      </c>
      <c r="F666" s="15">
        <v>57.31</v>
      </c>
      <c r="G666" s="16">
        <f>ROUND(E666*F666,2)</f>
        <v>57.31</v>
      </c>
    </row>
    <row r="667" spans="1:7" x14ac:dyDescent="0.3">
      <c r="A667" s="17"/>
      <c r="B667" s="17"/>
      <c r="C667" s="17"/>
      <c r="D667" s="18" t="s">
        <v>556</v>
      </c>
      <c r="E667" s="15">
        <v>1</v>
      </c>
      <c r="F667" s="12">
        <f>SUM(G655:G666)</f>
        <v>2418.88</v>
      </c>
      <c r="G667" s="12">
        <f>ROUND(F667*E667,2)</f>
        <v>2418.88</v>
      </c>
    </row>
    <row r="668" spans="1:7" ht="1.05" customHeight="1" x14ac:dyDescent="0.3">
      <c r="A668" s="20"/>
      <c r="B668" s="20"/>
      <c r="C668" s="20"/>
      <c r="D668" s="21"/>
      <c r="E668" s="20"/>
      <c r="F668" s="20"/>
      <c r="G668" s="20"/>
    </row>
    <row r="669" spans="1:7" ht="31.2" x14ac:dyDescent="0.3">
      <c r="A669" s="22" t="s">
        <v>557</v>
      </c>
      <c r="B669" s="22" t="s">
        <v>11</v>
      </c>
      <c r="C669" s="22" t="s">
        <v>12</v>
      </c>
      <c r="D669" s="23" t="s">
        <v>250</v>
      </c>
      <c r="E669" s="12">
        <f>E680</f>
        <v>1</v>
      </c>
      <c r="F669" s="12">
        <f>F680</f>
        <v>3934.7900000000004</v>
      </c>
      <c r="G669" s="12">
        <f>G680</f>
        <v>3934.79</v>
      </c>
    </row>
    <row r="670" spans="1:7" x14ac:dyDescent="0.3">
      <c r="A670" s="13" t="s">
        <v>230</v>
      </c>
      <c r="B670" s="13" t="s">
        <v>15</v>
      </c>
      <c r="C670" s="13" t="s">
        <v>28</v>
      </c>
      <c r="D670" s="14" t="s">
        <v>231</v>
      </c>
      <c r="E670" s="15">
        <v>221.67</v>
      </c>
      <c r="F670" s="15">
        <v>1.9</v>
      </c>
      <c r="G670" s="16">
        <f>ROUND(E670*F670,2)</f>
        <v>421.17</v>
      </c>
    </row>
    <row r="671" spans="1:7" x14ac:dyDescent="0.3">
      <c r="A671" s="13" t="s">
        <v>558</v>
      </c>
      <c r="B671" s="13" t="s">
        <v>15</v>
      </c>
      <c r="C671" s="13" t="s">
        <v>28</v>
      </c>
      <c r="D671" s="14" t="s">
        <v>559</v>
      </c>
      <c r="E671" s="15">
        <v>29.68</v>
      </c>
      <c r="F671" s="15">
        <v>9.15</v>
      </c>
      <c r="G671" s="16">
        <f>ROUND(E671*F671,2)</f>
        <v>271.57</v>
      </c>
    </row>
    <row r="672" spans="1:7" x14ac:dyDescent="0.3">
      <c r="A672" s="13" t="s">
        <v>393</v>
      </c>
      <c r="B672" s="13" t="s">
        <v>15</v>
      </c>
      <c r="C672" s="13" t="s">
        <v>28</v>
      </c>
      <c r="D672" s="14" t="s">
        <v>394</v>
      </c>
      <c r="E672" s="15">
        <v>10.68</v>
      </c>
      <c r="F672" s="15">
        <v>10.02</v>
      </c>
      <c r="G672" s="16">
        <f>ROUND(E672*F672,2)</f>
        <v>107.01</v>
      </c>
    </row>
    <row r="673" spans="1:7" x14ac:dyDescent="0.3">
      <c r="A673" s="13" t="s">
        <v>395</v>
      </c>
      <c r="B673" s="13" t="s">
        <v>15</v>
      </c>
      <c r="C673" s="13" t="s">
        <v>28</v>
      </c>
      <c r="D673" s="14" t="s">
        <v>396</v>
      </c>
      <c r="E673" s="15">
        <v>29.85</v>
      </c>
      <c r="F673" s="15">
        <v>11.7</v>
      </c>
      <c r="G673" s="16">
        <f>ROUND(E673*F673,2)</f>
        <v>349.25</v>
      </c>
    </row>
    <row r="674" spans="1:7" x14ac:dyDescent="0.3">
      <c r="A674" s="13" t="s">
        <v>397</v>
      </c>
      <c r="B674" s="13" t="s">
        <v>15</v>
      </c>
      <c r="C674" s="13" t="s">
        <v>28</v>
      </c>
      <c r="D674" s="14" t="s">
        <v>398</v>
      </c>
      <c r="E674" s="15">
        <v>11.71</v>
      </c>
      <c r="F674" s="15">
        <v>16.88</v>
      </c>
      <c r="G674" s="16">
        <f>ROUND(E674*F674,2)</f>
        <v>197.66</v>
      </c>
    </row>
    <row r="675" spans="1:7" ht="31.2" x14ac:dyDescent="0.3">
      <c r="A675" s="13" t="s">
        <v>261</v>
      </c>
      <c r="B675" s="13" t="s">
        <v>15</v>
      </c>
      <c r="C675" s="13" t="s">
        <v>16</v>
      </c>
      <c r="D675" s="14" t="s">
        <v>262</v>
      </c>
      <c r="E675" s="15">
        <v>0.7</v>
      </c>
      <c r="F675" s="15">
        <v>1031.75</v>
      </c>
      <c r="G675" s="16">
        <f>ROUND(E675*F675,2)</f>
        <v>722.23</v>
      </c>
    </row>
    <row r="676" spans="1:7" x14ac:dyDescent="0.3">
      <c r="A676" s="13" t="s">
        <v>399</v>
      </c>
      <c r="B676" s="13" t="s">
        <v>15</v>
      </c>
      <c r="C676" s="13" t="s">
        <v>215</v>
      </c>
      <c r="D676" s="14" t="s">
        <v>400</v>
      </c>
      <c r="E676" s="15">
        <v>6</v>
      </c>
      <c r="F676" s="15">
        <v>30.14</v>
      </c>
      <c r="G676" s="16">
        <f>ROUND(E676*F676,2)</f>
        <v>180.84</v>
      </c>
    </row>
    <row r="677" spans="1:7" ht="31.2" x14ac:dyDescent="0.3">
      <c r="A677" s="13" t="s">
        <v>265</v>
      </c>
      <c r="B677" s="13" t="s">
        <v>15</v>
      </c>
      <c r="C677" s="13" t="s">
        <v>215</v>
      </c>
      <c r="D677" s="14" t="s">
        <v>266</v>
      </c>
      <c r="E677" s="15">
        <v>30</v>
      </c>
      <c r="F677" s="15">
        <v>32.25</v>
      </c>
      <c r="G677" s="16">
        <f>ROUND(E677*F677,2)</f>
        <v>967.5</v>
      </c>
    </row>
    <row r="678" spans="1:7" ht="31.2" x14ac:dyDescent="0.3">
      <c r="A678" s="13" t="s">
        <v>267</v>
      </c>
      <c r="B678" s="13" t="s">
        <v>15</v>
      </c>
      <c r="C678" s="13" t="s">
        <v>215</v>
      </c>
      <c r="D678" s="14" t="s">
        <v>268</v>
      </c>
      <c r="E678" s="15">
        <v>7</v>
      </c>
      <c r="F678" s="15">
        <v>44.38</v>
      </c>
      <c r="G678" s="16">
        <f>ROUND(E678*F678,2)</f>
        <v>310.66000000000003</v>
      </c>
    </row>
    <row r="679" spans="1:7" x14ac:dyDescent="0.3">
      <c r="A679" s="13" t="s">
        <v>401</v>
      </c>
      <c r="B679" s="13" t="s">
        <v>15</v>
      </c>
      <c r="C679" s="13" t="s">
        <v>215</v>
      </c>
      <c r="D679" s="14" t="s">
        <v>402</v>
      </c>
      <c r="E679" s="15">
        <v>5</v>
      </c>
      <c r="F679" s="15">
        <v>81.38</v>
      </c>
      <c r="G679" s="16">
        <f>ROUND(E679*F679,2)</f>
        <v>406.9</v>
      </c>
    </row>
    <row r="680" spans="1:7" x14ac:dyDescent="0.3">
      <c r="A680" s="17"/>
      <c r="B680" s="17"/>
      <c r="C680" s="17"/>
      <c r="D680" s="18" t="s">
        <v>560</v>
      </c>
      <c r="E680" s="15">
        <v>1</v>
      </c>
      <c r="F680" s="12">
        <f>SUM(G670:G679)</f>
        <v>3934.7900000000004</v>
      </c>
      <c r="G680" s="12">
        <f>ROUND(F680*E680,2)</f>
        <v>3934.79</v>
      </c>
    </row>
    <row r="681" spans="1:7" ht="1.05" customHeight="1" x14ac:dyDescent="0.3">
      <c r="A681" s="20"/>
      <c r="B681" s="20"/>
      <c r="C681" s="20"/>
      <c r="D681" s="21"/>
      <c r="E681" s="20"/>
      <c r="F681" s="20"/>
      <c r="G681" s="20"/>
    </row>
    <row r="682" spans="1:7" x14ac:dyDescent="0.3">
      <c r="A682" s="22" t="s">
        <v>561</v>
      </c>
      <c r="B682" s="22" t="s">
        <v>11</v>
      </c>
      <c r="C682" s="22" t="s">
        <v>12</v>
      </c>
      <c r="D682" s="23" t="s">
        <v>275</v>
      </c>
      <c r="E682" s="12">
        <f>E686</f>
        <v>1</v>
      </c>
      <c r="F682" s="12">
        <f>F686</f>
        <v>2310.96</v>
      </c>
      <c r="G682" s="12">
        <f>G686</f>
        <v>2310.96</v>
      </c>
    </row>
    <row r="683" spans="1:7" ht="31.2" x14ac:dyDescent="0.3">
      <c r="A683" s="13" t="s">
        <v>276</v>
      </c>
      <c r="B683" s="13" t="s">
        <v>15</v>
      </c>
      <c r="C683" s="13" t="s">
        <v>28</v>
      </c>
      <c r="D683" s="14" t="s">
        <v>277</v>
      </c>
      <c r="E683" s="15">
        <v>3.25</v>
      </c>
      <c r="F683" s="15">
        <v>27.3</v>
      </c>
      <c r="G683" s="16">
        <f>ROUND(E683*F683,2)</f>
        <v>88.73</v>
      </c>
    </row>
    <row r="684" spans="1:7" x14ac:dyDescent="0.3">
      <c r="A684" s="13" t="s">
        <v>278</v>
      </c>
      <c r="B684" s="13" t="s">
        <v>15</v>
      </c>
      <c r="C684" s="13" t="s">
        <v>215</v>
      </c>
      <c r="D684" s="14" t="s">
        <v>279</v>
      </c>
      <c r="E684" s="15">
        <v>1</v>
      </c>
      <c r="F684" s="15">
        <v>1666.67</v>
      </c>
      <c r="G684" s="16">
        <f>ROUND(E684*F684,2)</f>
        <v>1666.67</v>
      </c>
    </row>
    <row r="685" spans="1:7" ht="31.2" x14ac:dyDescent="0.3">
      <c r="A685" s="13" t="s">
        <v>280</v>
      </c>
      <c r="B685" s="13" t="s">
        <v>15</v>
      </c>
      <c r="C685" s="13" t="s">
        <v>215</v>
      </c>
      <c r="D685" s="14" t="s">
        <v>281</v>
      </c>
      <c r="E685" s="15">
        <v>1</v>
      </c>
      <c r="F685" s="15">
        <v>555.55999999999995</v>
      </c>
      <c r="G685" s="16">
        <f>ROUND(E685*F685,2)</f>
        <v>555.55999999999995</v>
      </c>
    </row>
    <row r="686" spans="1:7" x14ac:dyDescent="0.3">
      <c r="A686" s="17"/>
      <c r="B686" s="17"/>
      <c r="C686" s="17"/>
      <c r="D686" s="18" t="s">
        <v>562</v>
      </c>
      <c r="E686" s="15">
        <v>1</v>
      </c>
      <c r="F686" s="12">
        <f>SUM(G683:G685)</f>
        <v>2310.96</v>
      </c>
      <c r="G686" s="12">
        <f>ROUND(F686*E686,2)</f>
        <v>2310.96</v>
      </c>
    </row>
    <row r="687" spans="1:7" ht="1.05" customHeight="1" x14ac:dyDescent="0.3">
      <c r="A687" s="20"/>
      <c r="B687" s="20"/>
      <c r="C687" s="20"/>
      <c r="D687" s="21"/>
      <c r="E687" s="20"/>
      <c r="F687" s="20"/>
      <c r="G687" s="20"/>
    </row>
    <row r="688" spans="1:7" x14ac:dyDescent="0.3">
      <c r="A688" s="22" t="s">
        <v>563</v>
      </c>
      <c r="B688" s="22" t="s">
        <v>11</v>
      </c>
      <c r="C688" s="22" t="s">
        <v>12</v>
      </c>
      <c r="D688" s="23" t="s">
        <v>407</v>
      </c>
      <c r="E688" s="12">
        <f>E697</f>
        <v>1</v>
      </c>
      <c r="F688" s="12">
        <f>F697</f>
        <v>12570.41</v>
      </c>
      <c r="G688" s="12">
        <f>G697</f>
        <v>12570.41</v>
      </c>
    </row>
    <row r="689" spans="1:7" ht="31.2" x14ac:dyDescent="0.3">
      <c r="A689" s="13" t="s">
        <v>564</v>
      </c>
      <c r="B689" s="13" t="s">
        <v>15</v>
      </c>
      <c r="C689" s="13" t="s">
        <v>215</v>
      </c>
      <c r="D689" s="14" t="s">
        <v>565</v>
      </c>
      <c r="E689" s="15">
        <v>7</v>
      </c>
      <c r="F689" s="15">
        <v>348.85</v>
      </c>
      <c r="G689" s="16">
        <f>ROUND(E689*F689,2)</f>
        <v>2441.9499999999998</v>
      </c>
    </row>
    <row r="690" spans="1:7" ht="31.2" x14ac:dyDescent="0.3">
      <c r="A690" s="13" t="s">
        <v>566</v>
      </c>
      <c r="B690" s="13" t="s">
        <v>15</v>
      </c>
      <c r="C690" s="13" t="s">
        <v>215</v>
      </c>
      <c r="D690" s="14" t="s">
        <v>567</v>
      </c>
      <c r="E690" s="15">
        <v>6</v>
      </c>
      <c r="F690" s="15">
        <v>365.25</v>
      </c>
      <c r="G690" s="16">
        <f>ROUND(E690*F690,2)</f>
        <v>2191.5</v>
      </c>
    </row>
    <row r="691" spans="1:7" x14ac:dyDescent="0.3">
      <c r="A691" s="13" t="s">
        <v>568</v>
      </c>
      <c r="B691" s="13" t="s">
        <v>15</v>
      </c>
      <c r="C691" s="13" t="s">
        <v>215</v>
      </c>
      <c r="D691" s="14" t="s">
        <v>569</v>
      </c>
      <c r="E691" s="15">
        <v>5</v>
      </c>
      <c r="F691" s="15">
        <v>442.68</v>
      </c>
      <c r="G691" s="16">
        <f>ROUND(E691*F691,2)</f>
        <v>2213.4</v>
      </c>
    </row>
    <row r="692" spans="1:7" ht="31.2" x14ac:dyDescent="0.3">
      <c r="A692" s="13" t="s">
        <v>570</v>
      </c>
      <c r="B692" s="13" t="s">
        <v>15</v>
      </c>
      <c r="C692" s="13" t="s">
        <v>215</v>
      </c>
      <c r="D692" s="14" t="s">
        <v>571</v>
      </c>
      <c r="E692" s="15">
        <v>7</v>
      </c>
      <c r="F692" s="15">
        <v>93.66</v>
      </c>
      <c r="G692" s="16">
        <f>ROUND(E692*F692,2)</f>
        <v>655.62</v>
      </c>
    </row>
    <row r="693" spans="1:7" ht="31.2" x14ac:dyDescent="0.3">
      <c r="A693" s="13" t="s">
        <v>572</v>
      </c>
      <c r="B693" s="13" t="s">
        <v>15</v>
      </c>
      <c r="C693" s="13" t="s">
        <v>151</v>
      </c>
      <c r="D693" s="14" t="s">
        <v>573</v>
      </c>
      <c r="E693" s="15">
        <v>3</v>
      </c>
      <c r="F693" s="15">
        <v>405.16</v>
      </c>
      <c r="G693" s="16">
        <f>ROUND(E693*F693,2)</f>
        <v>1215.48</v>
      </c>
    </row>
    <row r="694" spans="1:7" ht="31.2" x14ac:dyDescent="0.3">
      <c r="A694" s="13" t="s">
        <v>574</v>
      </c>
      <c r="B694" s="13" t="s">
        <v>15</v>
      </c>
      <c r="C694" s="13" t="s">
        <v>151</v>
      </c>
      <c r="D694" s="14" t="s">
        <v>575</v>
      </c>
      <c r="E694" s="15">
        <v>2</v>
      </c>
      <c r="F694" s="15">
        <v>295.79000000000002</v>
      </c>
      <c r="G694" s="16">
        <f>ROUND(E694*F694,2)</f>
        <v>591.58000000000004</v>
      </c>
    </row>
    <row r="695" spans="1:7" x14ac:dyDescent="0.3">
      <c r="A695" s="13" t="s">
        <v>576</v>
      </c>
      <c r="B695" s="13" t="s">
        <v>15</v>
      </c>
      <c r="C695" s="13" t="s">
        <v>151</v>
      </c>
      <c r="D695" s="14" t="s">
        <v>577</v>
      </c>
      <c r="E695" s="15">
        <v>3</v>
      </c>
      <c r="F695" s="15">
        <v>293.31</v>
      </c>
      <c r="G695" s="16">
        <f>ROUND(E695*F695,2)</f>
        <v>879.93</v>
      </c>
    </row>
    <row r="696" spans="1:7" x14ac:dyDescent="0.3">
      <c r="A696" s="13" t="s">
        <v>578</v>
      </c>
      <c r="B696" s="13" t="s">
        <v>15</v>
      </c>
      <c r="C696" s="13" t="s">
        <v>151</v>
      </c>
      <c r="D696" s="14" t="s">
        <v>579</v>
      </c>
      <c r="E696" s="15">
        <v>1</v>
      </c>
      <c r="F696" s="15">
        <v>2380.9499999999998</v>
      </c>
      <c r="G696" s="16">
        <f>ROUND(E696*F696,2)</f>
        <v>2380.9499999999998</v>
      </c>
    </row>
    <row r="697" spans="1:7" x14ac:dyDescent="0.3">
      <c r="A697" s="17"/>
      <c r="B697" s="17"/>
      <c r="C697" s="17"/>
      <c r="D697" s="18" t="s">
        <v>580</v>
      </c>
      <c r="E697" s="15">
        <v>1</v>
      </c>
      <c r="F697" s="12">
        <f>SUM(G689:G696)</f>
        <v>12570.41</v>
      </c>
      <c r="G697" s="12">
        <f>ROUND(F697*E697,2)</f>
        <v>12570.41</v>
      </c>
    </row>
    <row r="698" spans="1:7" ht="1.05" customHeight="1" x14ac:dyDescent="0.3">
      <c r="A698" s="20"/>
      <c r="B698" s="20"/>
      <c r="C698" s="20"/>
      <c r="D698" s="21"/>
      <c r="E698" s="20"/>
      <c r="F698" s="20"/>
      <c r="G698" s="20"/>
    </row>
    <row r="699" spans="1:7" x14ac:dyDescent="0.3">
      <c r="A699" s="22" t="s">
        <v>581</v>
      </c>
      <c r="B699" s="22" t="s">
        <v>11</v>
      </c>
      <c r="C699" s="22" t="s">
        <v>12</v>
      </c>
      <c r="D699" s="23" t="s">
        <v>165</v>
      </c>
      <c r="E699" s="12">
        <f>E702</f>
        <v>1</v>
      </c>
      <c r="F699" s="12">
        <f>F702</f>
        <v>1110.08</v>
      </c>
      <c r="G699" s="12">
        <f>G702</f>
        <v>1110.08</v>
      </c>
    </row>
    <row r="700" spans="1:7" x14ac:dyDescent="0.3">
      <c r="A700" s="13" t="s">
        <v>582</v>
      </c>
      <c r="B700" s="13" t="s">
        <v>15</v>
      </c>
      <c r="C700" s="13" t="s">
        <v>151</v>
      </c>
      <c r="D700" s="14" t="s">
        <v>583</v>
      </c>
      <c r="E700" s="15">
        <v>4</v>
      </c>
      <c r="F700" s="15">
        <v>74.39</v>
      </c>
      <c r="G700" s="16">
        <f>ROUND(E700*F700,2)</f>
        <v>297.56</v>
      </c>
    </row>
    <row r="701" spans="1:7" ht="31.2" x14ac:dyDescent="0.3">
      <c r="A701" s="13" t="s">
        <v>584</v>
      </c>
      <c r="B701" s="13" t="s">
        <v>15</v>
      </c>
      <c r="C701" s="13" t="s">
        <v>215</v>
      </c>
      <c r="D701" s="14" t="s">
        <v>585</v>
      </c>
      <c r="E701" s="15">
        <v>3</v>
      </c>
      <c r="F701" s="15">
        <v>270.83999999999997</v>
      </c>
      <c r="G701" s="16">
        <f>ROUND(E701*F701,2)</f>
        <v>812.52</v>
      </c>
    </row>
    <row r="702" spans="1:7" x14ac:dyDescent="0.3">
      <c r="A702" s="17"/>
      <c r="B702" s="17"/>
      <c r="C702" s="17"/>
      <c r="D702" s="18" t="s">
        <v>586</v>
      </c>
      <c r="E702" s="15">
        <v>1</v>
      </c>
      <c r="F702" s="12">
        <f>SUM(G700:G701)</f>
        <v>1110.08</v>
      </c>
      <c r="G702" s="12">
        <f>ROUND(F702*E702,2)</f>
        <v>1110.08</v>
      </c>
    </row>
    <row r="703" spans="1:7" ht="1.05" customHeight="1" x14ac:dyDescent="0.3">
      <c r="A703" s="20"/>
      <c r="B703" s="20"/>
      <c r="C703" s="20"/>
      <c r="D703" s="21"/>
      <c r="E703" s="20"/>
      <c r="F703" s="20"/>
      <c r="G703" s="20"/>
    </row>
    <row r="704" spans="1:7" x14ac:dyDescent="0.3">
      <c r="A704" s="17"/>
      <c r="B704" s="17"/>
      <c r="C704" s="17"/>
      <c r="D704" s="18" t="s">
        <v>587</v>
      </c>
      <c r="E704" s="15">
        <v>1</v>
      </c>
      <c r="F704" s="12">
        <f>G667+G680+G686+G697+G702</f>
        <v>22345.120000000003</v>
      </c>
      <c r="G704" s="12">
        <f>ROUND(F704*E704,2)</f>
        <v>22345.119999999999</v>
      </c>
    </row>
    <row r="705" spans="1:7" ht="1.05" customHeight="1" x14ac:dyDescent="0.3">
      <c r="A705" s="20"/>
      <c r="B705" s="20"/>
      <c r="C705" s="20"/>
      <c r="D705" s="21"/>
      <c r="E705" s="20"/>
      <c r="F705" s="20"/>
      <c r="G705" s="20"/>
    </row>
    <row r="706" spans="1:7" x14ac:dyDescent="0.3">
      <c r="A706" s="22" t="s">
        <v>588</v>
      </c>
      <c r="B706" s="22" t="s">
        <v>11</v>
      </c>
      <c r="C706" s="22" t="s">
        <v>12</v>
      </c>
      <c r="D706" s="23" t="s">
        <v>285</v>
      </c>
      <c r="E706" s="12">
        <f>E721</f>
        <v>1</v>
      </c>
      <c r="F706" s="12">
        <f>F721</f>
        <v>12526.539999999999</v>
      </c>
      <c r="G706" s="12">
        <f>G721</f>
        <v>12526.54</v>
      </c>
    </row>
    <row r="707" spans="1:7" x14ac:dyDescent="0.3">
      <c r="A707" s="13" t="s">
        <v>589</v>
      </c>
      <c r="B707" s="13" t="s">
        <v>15</v>
      </c>
      <c r="C707" s="13" t="s">
        <v>215</v>
      </c>
      <c r="D707" s="14" t="s">
        <v>590</v>
      </c>
      <c r="E707" s="15">
        <v>3</v>
      </c>
      <c r="F707" s="15">
        <v>51.04</v>
      </c>
      <c r="G707" s="16">
        <f>ROUND(E707*F707,2)</f>
        <v>153.12</v>
      </c>
    </row>
    <row r="708" spans="1:7" x14ac:dyDescent="0.3">
      <c r="A708" s="13" t="s">
        <v>591</v>
      </c>
      <c r="B708" s="13" t="s">
        <v>15</v>
      </c>
      <c r="C708" s="13" t="s">
        <v>215</v>
      </c>
      <c r="D708" s="14" t="s">
        <v>592</v>
      </c>
      <c r="E708" s="15">
        <v>3</v>
      </c>
      <c r="F708" s="15">
        <v>37.28</v>
      </c>
      <c r="G708" s="16">
        <f>ROUND(E708*F708,2)</f>
        <v>111.84</v>
      </c>
    </row>
    <row r="709" spans="1:7" x14ac:dyDescent="0.3">
      <c r="A709" s="13" t="s">
        <v>593</v>
      </c>
      <c r="B709" s="13" t="s">
        <v>15</v>
      </c>
      <c r="C709" s="13" t="s">
        <v>215</v>
      </c>
      <c r="D709" s="14" t="s">
        <v>594</v>
      </c>
      <c r="E709" s="15">
        <v>3</v>
      </c>
      <c r="F709" s="15">
        <v>30.48</v>
      </c>
      <c r="G709" s="16">
        <f>ROUND(E709*F709,2)</f>
        <v>91.44</v>
      </c>
    </row>
    <row r="710" spans="1:7" x14ac:dyDescent="0.3">
      <c r="A710" s="13" t="s">
        <v>595</v>
      </c>
      <c r="B710" s="13" t="s">
        <v>15</v>
      </c>
      <c r="C710" s="13" t="s">
        <v>215</v>
      </c>
      <c r="D710" s="14" t="s">
        <v>596</v>
      </c>
      <c r="E710" s="15">
        <v>22</v>
      </c>
      <c r="F710" s="15">
        <v>31.59</v>
      </c>
      <c r="G710" s="16">
        <f>ROUND(E710*F710,2)</f>
        <v>694.98</v>
      </c>
    </row>
    <row r="711" spans="1:7" x14ac:dyDescent="0.3">
      <c r="A711" s="13" t="s">
        <v>296</v>
      </c>
      <c r="B711" s="13" t="s">
        <v>15</v>
      </c>
      <c r="C711" s="13" t="s">
        <v>215</v>
      </c>
      <c r="D711" s="14" t="s">
        <v>297</v>
      </c>
      <c r="E711" s="15">
        <v>53</v>
      </c>
      <c r="F711" s="15">
        <v>50.07</v>
      </c>
      <c r="G711" s="16">
        <f>ROUND(E711*F711,2)</f>
        <v>2653.71</v>
      </c>
    </row>
    <row r="712" spans="1:7" x14ac:dyDescent="0.3">
      <c r="A712" s="13" t="s">
        <v>298</v>
      </c>
      <c r="B712" s="13" t="s">
        <v>15</v>
      </c>
      <c r="C712" s="13" t="s">
        <v>215</v>
      </c>
      <c r="D712" s="14" t="s">
        <v>299</v>
      </c>
      <c r="E712" s="15">
        <v>9</v>
      </c>
      <c r="F712" s="15">
        <v>42.74</v>
      </c>
      <c r="G712" s="16">
        <f>ROUND(E712*F712,2)</f>
        <v>384.66</v>
      </c>
    </row>
    <row r="713" spans="1:7" x14ac:dyDescent="0.3">
      <c r="A713" s="13" t="s">
        <v>300</v>
      </c>
      <c r="B713" s="13" t="s">
        <v>15</v>
      </c>
      <c r="C713" s="13" t="s">
        <v>215</v>
      </c>
      <c r="D713" s="14" t="s">
        <v>301</v>
      </c>
      <c r="E713" s="15">
        <v>36</v>
      </c>
      <c r="F713" s="15">
        <v>45.93</v>
      </c>
      <c r="G713" s="16">
        <f>ROUND(E713*F713,2)</f>
        <v>1653.48</v>
      </c>
    </row>
    <row r="714" spans="1:7" x14ac:dyDescent="0.3">
      <c r="A714" s="13" t="s">
        <v>302</v>
      </c>
      <c r="B714" s="13" t="s">
        <v>15</v>
      </c>
      <c r="C714" s="13" t="s">
        <v>215</v>
      </c>
      <c r="D714" s="14" t="s">
        <v>303</v>
      </c>
      <c r="E714" s="15">
        <v>2</v>
      </c>
      <c r="F714" s="15">
        <v>51.73</v>
      </c>
      <c r="G714" s="16">
        <f>ROUND(E714*F714,2)</f>
        <v>103.46</v>
      </c>
    </row>
    <row r="715" spans="1:7" x14ac:dyDescent="0.3">
      <c r="A715" s="13" t="s">
        <v>304</v>
      </c>
      <c r="B715" s="13" t="s">
        <v>15</v>
      </c>
      <c r="C715" s="13" t="s">
        <v>215</v>
      </c>
      <c r="D715" s="14" t="s">
        <v>305</v>
      </c>
      <c r="E715" s="15">
        <v>3</v>
      </c>
      <c r="F715" s="15">
        <v>53.67</v>
      </c>
      <c r="G715" s="16">
        <f>ROUND(E715*F715,2)</f>
        <v>161.01</v>
      </c>
    </row>
    <row r="716" spans="1:7" ht="31.2" x14ac:dyDescent="0.3">
      <c r="A716" s="13" t="s">
        <v>306</v>
      </c>
      <c r="B716" s="13" t="s">
        <v>15</v>
      </c>
      <c r="C716" s="13" t="s">
        <v>215</v>
      </c>
      <c r="D716" s="14" t="s">
        <v>307</v>
      </c>
      <c r="E716" s="15">
        <v>66</v>
      </c>
      <c r="F716" s="15">
        <v>61.18</v>
      </c>
      <c r="G716" s="16">
        <f>ROUND(E716*F716,2)</f>
        <v>4037.88</v>
      </c>
    </row>
    <row r="717" spans="1:7" ht="31.2" x14ac:dyDescent="0.3">
      <c r="A717" s="13" t="s">
        <v>308</v>
      </c>
      <c r="B717" s="13" t="s">
        <v>15</v>
      </c>
      <c r="C717" s="13" t="s">
        <v>215</v>
      </c>
      <c r="D717" s="14" t="s">
        <v>309</v>
      </c>
      <c r="E717" s="15">
        <v>11</v>
      </c>
      <c r="F717" s="15">
        <v>84.28</v>
      </c>
      <c r="G717" s="16">
        <f>ROUND(E717*F717,2)</f>
        <v>927.08</v>
      </c>
    </row>
    <row r="718" spans="1:7" x14ac:dyDescent="0.3">
      <c r="A718" s="13" t="s">
        <v>314</v>
      </c>
      <c r="B718" s="13" t="s">
        <v>15</v>
      </c>
      <c r="C718" s="13" t="s">
        <v>215</v>
      </c>
      <c r="D718" s="14" t="s">
        <v>315</v>
      </c>
      <c r="E718" s="15">
        <v>0</v>
      </c>
      <c r="F718" s="15">
        <v>55.56</v>
      </c>
      <c r="G718" s="16">
        <f>ROUND(E718*F718,2)</f>
        <v>0</v>
      </c>
    </row>
    <row r="719" spans="1:7" x14ac:dyDescent="0.3">
      <c r="A719" s="13" t="s">
        <v>312</v>
      </c>
      <c r="B719" s="13" t="s">
        <v>15</v>
      </c>
      <c r="C719" s="13" t="s">
        <v>215</v>
      </c>
      <c r="D719" s="14" t="s">
        <v>313</v>
      </c>
      <c r="E719" s="15">
        <v>1</v>
      </c>
      <c r="F719" s="15">
        <v>237.39</v>
      </c>
      <c r="G719" s="16">
        <f>ROUND(E719*F719,2)</f>
        <v>237.39</v>
      </c>
    </row>
    <row r="720" spans="1:7" x14ac:dyDescent="0.3">
      <c r="A720" s="13" t="s">
        <v>415</v>
      </c>
      <c r="B720" s="13" t="s">
        <v>15</v>
      </c>
      <c r="C720" s="13" t="s">
        <v>215</v>
      </c>
      <c r="D720" s="14" t="s">
        <v>416</v>
      </c>
      <c r="E720" s="15">
        <v>3</v>
      </c>
      <c r="F720" s="15">
        <v>438.83</v>
      </c>
      <c r="G720" s="16">
        <f>ROUND(E720*F720,2)</f>
        <v>1316.49</v>
      </c>
    </row>
    <row r="721" spans="1:7" x14ac:dyDescent="0.3">
      <c r="A721" s="17"/>
      <c r="B721" s="17"/>
      <c r="C721" s="17"/>
      <c r="D721" s="18" t="s">
        <v>597</v>
      </c>
      <c r="E721" s="15">
        <v>1</v>
      </c>
      <c r="F721" s="12">
        <f>SUM(G707:G720)</f>
        <v>12526.539999999999</v>
      </c>
      <c r="G721" s="12">
        <f>ROUND(F721*E721,2)</f>
        <v>12526.54</v>
      </c>
    </row>
    <row r="722" spans="1:7" ht="1.05" customHeight="1" x14ac:dyDescent="0.3">
      <c r="A722" s="20"/>
      <c r="B722" s="20"/>
      <c r="C722" s="20"/>
      <c r="D722" s="21"/>
      <c r="E722" s="20"/>
      <c r="F722" s="20"/>
      <c r="G722" s="20"/>
    </row>
    <row r="723" spans="1:7" x14ac:dyDescent="0.3">
      <c r="A723" s="17"/>
      <c r="B723" s="17"/>
      <c r="C723" s="17"/>
      <c r="D723" s="18" t="s">
        <v>598</v>
      </c>
      <c r="E723" s="19">
        <v>1</v>
      </c>
      <c r="F723" s="12">
        <f>G587+G592+G603+G610+G614+G619+G627+G631+G638+G644+G651+G704+G721</f>
        <v>278980.07</v>
      </c>
      <c r="G723" s="12">
        <f>ROUND(F723*E723,2)</f>
        <v>278980.07</v>
      </c>
    </row>
    <row r="724" spans="1:7" ht="1.05" customHeight="1" x14ac:dyDescent="0.3">
      <c r="A724" s="20"/>
      <c r="B724" s="20"/>
      <c r="C724" s="20"/>
      <c r="D724" s="21"/>
      <c r="E724" s="20"/>
      <c r="F724" s="20"/>
      <c r="G724" s="20"/>
    </row>
    <row r="725" spans="1:7" x14ac:dyDescent="0.3">
      <c r="A725" s="9" t="s">
        <v>599</v>
      </c>
      <c r="B725" s="9" t="s">
        <v>11</v>
      </c>
      <c r="C725" s="9" t="s">
        <v>12</v>
      </c>
      <c r="D725" s="10" t="s">
        <v>600</v>
      </c>
      <c r="E725" s="11">
        <f>E879</f>
        <v>1</v>
      </c>
      <c r="F725" s="12">
        <f>F879</f>
        <v>255369.78000000003</v>
      </c>
      <c r="G725" s="12">
        <f>G879</f>
        <v>255369.78</v>
      </c>
    </row>
    <row r="726" spans="1:7" x14ac:dyDescent="0.3">
      <c r="A726" s="22" t="s">
        <v>601</v>
      </c>
      <c r="B726" s="22" t="s">
        <v>11</v>
      </c>
      <c r="C726" s="22" t="s">
        <v>12</v>
      </c>
      <c r="D726" s="23" t="s">
        <v>57</v>
      </c>
      <c r="E726" s="12">
        <f>E745</f>
        <v>1</v>
      </c>
      <c r="F726" s="12">
        <f>F745</f>
        <v>67661.09</v>
      </c>
      <c r="G726" s="12">
        <f>G745</f>
        <v>67661.09</v>
      </c>
    </row>
    <row r="727" spans="1:7" x14ac:dyDescent="0.3">
      <c r="A727" s="13" t="s">
        <v>81</v>
      </c>
      <c r="B727" s="13" t="s">
        <v>15</v>
      </c>
      <c r="C727" s="13" t="s">
        <v>60</v>
      </c>
      <c r="D727" s="14" t="s">
        <v>82</v>
      </c>
      <c r="E727" s="15">
        <v>8.18</v>
      </c>
      <c r="F727" s="15">
        <v>572.66999999999996</v>
      </c>
      <c r="G727" s="16">
        <f>ROUND(E727*F727,2)</f>
        <v>4684.4399999999996</v>
      </c>
    </row>
    <row r="728" spans="1:7" x14ac:dyDescent="0.3">
      <c r="A728" s="13" t="s">
        <v>83</v>
      </c>
      <c r="B728" s="13" t="s">
        <v>15</v>
      </c>
      <c r="C728" s="13" t="s">
        <v>60</v>
      </c>
      <c r="D728" s="14" t="s">
        <v>84</v>
      </c>
      <c r="E728" s="15">
        <v>4.0599999999999996</v>
      </c>
      <c r="F728" s="15">
        <v>545.57000000000005</v>
      </c>
      <c r="G728" s="16">
        <f>ROUND(E728*F728,2)</f>
        <v>2215.0100000000002</v>
      </c>
    </row>
    <row r="729" spans="1:7" ht="31.2" x14ac:dyDescent="0.3">
      <c r="A729" s="13" t="s">
        <v>97</v>
      </c>
      <c r="B729" s="13" t="s">
        <v>15</v>
      </c>
      <c r="C729" s="13" t="s">
        <v>60</v>
      </c>
      <c r="D729" s="14" t="s">
        <v>98</v>
      </c>
      <c r="E729" s="15">
        <v>0</v>
      </c>
      <c r="F729" s="15">
        <v>1055.26</v>
      </c>
      <c r="G729" s="16">
        <f>ROUND(E729*F729,2)</f>
        <v>0</v>
      </c>
    </row>
    <row r="730" spans="1:7" ht="31.2" x14ac:dyDescent="0.3">
      <c r="A730" s="13" t="s">
        <v>99</v>
      </c>
      <c r="B730" s="13" t="s">
        <v>15</v>
      </c>
      <c r="C730" s="13" t="s">
        <v>60</v>
      </c>
      <c r="D730" s="14" t="s">
        <v>100</v>
      </c>
      <c r="E730" s="15">
        <v>5.18</v>
      </c>
      <c r="F730" s="15">
        <v>779.5</v>
      </c>
      <c r="G730" s="16">
        <f>ROUND(E730*F730,2)</f>
        <v>4037.81</v>
      </c>
    </row>
    <row r="731" spans="1:7" ht="31.2" x14ac:dyDescent="0.3">
      <c r="A731" s="13" t="s">
        <v>101</v>
      </c>
      <c r="B731" s="13" t="s">
        <v>15</v>
      </c>
      <c r="C731" s="13" t="s">
        <v>60</v>
      </c>
      <c r="D731" s="14" t="s">
        <v>102</v>
      </c>
      <c r="E731" s="15">
        <v>6.48</v>
      </c>
      <c r="F731" s="15">
        <v>1077.93</v>
      </c>
      <c r="G731" s="16">
        <f>ROUND(E731*F731,2)</f>
        <v>6984.99</v>
      </c>
    </row>
    <row r="732" spans="1:7" ht="31.2" x14ac:dyDescent="0.3">
      <c r="A732" s="13" t="s">
        <v>602</v>
      </c>
      <c r="B732" s="13" t="s">
        <v>15</v>
      </c>
      <c r="C732" s="13" t="s">
        <v>60</v>
      </c>
      <c r="D732" s="14" t="s">
        <v>603</v>
      </c>
      <c r="E732" s="15">
        <v>4.8600000000000003</v>
      </c>
      <c r="F732" s="15">
        <v>807.49</v>
      </c>
      <c r="G732" s="16">
        <f>ROUND(E732*F732,2)</f>
        <v>3924.4</v>
      </c>
    </row>
    <row r="733" spans="1:7" x14ac:dyDescent="0.3">
      <c r="A733" s="13" t="s">
        <v>105</v>
      </c>
      <c r="B733" s="13" t="s">
        <v>15</v>
      </c>
      <c r="C733" s="13" t="s">
        <v>60</v>
      </c>
      <c r="D733" s="14" t="s">
        <v>106</v>
      </c>
      <c r="E733" s="15">
        <v>5.26</v>
      </c>
      <c r="F733" s="15">
        <v>476.95</v>
      </c>
      <c r="G733" s="16">
        <f>ROUND(E733*F733,2)</f>
        <v>2508.7600000000002</v>
      </c>
    </row>
    <row r="734" spans="1:7" x14ac:dyDescent="0.3">
      <c r="A734" s="13" t="s">
        <v>321</v>
      </c>
      <c r="B734" s="13" t="s">
        <v>15</v>
      </c>
      <c r="C734" s="13" t="s">
        <v>60</v>
      </c>
      <c r="D734" s="14" t="s">
        <v>322</v>
      </c>
      <c r="E734" s="15">
        <v>3.43</v>
      </c>
      <c r="F734" s="15">
        <v>713.28</v>
      </c>
      <c r="G734" s="16">
        <f>ROUND(E734*F734,2)</f>
        <v>2446.5500000000002</v>
      </c>
    </row>
    <row r="735" spans="1:7" x14ac:dyDescent="0.3">
      <c r="A735" s="13" t="s">
        <v>323</v>
      </c>
      <c r="B735" s="13" t="s">
        <v>15</v>
      </c>
      <c r="C735" s="13" t="s">
        <v>60</v>
      </c>
      <c r="D735" s="14" t="s">
        <v>324</v>
      </c>
      <c r="E735" s="15">
        <v>3.02</v>
      </c>
      <c r="F735" s="15">
        <v>702.51</v>
      </c>
      <c r="G735" s="16">
        <f>ROUND(E735*F735,2)</f>
        <v>2121.58</v>
      </c>
    </row>
    <row r="736" spans="1:7" x14ac:dyDescent="0.3">
      <c r="A736" s="13" t="s">
        <v>325</v>
      </c>
      <c r="B736" s="13" t="s">
        <v>15</v>
      </c>
      <c r="C736" s="13" t="s">
        <v>60</v>
      </c>
      <c r="D736" s="14" t="s">
        <v>326</v>
      </c>
      <c r="E736" s="15">
        <v>3.02</v>
      </c>
      <c r="F736" s="15">
        <v>680.27</v>
      </c>
      <c r="G736" s="16">
        <f>ROUND(E736*F736,2)</f>
        <v>2054.42</v>
      </c>
    </row>
    <row r="737" spans="1:7" x14ac:dyDescent="0.3">
      <c r="A737" s="13" t="s">
        <v>327</v>
      </c>
      <c r="B737" s="13" t="s">
        <v>15</v>
      </c>
      <c r="C737" s="13" t="s">
        <v>60</v>
      </c>
      <c r="D737" s="14" t="s">
        <v>328</v>
      </c>
      <c r="E737" s="15">
        <v>3.53</v>
      </c>
      <c r="F737" s="15">
        <v>693.2</v>
      </c>
      <c r="G737" s="16">
        <f>ROUND(E737*F737,2)</f>
        <v>2447</v>
      </c>
    </row>
    <row r="738" spans="1:7" x14ac:dyDescent="0.3">
      <c r="A738" s="13" t="s">
        <v>329</v>
      </c>
      <c r="B738" s="13" t="s">
        <v>15</v>
      </c>
      <c r="C738" s="13" t="s">
        <v>60</v>
      </c>
      <c r="D738" s="14" t="s">
        <v>330</v>
      </c>
      <c r="E738" s="15">
        <v>3.59</v>
      </c>
      <c r="F738" s="15">
        <v>693.4</v>
      </c>
      <c r="G738" s="16">
        <f>ROUND(E738*F738,2)</f>
        <v>2489.31</v>
      </c>
    </row>
    <row r="739" spans="1:7" x14ac:dyDescent="0.3">
      <c r="A739" s="13" t="s">
        <v>331</v>
      </c>
      <c r="B739" s="13" t="s">
        <v>15</v>
      </c>
      <c r="C739" s="13" t="s">
        <v>60</v>
      </c>
      <c r="D739" s="14" t="s">
        <v>332</v>
      </c>
      <c r="E739" s="15">
        <v>3.39</v>
      </c>
      <c r="F739" s="15">
        <v>700.15</v>
      </c>
      <c r="G739" s="16">
        <f>ROUND(E739*F739,2)</f>
        <v>2373.5100000000002</v>
      </c>
    </row>
    <row r="740" spans="1:7" x14ac:dyDescent="0.3">
      <c r="A740" s="13" t="s">
        <v>604</v>
      </c>
      <c r="B740" s="13" t="s">
        <v>15</v>
      </c>
      <c r="C740" s="13" t="s">
        <v>60</v>
      </c>
      <c r="D740" s="14" t="s">
        <v>605</v>
      </c>
      <c r="E740" s="15">
        <v>1.81</v>
      </c>
      <c r="F740" s="15">
        <v>646.07000000000005</v>
      </c>
      <c r="G740" s="16">
        <f>ROUND(E740*F740,2)</f>
        <v>1169.3900000000001</v>
      </c>
    </row>
    <row r="741" spans="1:7" x14ac:dyDescent="0.3">
      <c r="A741" s="13" t="s">
        <v>333</v>
      </c>
      <c r="B741" s="13" t="s">
        <v>15</v>
      </c>
      <c r="C741" s="13" t="s">
        <v>60</v>
      </c>
      <c r="D741" s="14" t="s">
        <v>334</v>
      </c>
      <c r="E741" s="15">
        <v>3.43</v>
      </c>
      <c r="F741" s="15">
        <v>693.4</v>
      </c>
      <c r="G741" s="16">
        <f>ROUND(E741*F741,2)</f>
        <v>2378.36</v>
      </c>
    </row>
    <row r="742" spans="1:7" ht="31.2" x14ac:dyDescent="0.3">
      <c r="A742" s="13" t="s">
        <v>432</v>
      </c>
      <c r="B742" s="13" t="s">
        <v>15</v>
      </c>
      <c r="C742" s="13" t="s">
        <v>60</v>
      </c>
      <c r="D742" s="14" t="s">
        <v>433</v>
      </c>
      <c r="E742" s="15">
        <v>0.47</v>
      </c>
      <c r="F742" s="15">
        <v>700.07</v>
      </c>
      <c r="G742" s="16">
        <f>ROUND(E742*F742,2)</f>
        <v>329.03</v>
      </c>
    </row>
    <row r="743" spans="1:7" x14ac:dyDescent="0.3">
      <c r="A743" s="13" t="s">
        <v>335</v>
      </c>
      <c r="B743" s="13" t="s">
        <v>15</v>
      </c>
      <c r="C743" s="13" t="s">
        <v>91</v>
      </c>
      <c r="D743" s="14" t="s">
        <v>336</v>
      </c>
      <c r="E743" s="15">
        <v>10</v>
      </c>
      <c r="F743" s="15">
        <v>367.46</v>
      </c>
      <c r="G743" s="16">
        <f>ROUND(E743*F743,2)</f>
        <v>3674.6</v>
      </c>
    </row>
    <row r="744" spans="1:7" x14ac:dyDescent="0.3">
      <c r="A744" s="13" t="s">
        <v>606</v>
      </c>
      <c r="B744" s="13" t="s">
        <v>15</v>
      </c>
      <c r="C744" s="13" t="s">
        <v>60</v>
      </c>
      <c r="D744" s="14" t="s">
        <v>607</v>
      </c>
      <c r="E744" s="15">
        <v>44.34</v>
      </c>
      <c r="F744" s="15">
        <v>492.15</v>
      </c>
      <c r="G744" s="16">
        <f>ROUND(E744*F744,2)</f>
        <v>21821.93</v>
      </c>
    </row>
    <row r="745" spans="1:7" x14ac:dyDescent="0.3">
      <c r="A745" s="17"/>
      <c r="B745" s="17"/>
      <c r="C745" s="17"/>
      <c r="D745" s="18" t="s">
        <v>608</v>
      </c>
      <c r="E745" s="15">
        <v>1</v>
      </c>
      <c r="F745" s="12">
        <f>SUM(G727:G744)</f>
        <v>67661.09</v>
      </c>
      <c r="G745" s="12">
        <f>ROUND(F745*E745,2)</f>
        <v>67661.09</v>
      </c>
    </row>
    <row r="746" spans="1:7" ht="1.05" customHeight="1" x14ac:dyDescent="0.3">
      <c r="A746" s="20"/>
      <c r="B746" s="20"/>
      <c r="C746" s="20"/>
      <c r="D746" s="21"/>
      <c r="E746" s="20"/>
      <c r="F746" s="20"/>
      <c r="G746" s="20"/>
    </row>
    <row r="747" spans="1:7" x14ac:dyDescent="0.3">
      <c r="A747" s="22" t="s">
        <v>609</v>
      </c>
      <c r="B747" s="22" t="s">
        <v>11</v>
      </c>
      <c r="C747" s="22" t="s">
        <v>12</v>
      </c>
      <c r="D747" s="23" t="s">
        <v>109</v>
      </c>
      <c r="E747" s="12">
        <f>E750</f>
        <v>1</v>
      </c>
      <c r="F747" s="12">
        <f>F750</f>
        <v>19007.89</v>
      </c>
      <c r="G747" s="12">
        <f>G750</f>
        <v>19007.89</v>
      </c>
    </row>
    <row r="748" spans="1:7" ht="31.2" x14ac:dyDescent="0.3">
      <c r="A748" s="13" t="s">
        <v>110</v>
      </c>
      <c r="B748" s="13" t="s">
        <v>15</v>
      </c>
      <c r="C748" s="13" t="s">
        <v>112</v>
      </c>
      <c r="D748" s="14" t="s">
        <v>111</v>
      </c>
      <c r="E748" s="15">
        <v>669.05</v>
      </c>
      <c r="F748" s="15">
        <v>27.41</v>
      </c>
      <c r="G748" s="16">
        <f>ROUND(E748*F748,2)</f>
        <v>18338.66</v>
      </c>
    </row>
    <row r="749" spans="1:7" ht="31.2" x14ac:dyDescent="0.3">
      <c r="A749" s="13" t="s">
        <v>499</v>
      </c>
      <c r="B749" s="13" t="s">
        <v>15</v>
      </c>
      <c r="C749" s="13" t="s">
        <v>112</v>
      </c>
      <c r="D749" s="14" t="s">
        <v>500</v>
      </c>
      <c r="E749" s="15">
        <v>32.19</v>
      </c>
      <c r="F749" s="15">
        <v>20.79</v>
      </c>
      <c r="G749" s="16">
        <f>ROUND(E749*F749,2)</f>
        <v>669.23</v>
      </c>
    </row>
    <row r="750" spans="1:7" x14ac:dyDescent="0.3">
      <c r="A750" s="17"/>
      <c r="B750" s="17"/>
      <c r="C750" s="17"/>
      <c r="D750" s="18" t="s">
        <v>610</v>
      </c>
      <c r="E750" s="15">
        <v>1</v>
      </c>
      <c r="F750" s="12">
        <f>SUM(G748:G749)</f>
        <v>19007.89</v>
      </c>
      <c r="G750" s="12">
        <f>ROUND(F750*E750,2)</f>
        <v>19007.89</v>
      </c>
    </row>
    <row r="751" spans="1:7" ht="1.05" customHeight="1" x14ac:dyDescent="0.3">
      <c r="A751" s="20"/>
      <c r="B751" s="20"/>
      <c r="C751" s="20"/>
      <c r="D751" s="21"/>
      <c r="E751" s="20"/>
      <c r="F751" s="20"/>
      <c r="G751" s="20"/>
    </row>
    <row r="752" spans="1:7" x14ac:dyDescent="0.3">
      <c r="A752" s="22" t="s">
        <v>611</v>
      </c>
      <c r="B752" s="22" t="s">
        <v>11</v>
      </c>
      <c r="C752" s="22" t="s">
        <v>12</v>
      </c>
      <c r="D752" s="23" t="s">
        <v>115</v>
      </c>
      <c r="E752" s="12">
        <f>E761</f>
        <v>1</v>
      </c>
      <c r="F752" s="12">
        <f>F761</f>
        <v>30062.339999999997</v>
      </c>
      <c r="G752" s="12">
        <f>G761</f>
        <v>30062.34</v>
      </c>
    </row>
    <row r="753" spans="1:7" x14ac:dyDescent="0.3">
      <c r="A753" s="13" t="s">
        <v>116</v>
      </c>
      <c r="B753" s="13" t="s">
        <v>15</v>
      </c>
      <c r="C753" s="13" t="s">
        <v>112</v>
      </c>
      <c r="D753" s="14" t="s">
        <v>117</v>
      </c>
      <c r="E753" s="15">
        <v>319.33999999999997</v>
      </c>
      <c r="F753" s="15">
        <v>1.96</v>
      </c>
      <c r="G753" s="16">
        <f>ROUND(E753*F753,2)</f>
        <v>625.91</v>
      </c>
    </row>
    <row r="754" spans="1:7" ht="31.2" x14ac:dyDescent="0.3">
      <c r="A754" s="13" t="s">
        <v>118</v>
      </c>
      <c r="B754" s="13" t="s">
        <v>15</v>
      </c>
      <c r="C754" s="13" t="s">
        <v>112</v>
      </c>
      <c r="D754" s="14" t="s">
        <v>119</v>
      </c>
      <c r="E754" s="15">
        <v>1274.56</v>
      </c>
      <c r="F754" s="15">
        <v>8.4</v>
      </c>
      <c r="G754" s="16">
        <f>ROUND(E754*F754,2)</f>
        <v>10706.3</v>
      </c>
    </row>
    <row r="755" spans="1:7" x14ac:dyDescent="0.3">
      <c r="A755" s="13" t="s">
        <v>503</v>
      </c>
      <c r="B755" s="13" t="s">
        <v>15</v>
      </c>
      <c r="C755" s="13" t="s">
        <v>112</v>
      </c>
      <c r="D755" s="14" t="s">
        <v>504</v>
      </c>
      <c r="E755" s="15">
        <v>1720.08</v>
      </c>
      <c r="F755" s="15">
        <v>3.02</v>
      </c>
      <c r="G755" s="16">
        <f>ROUND(E755*F755,2)</f>
        <v>5194.6400000000003</v>
      </c>
    </row>
    <row r="756" spans="1:7" ht="31.2" x14ac:dyDescent="0.3">
      <c r="A756" s="13" t="s">
        <v>120</v>
      </c>
      <c r="B756" s="13" t="s">
        <v>15</v>
      </c>
      <c r="C756" s="13" t="s">
        <v>112</v>
      </c>
      <c r="D756" s="14" t="s">
        <v>121</v>
      </c>
      <c r="E756" s="15">
        <v>206.66</v>
      </c>
      <c r="F756" s="15">
        <v>8.4700000000000006</v>
      </c>
      <c r="G756" s="16">
        <f>ROUND(E756*F756,2)</f>
        <v>1750.41</v>
      </c>
    </row>
    <row r="757" spans="1:7" ht="31.2" x14ac:dyDescent="0.3">
      <c r="A757" s="13" t="s">
        <v>122</v>
      </c>
      <c r="B757" s="13" t="s">
        <v>15</v>
      </c>
      <c r="C757" s="13" t="s">
        <v>112</v>
      </c>
      <c r="D757" s="14" t="s">
        <v>123</v>
      </c>
      <c r="E757" s="15">
        <v>445.52</v>
      </c>
      <c r="F757" s="15">
        <v>11.87</v>
      </c>
      <c r="G757" s="16">
        <f>ROUND(E757*F757,2)</f>
        <v>5288.32</v>
      </c>
    </row>
    <row r="758" spans="1:7" ht="31.2" x14ac:dyDescent="0.3">
      <c r="A758" s="13" t="s">
        <v>124</v>
      </c>
      <c r="B758" s="13" t="s">
        <v>15</v>
      </c>
      <c r="C758" s="13" t="s">
        <v>112</v>
      </c>
      <c r="D758" s="14" t="s">
        <v>125</v>
      </c>
      <c r="E758" s="15">
        <v>97.2</v>
      </c>
      <c r="F758" s="15">
        <v>9.4600000000000009</v>
      </c>
      <c r="G758" s="16">
        <f>ROUND(E758*F758,2)</f>
        <v>919.51</v>
      </c>
    </row>
    <row r="759" spans="1:7" x14ac:dyDescent="0.3">
      <c r="A759" s="13" t="s">
        <v>126</v>
      </c>
      <c r="B759" s="13" t="s">
        <v>15</v>
      </c>
      <c r="C759" s="13" t="s">
        <v>28</v>
      </c>
      <c r="D759" s="14" t="s">
        <v>127</v>
      </c>
      <c r="E759" s="15">
        <v>902.38</v>
      </c>
      <c r="F759" s="15">
        <v>4.16</v>
      </c>
      <c r="G759" s="16">
        <f>ROUND(E759*F759,2)</f>
        <v>3753.9</v>
      </c>
    </row>
    <row r="760" spans="1:7" x14ac:dyDescent="0.3">
      <c r="A760" s="13" t="s">
        <v>128</v>
      </c>
      <c r="B760" s="13" t="s">
        <v>15</v>
      </c>
      <c r="C760" s="13" t="s">
        <v>28</v>
      </c>
      <c r="D760" s="14" t="s">
        <v>129</v>
      </c>
      <c r="E760" s="15">
        <v>404.29</v>
      </c>
      <c r="F760" s="15">
        <v>4.51</v>
      </c>
      <c r="G760" s="16">
        <f>ROUND(E760*F760,2)</f>
        <v>1823.35</v>
      </c>
    </row>
    <row r="761" spans="1:7" x14ac:dyDescent="0.3">
      <c r="A761" s="17"/>
      <c r="B761" s="17"/>
      <c r="C761" s="17"/>
      <c r="D761" s="18" t="s">
        <v>612</v>
      </c>
      <c r="E761" s="15">
        <v>1</v>
      </c>
      <c r="F761" s="12">
        <f>SUM(G753:G760)</f>
        <v>30062.339999999997</v>
      </c>
      <c r="G761" s="12">
        <f>ROUND(F761*E761,2)</f>
        <v>30062.34</v>
      </c>
    </row>
    <row r="762" spans="1:7" ht="1.05" customHeight="1" x14ac:dyDescent="0.3">
      <c r="A762" s="20"/>
      <c r="B762" s="20"/>
      <c r="C762" s="20"/>
      <c r="D762" s="21"/>
      <c r="E762" s="20"/>
      <c r="F762" s="20"/>
      <c r="G762" s="20"/>
    </row>
    <row r="763" spans="1:7" x14ac:dyDescent="0.3">
      <c r="A763" s="22" t="s">
        <v>613</v>
      </c>
      <c r="B763" s="22" t="s">
        <v>11</v>
      </c>
      <c r="C763" s="22" t="s">
        <v>12</v>
      </c>
      <c r="D763" s="23" t="s">
        <v>132</v>
      </c>
      <c r="E763" s="12">
        <f>E766</f>
        <v>1</v>
      </c>
      <c r="F763" s="12">
        <f>F766</f>
        <v>17162.07</v>
      </c>
      <c r="G763" s="12">
        <f>G766</f>
        <v>17162.07</v>
      </c>
    </row>
    <row r="764" spans="1:7" ht="31.2" x14ac:dyDescent="0.3">
      <c r="A764" s="13" t="s">
        <v>133</v>
      </c>
      <c r="B764" s="13" t="s">
        <v>15</v>
      </c>
      <c r="C764" s="13" t="s">
        <v>112</v>
      </c>
      <c r="D764" s="14" t="s">
        <v>134</v>
      </c>
      <c r="E764" s="15">
        <v>351.5</v>
      </c>
      <c r="F764" s="15">
        <v>42.32</v>
      </c>
      <c r="G764" s="16">
        <f>ROUND(E764*F764,2)</f>
        <v>14875.48</v>
      </c>
    </row>
    <row r="765" spans="1:7" ht="31.2" x14ac:dyDescent="0.3">
      <c r="A765" s="13" t="s">
        <v>135</v>
      </c>
      <c r="B765" s="13" t="s">
        <v>15</v>
      </c>
      <c r="C765" s="13" t="s">
        <v>28</v>
      </c>
      <c r="D765" s="14" t="s">
        <v>136</v>
      </c>
      <c r="E765" s="15">
        <v>394.92</v>
      </c>
      <c r="F765" s="15">
        <v>5.79</v>
      </c>
      <c r="G765" s="16">
        <f>ROUND(E765*F765,2)</f>
        <v>2286.59</v>
      </c>
    </row>
    <row r="766" spans="1:7" x14ac:dyDescent="0.3">
      <c r="A766" s="17"/>
      <c r="B766" s="17"/>
      <c r="C766" s="17"/>
      <c r="D766" s="18" t="s">
        <v>614</v>
      </c>
      <c r="E766" s="15">
        <v>1</v>
      </c>
      <c r="F766" s="12">
        <f>SUM(G764:G765)</f>
        <v>17162.07</v>
      </c>
      <c r="G766" s="12">
        <f>ROUND(F766*E766,2)</f>
        <v>17162.07</v>
      </c>
    </row>
    <row r="767" spans="1:7" ht="1.05" customHeight="1" x14ac:dyDescent="0.3">
      <c r="A767" s="20"/>
      <c r="B767" s="20"/>
      <c r="C767" s="20"/>
      <c r="D767" s="21"/>
      <c r="E767" s="20"/>
      <c r="F767" s="20"/>
      <c r="G767" s="20"/>
    </row>
    <row r="768" spans="1:7" x14ac:dyDescent="0.3">
      <c r="A768" s="22" t="s">
        <v>615</v>
      </c>
      <c r="B768" s="22" t="s">
        <v>11</v>
      </c>
      <c r="C768" s="22" t="s">
        <v>12</v>
      </c>
      <c r="D768" s="23" t="s">
        <v>347</v>
      </c>
      <c r="E768" s="12">
        <f>E770</f>
        <v>1</v>
      </c>
      <c r="F768" s="12">
        <f>F770</f>
        <v>5980.03</v>
      </c>
      <c r="G768" s="12">
        <f>G770</f>
        <v>5980.03</v>
      </c>
    </row>
    <row r="769" spans="1:7" ht="31.2" x14ac:dyDescent="0.3">
      <c r="A769" s="13" t="s">
        <v>348</v>
      </c>
      <c r="B769" s="13" t="s">
        <v>15</v>
      </c>
      <c r="C769" s="13" t="s">
        <v>22</v>
      </c>
      <c r="D769" s="14" t="s">
        <v>349</v>
      </c>
      <c r="E769" s="15">
        <v>138.78</v>
      </c>
      <c r="F769" s="15">
        <v>43.09</v>
      </c>
      <c r="G769" s="16">
        <f>ROUND(E769*F769,2)</f>
        <v>5980.03</v>
      </c>
    </row>
    <row r="770" spans="1:7" x14ac:dyDescent="0.3">
      <c r="A770" s="17"/>
      <c r="B770" s="17"/>
      <c r="C770" s="17"/>
      <c r="D770" s="18" t="s">
        <v>616</v>
      </c>
      <c r="E770" s="15">
        <v>1</v>
      </c>
      <c r="F770" s="12">
        <f>G769</f>
        <v>5980.03</v>
      </c>
      <c r="G770" s="12">
        <f>ROUND(F770*E770,2)</f>
        <v>5980.03</v>
      </c>
    </row>
    <row r="771" spans="1:7" ht="1.05" customHeight="1" x14ac:dyDescent="0.3">
      <c r="A771" s="20"/>
      <c r="B771" s="20"/>
      <c r="C771" s="20"/>
      <c r="D771" s="21"/>
      <c r="E771" s="20"/>
      <c r="F771" s="20"/>
      <c r="G771" s="20"/>
    </row>
    <row r="772" spans="1:7" x14ac:dyDescent="0.3">
      <c r="A772" s="22" t="s">
        <v>617</v>
      </c>
      <c r="B772" s="22" t="s">
        <v>11</v>
      </c>
      <c r="C772" s="22" t="s">
        <v>12</v>
      </c>
      <c r="D772" s="23" t="s">
        <v>141</v>
      </c>
      <c r="E772" s="12">
        <f>E775</f>
        <v>1</v>
      </c>
      <c r="F772" s="12">
        <f>F775</f>
        <v>3149.3900000000003</v>
      </c>
      <c r="G772" s="12">
        <f>G775</f>
        <v>3149.39</v>
      </c>
    </row>
    <row r="773" spans="1:7" ht="31.2" x14ac:dyDescent="0.3">
      <c r="A773" s="13" t="s">
        <v>142</v>
      </c>
      <c r="B773" s="13" t="s">
        <v>15</v>
      </c>
      <c r="C773" s="13" t="s">
        <v>28</v>
      </c>
      <c r="D773" s="14" t="s">
        <v>143</v>
      </c>
      <c r="E773" s="15">
        <v>46.8</v>
      </c>
      <c r="F773" s="15">
        <v>61.92</v>
      </c>
      <c r="G773" s="16">
        <f>ROUND(E773*F773,2)</f>
        <v>2897.86</v>
      </c>
    </row>
    <row r="774" spans="1:7" x14ac:dyDescent="0.3">
      <c r="A774" s="13" t="s">
        <v>144</v>
      </c>
      <c r="B774" s="13" t="s">
        <v>15</v>
      </c>
      <c r="C774" s="13" t="s">
        <v>112</v>
      </c>
      <c r="D774" s="14" t="s">
        <v>145</v>
      </c>
      <c r="E774" s="15">
        <v>6.54</v>
      </c>
      <c r="F774" s="15">
        <v>38.46</v>
      </c>
      <c r="G774" s="16">
        <f>ROUND(E774*F774,2)</f>
        <v>251.53</v>
      </c>
    </row>
    <row r="775" spans="1:7" x14ac:dyDescent="0.3">
      <c r="A775" s="17"/>
      <c r="B775" s="17"/>
      <c r="C775" s="17"/>
      <c r="D775" s="18" t="s">
        <v>618</v>
      </c>
      <c r="E775" s="15">
        <v>1</v>
      </c>
      <c r="F775" s="12">
        <f>SUM(G773:G774)</f>
        <v>3149.3900000000003</v>
      </c>
      <c r="G775" s="12">
        <f>ROUND(F775*E775,2)</f>
        <v>3149.39</v>
      </c>
    </row>
    <row r="776" spans="1:7" ht="1.05" customHeight="1" x14ac:dyDescent="0.3">
      <c r="A776" s="20"/>
      <c r="B776" s="20"/>
      <c r="C776" s="20"/>
      <c r="D776" s="21"/>
      <c r="E776" s="20"/>
      <c r="F776" s="20"/>
      <c r="G776" s="20"/>
    </row>
    <row r="777" spans="1:7" x14ac:dyDescent="0.3">
      <c r="A777" s="22" t="s">
        <v>619</v>
      </c>
      <c r="B777" s="22" t="s">
        <v>11</v>
      </c>
      <c r="C777" s="22" t="s">
        <v>12</v>
      </c>
      <c r="D777" s="23" t="s">
        <v>148</v>
      </c>
      <c r="E777" s="12">
        <f>E783</f>
        <v>1</v>
      </c>
      <c r="F777" s="12">
        <f>F783</f>
        <v>28504.5</v>
      </c>
      <c r="G777" s="12">
        <f>G783</f>
        <v>28504.5</v>
      </c>
    </row>
    <row r="778" spans="1:7" ht="31.2" x14ac:dyDescent="0.3">
      <c r="A778" s="13" t="s">
        <v>149</v>
      </c>
      <c r="B778" s="13" t="s">
        <v>15</v>
      </c>
      <c r="C778" s="13" t="s">
        <v>151</v>
      </c>
      <c r="D778" s="14" t="s">
        <v>150</v>
      </c>
      <c r="E778" s="15">
        <v>1</v>
      </c>
      <c r="F778" s="15">
        <v>249.6</v>
      </c>
      <c r="G778" s="16">
        <f>ROUND(E778*F778,2)</f>
        <v>249.6</v>
      </c>
    </row>
    <row r="779" spans="1:7" ht="31.2" x14ac:dyDescent="0.3">
      <c r="A779" s="13" t="s">
        <v>152</v>
      </c>
      <c r="B779" s="13" t="s">
        <v>15</v>
      </c>
      <c r="C779" s="13" t="s">
        <v>151</v>
      </c>
      <c r="D779" s="14" t="s">
        <v>153</v>
      </c>
      <c r="E779" s="15">
        <v>2</v>
      </c>
      <c r="F779" s="15">
        <v>424.61</v>
      </c>
      <c r="G779" s="16">
        <f>ROUND(E779*F779,2)</f>
        <v>849.22</v>
      </c>
    </row>
    <row r="780" spans="1:7" ht="31.2" x14ac:dyDescent="0.3">
      <c r="A780" s="13" t="s">
        <v>517</v>
      </c>
      <c r="B780" s="13" t="s">
        <v>15</v>
      </c>
      <c r="C780" s="13" t="s">
        <v>151</v>
      </c>
      <c r="D780" s="14" t="s">
        <v>518</v>
      </c>
      <c r="E780" s="15">
        <v>5</v>
      </c>
      <c r="F780" s="15">
        <v>714</v>
      </c>
      <c r="G780" s="16">
        <f>ROUND(E780*F780,2)</f>
        <v>3570</v>
      </c>
    </row>
    <row r="781" spans="1:7" ht="31.2" x14ac:dyDescent="0.3">
      <c r="A781" s="13" t="s">
        <v>519</v>
      </c>
      <c r="B781" s="13" t="s">
        <v>15</v>
      </c>
      <c r="C781" s="13" t="s">
        <v>151</v>
      </c>
      <c r="D781" s="14" t="s">
        <v>520</v>
      </c>
      <c r="E781" s="15">
        <v>21</v>
      </c>
      <c r="F781" s="15">
        <v>538.34</v>
      </c>
      <c r="G781" s="16">
        <f>ROUND(E781*F781,2)</f>
        <v>11305.14</v>
      </c>
    </row>
    <row r="782" spans="1:7" ht="31.2" x14ac:dyDescent="0.3">
      <c r="A782" s="13" t="s">
        <v>521</v>
      </c>
      <c r="B782" s="13" t="s">
        <v>15</v>
      </c>
      <c r="C782" s="13" t="s">
        <v>363</v>
      </c>
      <c r="D782" s="14" t="s">
        <v>522</v>
      </c>
      <c r="E782" s="15">
        <v>537.33000000000004</v>
      </c>
      <c r="F782" s="15">
        <v>23.32</v>
      </c>
      <c r="G782" s="16">
        <f>ROUND(E782*F782,2)</f>
        <v>12530.54</v>
      </c>
    </row>
    <row r="783" spans="1:7" x14ac:dyDescent="0.3">
      <c r="A783" s="17"/>
      <c r="B783" s="17"/>
      <c r="C783" s="17"/>
      <c r="D783" s="18" t="s">
        <v>620</v>
      </c>
      <c r="E783" s="15">
        <v>1</v>
      </c>
      <c r="F783" s="12">
        <f>SUM(G778:G782)</f>
        <v>28504.5</v>
      </c>
      <c r="G783" s="12">
        <f>ROUND(F783*E783,2)</f>
        <v>28504.5</v>
      </c>
    </row>
    <row r="784" spans="1:7" ht="1.05" customHeight="1" x14ac:dyDescent="0.3">
      <c r="A784" s="20"/>
      <c r="B784" s="20"/>
      <c r="C784" s="20"/>
      <c r="D784" s="21"/>
      <c r="E784" s="20"/>
      <c r="F784" s="20"/>
      <c r="G784" s="20"/>
    </row>
    <row r="785" spans="1:7" x14ac:dyDescent="0.3">
      <c r="A785" s="22" t="s">
        <v>621</v>
      </c>
      <c r="B785" s="22" t="s">
        <v>11</v>
      </c>
      <c r="C785" s="22" t="s">
        <v>12</v>
      </c>
      <c r="D785" s="23" t="s">
        <v>360</v>
      </c>
      <c r="E785" s="12">
        <f>E787</f>
        <v>1</v>
      </c>
      <c r="F785" s="12">
        <f>F787</f>
        <v>5145.9799999999996</v>
      </c>
      <c r="G785" s="12">
        <f>G787</f>
        <v>5145.9799999999996</v>
      </c>
    </row>
    <row r="786" spans="1:7" ht="31.2" x14ac:dyDescent="0.3">
      <c r="A786" s="13" t="s">
        <v>361</v>
      </c>
      <c r="B786" s="13" t="s">
        <v>15</v>
      </c>
      <c r="C786" s="13" t="s">
        <v>363</v>
      </c>
      <c r="D786" s="14" t="s">
        <v>362</v>
      </c>
      <c r="E786" s="15">
        <v>578.85</v>
      </c>
      <c r="F786" s="15">
        <v>8.89</v>
      </c>
      <c r="G786" s="16">
        <f>ROUND(E786*F786,2)</f>
        <v>5145.9799999999996</v>
      </c>
    </row>
    <row r="787" spans="1:7" x14ac:dyDescent="0.3">
      <c r="A787" s="17"/>
      <c r="B787" s="17"/>
      <c r="C787" s="17"/>
      <c r="D787" s="18" t="s">
        <v>622</v>
      </c>
      <c r="E787" s="15">
        <v>1</v>
      </c>
      <c r="F787" s="12">
        <f>G786</f>
        <v>5145.9799999999996</v>
      </c>
      <c r="G787" s="12">
        <f>ROUND(F787*E787,2)</f>
        <v>5145.9799999999996</v>
      </c>
    </row>
    <row r="788" spans="1:7" ht="1.05" customHeight="1" x14ac:dyDescent="0.3">
      <c r="A788" s="20"/>
      <c r="B788" s="20"/>
      <c r="C788" s="20"/>
      <c r="D788" s="21"/>
      <c r="E788" s="20"/>
      <c r="F788" s="20"/>
      <c r="G788" s="20"/>
    </row>
    <row r="789" spans="1:7" x14ac:dyDescent="0.3">
      <c r="A789" s="22" t="s">
        <v>623</v>
      </c>
      <c r="B789" s="22" t="s">
        <v>11</v>
      </c>
      <c r="C789" s="22" t="s">
        <v>12</v>
      </c>
      <c r="D789" s="23" t="s">
        <v>156</v>
      </c>
      <c r="E789" s="12">
        <f>E794</f>
        <v>1</v>
      </c>
      <c r="F789" s="12">
        <f>F794</f>
        <v>19648.690000000002</v>
      </c>
      <c r="G789" s="12">
        <f>G794</f>
        <v>19648.689999999999</v>
      </c>
    </row>
    <row r="790" spans="1:7" x14ac:dyDescent="0.3">
      <c r="A790" s="13" t="s">
        <v>157</v>
      </c>
      <c r="B790" s="13" t="s">
        <v>15</v>
      </c>
      <c r="C790" s="13" t="s">
        <v>112</v>
      </c>
      <c r="D790" s="14" t="s">
        <v>158</v>
      </c>
      <c r="E790" s="15">
        <v>2084.58</v>
      </c>
      <c r="F790" s="15">
        <v>4.0199999999999996</v>
      </c>
      <c r="G790" s="16">
        <f>ROUND(E790*F790,2)</f>
        <v>8380.01</v>
      </c>
    </row>
    <row r="791" spans="1:7" x14ac:dyDescent="0.3">
      <c r="A791" s="13" t="s">
        <v>159</v>
      </c>
      <c r="B791" s="13" t="s">
        <v>15</v>
      </c>
      <c r="C791" s="13" t="s">
        <v>112</v>
      </c>
      <c r="D791" s="14" t="s">
        <v>160</v>
      </c>
      <c r="E791" s="15">
        <v>1432.4</v>
      </c>
      <c r="F791" s="15">
        <v>4.37</v>
      </c>
      <c r="G791" s="16">
        <f>ROUND(E791*F791,2)</f>
        <v>6259.59</v>
      </c>
    </row>
    <row r="792" spans="1:7" x14ac:dyDescent="0.3">
      <c r="A792" s="13" t="s">
        <v>527</v>
      </c>
      <c r="B792" s="13" t="s">
        <v>15</v>
      </c>
      <c r="C792" s="13" t="s">
        <v>112</v>
      </c>
      <c r="D792" s="14" t="s">
        <v>528</v>
      </c>
      <c r="E792" s="15">
        <v>206.66</v>
      </c>
      <c r="F792" s="15">
        <v>8.35</v>
      </c>
      <c r="G792" s="16">
        <f>ROUND(E792*F792,2)</f>
        <v>1725.61</v>
      </c>
    </row>
    <row r="793" spans="1:7" x14ac:dyDescent="0.3">
      <c r="A793" s="13" t="s">
        <v>161</v>
      </c>
      <c r="B793" s="13" t="s">
        <v>15</v>
      </c>
      <c r="C793" s="13" t="s">
        <v>112</v>
      </c>
      <c r="D793" s="14" t="s">
        <v>162</v>
      </c>
      <c r="E793" s="15">
        <v>445.52</v>
      </c>
      <c r="F793" s="15">
        <v>7.37</v>
      </c>
      <c r="G793" s="16">
        <f>ROUND(E793*F793,2)</f>
        <v>3283.48</v>
      </c>
    </row>
    <row r="794" spans="1:7" x14ac:dyDescent="0.3">
      <c r="A794" s="17"/>
      <c r="B794" s="17"/>
      <c r="C794" s="17"/>
      <c r="D794" s="18" t="s">
        <v>624</v>
      </c>
      <c r="E794" s="15">
        <v>1</v>
      </c>
      <c r="F794" s="12">
        <f>SUM(G790:G793)</f>
        <v>19648.690000000002</v>
      </c>
      <c r="G794" s="12">
        <f>ROUND(F794*E794,2)</f>
        <v>19648.689999999999</v>
      </c>
    </row>
    <row r="795" spans="1:7" ht="1.05" customHeight="1" x14ac:dyDescent="0.3">
      <c r="A795" s="20"/>
      <c r="B795" s="20"/>
      <c r="C795" s="20"/>
      <c r="D795" s="21"/>
      <c r="E795" s="20"/>
      <c r="F795" s="20"/>
      <c r="G795" s="20"/>
    </row>
    <row r="796" spans="1:7" x14ac:dyDescent="0.3">
      <c r="A796" s="22" t="s">
        <v>625</v>
      </c>
      <c r="B796" s="22" t="s">
        <v>11</v>
      </c>
      <c r="C796" s="22" t="s">
        <v>12</v>
      </c>
      <c r="D796" s="23" t="s">
        <v>531</v>
      </c>
      <c r="E796" s="12">
        <f>E800</f>
        <v>1</v>
      </c>
      <c r="F796" s="12">
        <f>F800</f>
        <v>9989.7900000000009</v>
      </c>
      <c r="G796" s="12">
        <f>G800</f>
        <v>9989.7900000000009</v>
      </c>
    </row>
    <row r="797" spans="1:7" ht="31.2" x14ac:dyDescent="0.3">
      <c r="A797" s="13" t="s">
        <v>532</v>
      </c>
      <c r="B797" s="13" t="s">
        <v>15</v>
      </c>
      <c r="C797" s="13" t="s">
        <v>534</v>
      </c>
      <c r="D797" s="14" t="s">
        <v>533</v>
      </c>
      <c r="E797" s="15">
        <v>40.51</v>
      </c>
      <c r="F797" s="15">
        <v>53.17</v>
      </c>
      <c r="G797" s="16">
        <f>ROUND(E797*F797,2)</f>
        <v>2153.92</v>
      </c>
    </row>
    <row r="798" spans="1:7" x14ac:dyDescent="0.3">
      <c r="A798" s="13" t="s">
        <v>535</v>
      </c>
      <c r="B798" s="13" t="s">
        <v>15</v>
      </c>
      <c r="C798" s="13" t="s">
        <v>534</v>
      </c>
      <c r="D798" s="14" t="s">
        <v>536</v>
      </c>
      <c r="E798" s="15">
        <v>48.38</v>
      </c>
      <c r="F798" s="15">
        <v>71.430000000000007</v>
      </c>
      <c r="G798" s="16">
        <f>ROUND(E798*F798,2)</f>
        <v>3455.78</v>
      </c>
    </row>
    <row r="799" spans="1:7" x14ac:dyDescent="0.3">
      <c r="A799" s="13" t="s">
        <v>537</v>
      </c>
      <c r="B799" s="13" t="s">
        <v>15</v>
      </c>
      <c r="C799" s="13" t="s">
        <v>534</v>
      </c>
      <c r="D799" s="14" t="s">
        <v>538</v>
      </c>
      <c r="E799" s="15">
        <v>61.32</v>
      </c>
      <c r="F799" s="15">
        <v>71.430000000000007</v>
      </c>
      <c r="G799" s="16">
        <f>ROUND(E799*F799,2)</f>
        <v>4380.09</v>
      </c>
    </row>
    <row r="800" spans="1:7" x14ac:dyDescent="0.3">
      <c r="A800" s="17"/>
      <c r="B800" s="17"/>
      <c r="C800" s="17"/>
      <c r="D800" s="18" t="s">
        <v>626</v>
      </c>
      <c r="E800" s="15">
        <v>1</v>
      </c>
      <c r="F800" s="12">
        <f>SUM(G797:G799)</f>
        <v>9989.7900000000009</v>
      </c>
      <c r="G800" s="12">
        <f>ROUND(F800*E800,2)</f>
        <v>9989.7900000000009</v>
      </c>
    </row>
    <row r="801" spans="1:7" ht="1.05" customHeight="1" x14ac:dyDescent="0.3">
      <c r="A801" s="20"/>
      <c r="B801" s="20"/>
      <c r="C801" s="20"/>
      <c r="D801" s="21"/>
      <c r="E801" s="20"/>
      <c r="F801" s="20"/>
      <c r="G801" s="20"/>
    </row>
    <row r="802" spans="1:7" x14ac:dyDescent="0.3">
      <c r="A802" s="22" t="s">
        <v>627</v>
      </c>
      <c r="B802" s="22" t="s">
        <v>11</v>
      </c>
      <c r="C802" s="22" t="s">
        <v>12</v>
      </c>
      <c r="D802" s="23" t="s">
        <v>165</v>
      </c>
      <c r="E802" s="12">
        <f>E809</f>
        <v>1</v>
      </c>
      <c r="F802" s="12">
        <f>F809</f>
        <v>10027.540000000001</v>
      </c>
      <c r="G802" s="12">
        <f>G809</f>
        <v>10027.540000000001</v>
      </c>
    </row>
    <row r="803" spans="1:7" x14ac:dyDescent="0.3">
      <c r="A803" s="13" t="s">
        <v>172</v>
      </c>
      <c r="B803" s="13" t="s">
        <v>15</v>
      </c>
      <c r="C803" s="13" t="s">
        <v>28</v>
      </c>
      <c r="D803" s="14" t="s">
        <v>173</v>
      </c>
      <c r="E803" s="15">
        <v>10</v>
      </c>
      <c r="F803" s="15">
        <v>122.02</v>
      </c>
      <c r="G803" s="16">
        <f>ROUND(E803*F803,2)</f>
        <v>1220.2</v>
      </c>
    </row>
    <row r="804" spans="1:7" x14ac:dyDescent="0.3">
      <c r="A804" s="13" t="s">
        <v>541</v>
      </c>
      <c r="B804" s="13" t="s">
        <v>15</v>
      </c>
      <c r="C804" s="13" t="s">
        <v>22</v>
      </c>
      <c r="D804" s="14" t="s">
        <v>542</v>
      </c>
      <c r="E804" s="15">
        <v>24.88</v>
      </c>
      <c r="F804" s="15">
        <v>212.06</v>
      </c>
      <c r="G804" s="16">
        <f>ROUND(E804*F804,2)</f>
        <v>5276.05</v>
      </c>
    </row>
    <row r="805" spans="1:7" x14ac:dyDescent="0.3">
      <c r="A805" s="13" t="s">
        <v>543</v>
      </c>
      <c r="B805" s="13" t="s">
        <v>15</v>
      </c>
      <c r="C805" s="13" t="s">
        <v>91</v>
      </c>
      <c r="D805" s="14" t="s">
        <v>544</v>
      </c>
      <c r="E805" s="15">
        <v>2.46</v>
      </c>
      <c r="F805" s="15">
        <v>113.44</v>
      </c>
      <c r="G805" s="16">
        <f>ROUND(E805*F805,2)</f>
        <v>279.06</v>
      </c>
    </row>
    <row r="806" spans="1:7" ht="31.2" x14ac:dyDescent="0.3">
      <c r="A806" s="13" t="s">
        <v>545</v>
      </c>
      <c r="B806" s="13" t="s">
        <v>15</v>
      </c>
      <c r="C806" s="13" t="s">
        <v>22</v>
      </c>
      <c r="D806" s="14" t="s">
        <v>546</v>
      </c>
      <c r="E806" s="15">
        <v>23.85</v>
      </c>
      <c r="F806" s="15">
        <v>44.13</v>
      </c>
      <c r="G806" s="16">
        <f>ROUND(E806*F806,2)</f>
        <v>1052.5</v>
      </c>
    </row>
    <row r="807" spans="1:7" x14ac:dyDescent="0.3">
      <c r="A807" s="13" t="s">
        <v>628</v>
      </c>
      <c r="B807" s="13" t="s">
        <v>15</v>
      </c>
      <c r="C807" s="13" t="s">
        <v>22</v>
      </c>
      <c r="D807" s="14" t="s">
        <v>629</v>
      </c>
      <c r="E807" s="15">
        <v>22.75</v>
      </c>
      <c r="F807" s="15">
        <v>49.72</v>
      </c>
      <c r="G807" s="16">
        <f>ROUND(E807*F807,2)</f>
        <v>1131.1300000000001</v>
      </c>
    </row>
    <row r="808" spans="1:7" x14ac:dyDescent="0.3">
      <c r="A808" s="13" t="s">
        <v>630</v>
      </c>
      <c r="B808" s="13" t="s">
        <v>15</v>
      </c>
      <c r="C808" s="13" t="s">
        <v>28</v>
      </c>
      <c r="D808" s="14" t="s">
        <v>631</v>
      </c>
      <c r="E808" s="15">
        <v>26</v>
      </c>
      <c r="F808" s="15">
        <v>41.1</v>
      </c>
      <c r="G808" s="16">
        <f>ROUND(E808*F808,2)</f>
        <v>1068.5999999999999</v>
      </c>
    </row>
    <row r="809" spans="1:7" x14ac:dyDescent="0.3">
      <c r="A809" s="17"/>
      <c r="B809" s="17"/>
      <c r="C809" s="17"/>
      <c r="D809" s="18" t="s">
        <v>632</v>
      </c>
      <c r="E809" s="15">
        <v>1</v>
      </c>
      <c r="F809" s="12">
        <f>SUM(G803:G808)</f>
        <v>10027.540000000001</v>
      </c>
      <c r="G809" s="12">
        <f>ROUND(F809*E809,2)</f>
        <v>10027.540000000001</v>
      </c>
    </row>
    <row r="810" spans="1:7" ht="1.05" customHeight="1" x14ac:dyDescent="0.3">
      <c r="A810" s="20"/>
      <c r="B810" s="20"/>
      <c r="C810" s="20"/>
      <c r="D810" s="21"/>
      <c r="E810" s="20"/>
      <c r="F810" s="20"/>
      <c r="G810" s="20"/>
    </row>
    <row r="811" spans="1:7" x14ac:dyDescent="0.3">
      <c r="A811" s="22" t="s">
        <v>633</v>
      </c>
      <c r="B811" s="22" t="s">
        <v>11</v>
      </c>
      <c r="C811" s="22" t="s">
        <v>12</v>
      </c>
      <c r="D811" s="23" t="s">
        <v>176</v>
      </c>
      <c r="E811" s="12">
        <f>E861</f>
        <v>1</v>
      </c>
      <c r="F811" s="12">
        <f>F861</f>
        <v>24253.940000000002</v>
      </c>
      <c r="G811" s="12">
        <f>G861</f>
        <v>24253.94</v>
      </c>
    </row>
    <row r="812" spans="1:7" ht="31.2" x14ac:dyDescent="0.3">
      <c r="A812" s="22" t="s">
        <v>634</v>
      </c>
      <c r="B812" s="22" t="s">
        <v>11</v>
      </c>
      <c r="C812" s="22" t="s">
        <v>12</v>
      </c>
      <c r="D812" s="23" t="s">
        <v>229</v>
      </c>
      <c r="E812" s="12">
        <f>E825</f>
        <v>1</v>
      </c>
      <c r="F812" s="12">
        <f>F825</f>
        <v>3348</v>
      </c>
      <c r="G812" s="12">
        <f>G825</f>
        <v>3348</v>
      </c>
    </row>
    <row r="813" spans="1:7" x14ac:dyDescent="0.3">
      <c r="A813" s="13" t="s">
        <v>230</v>
      </c>
      <c r="B813" s="13" t="s">
        <v>15</v>
      </c>
      <c r="C813" s="13" t="s">
        <v>28</v>
      </c>
      <c r="D813" s="14" t="s">
        <v>231</v>
      </c>
      <c r="E813" s="15">
        <v>258.08999999999997</v>
      </c>
      <c r="F813" s="15">
        <v>1.9</v>
      </c>
      <c r="G813" s="16">
        <f>ROUND(E813*F813,2)</f>
        <v>490.37</v>
      </c>
    </row>
    <row r="814" spans="1:7" x14ac:dyDescent="0.3">
      <c r="A814" s="13" t="s">
        <v>232</v>
      </c>
      <c r="B814" s="13" t="s">
        <v>15</v>
      </c>
      <c r="C814" s="13" t="s">
        <v>28</v>
      </c>
      <c r="D814" s="14" t="s">
        <v>233</v>
      </c>
      <c r="E814" s="15">
        <v>258.08999999999997</v>
      </c>
      <c r="F814" s="15">
        <v>4.3499999999999996</v>
      </c>
      <c r="G814" s="16">
        <f>ROUND(E814*F814,2)</f>
        <v>1122.69</v>
      </c>
    </row>
    <row r="815" spans="1:7" x14ac:dyDescent="0.3">
      <c r="A815" s="13" t="s">
        <v>550</v>
      </c>
      <c r="B815" s="13" t="s">
        <v>15</v>
      </c>
      <c r="C815" s="13" t="s">
        <v>28</v>
      </c>
      <c r="D815" s="14" t="s">
        <v>551</v>
      </c>
      <c r="E815" s="15">
        <v>179.16</v>
      </c>
      <c r="F815" s="15">
        <v>2.98</v>
      </c>
      <c r="G815" s="16">
        <f>ROUND(E815*F815,2)</f>
        <v>533.9</v>
      </c>
    </row>
    <row r="816" spans="1:7" x14ac:dyDescent="0.3">
      <c r="A816" s="13" t="s">
        <v>234</v>
      </c>
      <c r="B816" s="13" t="s">
        <v>15</v>
      </c>
      <c r="C816" s="13" t="s">
        <v>28</v>
      </c>
      <c r="D816" s="14" t="s">
        <v>235</v>
      </c>
      <c r="E816" s="15">
        <v>56.18</v>
      </c>
      <c r="F816" s="15">
        <v>3.07</v>
      </c>
      <c r="G816" s="16">
        <f>ROUND(E816*F816,2)</f>
        <v>172.47</v>
      </c>
    </row>
    <row r="817" spans="1:7" x14ac:dyDescent="0.3">
      <c r="A817" s="13" t="s">
        <v>236</v>
      </c>
      <c r="B817" s="13" t="s">
        <v>15</v>
      </c>
      <c r="C817" s="13" t="s">
        <v>28</v>
      </c>
      <c r="D817" s="14" t="s">
        <v>237</v>
      </c>
      <c r="E817" s="15">
        <v>0</v>
      </c>
      <c r="F817" s="15">
        <v>4.22</v>
      </c>
      <c r="G817" s="16">
        <f>ROUND(E817*F817,2)</f>
        <v>0</v>
      </c>
    </row>
    <row r="818" spans="1:7" x14ac:dyDescent="0.3">
      <c r="A818" s="13" t="s">
        <v>238</v>
      </c>
      <c r="B818" s="13" t="s">
        <v>15</v>
      </c>
      <c r="C818" s="13" t="s">
        <v>28</v>
      </c>
      <c r="D818" s="14" t="s">
        <v>239</v>
      </c>
      <c r="E818" s="15">
        <v>0</v>
      </c>
      <c r="F818" s="15">
        <v>13.9</v>
      </c>
      <c r="G818" s="16">
        <f>ROUND(E818*F818,2)</f>
        <v>0</v>
      </c>
    </row>
    <row r="819" spans="1:7" x14ac:dyDescent="0.3">
      <c r="A819" s="13" t="s">
        <v>240</v>
      </c>
      <c r="B819" s="13" t="s">
        <v>15</v>
      </c>
      <c r="C819" s="13" t="s">
        <v>28</v>
      </c>
      <c r="D819" s="14" t="s">
        <v>241</v>
      </c>
      <c r="E819" s="15">
        <v>0</v>
      </c>
      <c r="F819" s="15">
        <v>15.59</v>
      </c>
      <c r="G819" s="16">
        <f>ROUND(E819*F819,2)</f>
        <v>0</v>
      </c>
    </row>
    <row r="820" spans="1:7" ht="31.2" x14ac:dyDescent="0.3">
      <c r="A820" s="13" t="s">
        <v>242</v>
      </c>
      <c r="B820" s="13" t="s">
        <v>15</v>
      </c>
      <c r="C820" s="13" t="s">
        <v>16</v>
      </c>
      <c r="D820" s="14" t="s">
        <v>243</v>
      </c>
      <c r="E820" s="15">
        <v>1</v>
      </c>
      <c r="F820" s="15">
        <v>793.65</v>
      </c>
      <c r="G820" s="16">
        <f>ROUND(E820*F820,2)</f>
        <v>793.65</v>
      </c>
    </row>
    <row r="821" spans="1:7" x14ac:dyDescent="0.3">
      <c r="A821" s="13" t="s">
        <v>244</v>
      </c>
      <c r="B821" s="13" t="s">
        <v>15</v>
      </c>
      <c r="C821" s="13" t="s">
        <v>215</v>
      </c>
      <c r="D821" s="14" t="s">
        <v>245</v>
      </c>
      <c r="E821" s="15">
        <v>0</v>
      </c>
      <c r="F821" s="15">
        <v>13.5</v>
      </c>
      <c r="G821" s="16">
        <f>ROUND(E821*F821,2)</f>
        <v>0</v>
      </c>
    </row>
    <row r="822" spans="1:7" x14ac:dyDescent="0.3">
      <c r="A822" s="13" t="s">
        <v>552</v>
      </c>
      <c r="B822" s="13" t="s">
        <v>15</v>
      </c>
      <c r="C822" s="13" t="s">
        <v>215</v>
      </c>
      <c r="D822" s="14" t="s">
        <v>553</v>
      </c>
      <c r="E822" s="15">
        <v>1</v>
      </c>
      <c r="F822" s="15">
        <v>23.11</v>
      </c>
      <c r="G822" s="16">
        <f>ROUND(E822*F822,2)</f>
        <v>23.11</v>
      </c>
    </row>
    <row r="823" spans="1:7" x14ac:dyDescent="0.3">
      <c r="A823" s="13" t="s">
        <v>554</v>
      </c>
      <c r="B823" s="13" t="s">
        <v>15</v>
      </c>
      <c r="C823" s="13" t="s">
        <v>215</v>
      </c>
      <c r="D823" s="14" t="s">
        <v>555</v>
      </c>
      <c r="E823" s="15">
        <v>5</v>
      </c>
      <c r="F823" s="15">
        <v>30.9</v>
      </c>
      <c r="G823" s="16">
        <f>ROUND(E823*F823,2)</f>
        <v>154.5</v>
      </c>
    </row>
    <row r="824" spans="1:7" x14ac:dyDescent="0.3">
      <c r="A824" s="13" t="s">
        <v>246</v>
      </c>
      <c r="B824" s="13" t="s">
        <v>15</v>
      </c>
      <c r="C824" s="13" t="s">
        <v>215</v>
      </c>
      <c r="D824" s="14" t="s">
        <v>247</v>
      </c>
      <c r="E824" s="15">
        <v>1</v>
      </c>
      <c r="F824" s="15">
        <v>57.31</v>
      </c>
      <c r="G824" s="16">
        <f>ROUND(E824*F824,2)</f>
        <v>57.31</v>
      </c>
    </row>
    <row r="825" spans="1:7" x14ac:dyDescent="0.3">
      <c r="A825" s="17"/>
      <c r="B825" s="17"/>
      <c r="C825" s="17"/>
      <c r="D825" s="18" t="s">
        <v>635</v>
      </c>
      <c r="E825" s="15">
        <v>1</v>
      </c>
      <c r="F825" s="12">
        <f>SUM(G813:G824)</f>
        <v>3348</v>
      </c>
      <c r="G825" s="12">
        <f>ROUND(F825*E825,2)</f>
        <v>3348</v>
      </c>
    </row>
    <row r="826" spans="1:7" ht="1.05" customHeight="1" x14ac:dyDescent="0.3">
      <c r="A826" s="20"/>
      <c r="B826" s="20"/>
      <c r="C826" s="20"/>
      <c r="D826" s="21"/>
      <c r="E826" s="20"/>
      <c r="F826" s="20"/>
      <c r="G826" s="20"/>
    </row>
    <row r="827" spans="1:7" ht="31.2" x14ac:dyDescent="0.3">
      <c r="A827" s="22" t="s">
        <v>636</v>
      </c>
      <c r="B827" s="22" t="s">
        <v>11</v>
      </c>
      <c r="C827" s="22" t="s">
        <v>12</v>
      </c>
      <c r="D827" s="23" t="s">
        <v>250</v>
      </c>
      <c r="E827" s="12">
        <f>E838</f>
        <v>1</v>
      </c>
      <c r="F827" s="12">
        <f>F838</f>
        <v>4031.82</v>
      </c>
      <c r="G827" s="12">
        <f>G838</f>
        <v>4031.82</v>
      </c>
    </row>
    <row r="828" spans="1:7" x14ac:dyDescent="0.3">
      <c r="A828" s="13" t="s">
        <v>230</v>
      </c>
      <c r="B828" s="13" t="s">
        <v>15</v>
      </c>
      <c r="C828" s="13" t="s">
        <v>28</v>
      </c>
      <c r="D828" s="14" t="s">
        <v>231</v>
      </c>
      <c r="E828" s="15">
        <v>208.67</v>
      </c>
      <c r="F828" s="15">
        <v>1.9</v>
      </c>
      <c r="G828" s="16">
        <f>ROUND(E828*F828,2)</f>
        <v>396.47</v>
      </c>
    </row>
    <row r="829" spans="1:7" x14ac:dyDescent="0.3">
      <c r="A829" s="13" t="s">
        <v>558</v>
      </c>
      <c r="B829" s="13" t="s">
        <v>15</v>
      </c>
      <c r="C829" s="13" t="s">
        <v>28</v>
      </c>
      <c r="D829" s="14" t="s">
        <v>559</v>
      </c>
      <c r="E829" s="15">
        <v>29.68</v>
      </c>
      <c r="F829" s="15">
        <v>9.15</v>
      </c>
      <c r="G829" s="16">
        <f>ROUND(E829*F829,2)</f>
        <v>271.57</v>
      </c>
    </row>
    <row r="830" spans="1:7" x14ac:dyDescent="0.3">
      <c r="A830" s="13" t="s">
        <v>393</v>
      </c>
      <c r="B830" s="13" t="s">
        <v>15</v>
      </c>
      <c r="C830" s="13" t="s">
        <v>28</v>
      </c>
      <c r="D830" s="14" t="s">
        <v>394</v>
      </c>
      <c r="E830" s="15">
        <v>10.68</v>
      </c>
      <c r="F830" s="15">
        <v>10.02</v>
      </c>
      <c r="G830" s="16">
        <f>ROUND(E830*F830,2)</f>
        <v>107.01</v>
      </c>
    </row>
    <row r="831" spans="1:7" x14ac:dyDescent="0.3">
      <c r="A831" s="13" t="s">
        <v>395</v>
      </c>
      <c r="B831" s="13" t="s">
        <v>15</v>
      </c>
      <c r="C831" s="13" t="s">
        <v>28</v>
      </c>
      <c r="D831" s="14" t="s">
        <v>396</v>
      </c>
      <c r="E831" s="15">
        <v>29.85</v>
      </c>
      <c r="F831" s="15">
        <v>11.7</v>
      </c>
      <c r="G831" s="16">
        <f>ROUND(E831*F831,2)</f>
        <v>349.25</v>
      </c>
    </row>
    <row r="832" spans="1:7" x14ac:dyDescent="0.3">
      <c r="A832" s="13" t="s">
        <v>397</v>
      </c>
      <c r="B832" s="13" t="s">
        <v>15</v>
      </c>
      <c r="C832" s="13" t="s">
        <v>28</v>
      </c>
      <c r="D832" s="14" t="s">
        <v>398</v>
      </c>
      <c r="E832" s="15">
        <v>11.71</v>
      </c>
      <c r="F832" s="15">
        <v>16.88</v>
      </c>
      <c r="G832" s="16">
        <f>ROUND(E832*F832,2)</f>
        <v>197.66</v>
      </c>
    </row>
    <row r="833" spans="1:7" ht="31.2" x14ac:dyDescent="0.3">
      <c r="A833" s="13" t="s">
        <v>261</v>
      </c>
      <c r="B833" s="13" t="s">
        <v>15</v>
      </c>
      <c r="C833" s="13" t="s">
        <v>16</v>
      </c>
      <c r="D833" s="14" t="s">
        <v>262</v>
      </c>
      <c r="E833" s="15">
        <v>0.75</v>
      </c>
      <c r="F833" s="15">
        <v>1031.75</v>
      </c>
      <c r="G833" s="16">
        <f>ROUND(E833*F833,2)</f>
        <v>773.81</v>
      </c>
    </row>
    <row r="834" spans="1:7" x14ac:dyDescent="0.3">
      <c r="A834" s="13" t="s">
        <v>399</v>
      </c>
      <c r="B834" s="13" t="s">
        <v>15</v>
      </c>
      <c r="C834" s="13" t="s">
        <v>215</v>
      </c>
      <c r="D834" s="14" t="s">
        <v>400</v>
      </c>
      <c r="E834" s="15">
        <v>6</v>
      </c>
      <c r="F834" s="15">
        <v>30.14</v>
      </c>
      <c r="G834" s="16">
        <f>ROUND(E834*F834,2)</f>
        <v>180.84</v>
      </c>
    </row>
    <row r="835" spans="1:7" ht="31.2" x14ac:dyDescent="0.3">
      <c r="A835" s="13" t="s">
        <v>265</v>
      </c>
      <c r="B835" s="13" t="s">
        <v>15</v>
      </c>
      <c r="C835" s="13" t="s">
        <v>215</v>
      </c>
      <c r="D835" s="14" t="s">
        <v>266</v>
      </c>
      <c r="E835" s="15">
        <v>23</v>
      </c>
      <c r="F835" s="15">
        <v>32.25</v>
      </c>
      <c r="G835" s="16">
        <f>ROUND(E835*F835,2)</f>
        <v>741.75</v>
      </c>
    </row>
    <row r="836" spans="1:7" ht="31.2" x14ac:dyDescent="0.3">
      <c r="A836" s="13" t="s">
        <v>267</v>
      </c>
      <c r="B836" s="13" t="s">
        <v>15</v>
      </c>
      <c r="C836" s="13" t="s">
        <v>215</v>
      </c>
      <c r="D836" s="14" t="s">
        <v>268</v>
      </c>
      <c r="E836" s="15">
        <v>10</v>
      </c>
      <c r="F836" s="15">
        <v>44.38</v>
      </c>
      <c r="G836" s="16">
        <f>ROUND(E836*F836,2)</f>
        <v>443.8</v>
      </c>
    </row>
    <row r="837" spans="1:7" x14ac:dyDescent="0.3">
      <c r="A837" s="13" t="s">
        <v>401</v>
      </c>
      <c r="B837" s="13" t="s">
        <v>15</v>
      </c>
      <c r="C837" s="13" t="s">
        <v>215</v>
      </c>
      <c r="D837" s="14" t="s">
        <v>402</v>
      </c>
      <c r="E837" s="15">
        <v>7</v>
      </c>
      <c r="F837" s="15">
        <v>81.38</v>
      </c>
      <c r="G837" s="16">
        <f>ROUND(E837*F837,2)</f>
        <v>569.66</v>
      </c>
    </row>
    <row r="838" spans="1:7" x14ac:dyDescent="0.3">
      <c r="A838" s="17"/>
      <c r="B838" s="17"/>
      <c r="C838" s="17"/>
      <c r="D838" s="18" t="s">
        <v>637</v>
      </c>
      <c r="E838" s="15">
        <v>1</v>
      </c>
      <c r="F838" s="12">
        <f>SUM(G828:G837)</f>
        <v>4031.82</v>
      </c>
      <c r="G838" s="12">
        <f>ROUND(F838*E838,2)</f>
        <v>4031.82</v>
      </c>
    </row>
    <row r="839" spans="1:7" ht="1.05" customHeight="1" x14ac:dyDescent="0.3">
      <c r="A839" s="20"/>
      <c r="B839" s="20"/>
      <c r="C839" s="20"/>
      <c r="D839" s="21"/>
      <c r="E839" s="20"/>
      <c r="F839" s="20"/>
      <c r="G839" s="20"/>
    </row>
    <row r="840" spans="1:7" x14ac:dyDescent="0.3">
      <c r="A840" s="22" t="s">
        <v>638</v>
      </c>
      <c r="B840" s="22" t="s">
        <v>11</v>
      </c>
      <c r="C840" s="22" t="s">
        <v>12</v>
      </c>
      <c r="D840" s="23" t="s">
        <v>275</v>
      </c>
      <c r="E840" s="12">
        <f>E844</f>
        <v>1</v>
      </c>
      <c r="F840" s="12">
        <f>F844</f>
        <v>2310.96</v>
      </c>
      <c r="G840" s="12">
        <f>G844</f>
        <v>2310.96</v>
      </c>
    </row>
    <row r="841" spans="1:7" ht="31.2" x14ac:dyDescent="0.3">
      <c r="A841" s="13" t="s">
        <v>276</v>
      </c>
      <c r="B841" s="13" t="s">
        <v>15</v>
      </c>
      <c r="C841" s="13" t="s">
        <v>28</v>
      </c>
      <c r="D841" s="14" t="s">
        <v>277</v>
      </c>
      <c r="E841" s="15">
        <v>3.25</v>
      </c>
      <c r="F841" s="15">
        <v>27.3</v>
      </c>
      <c r="G841" s="16">
        <f>ROUND(E841*F841,2)</f>
        <v>88.73</v>
      </c>
    </row>
    <row r="842" spans="1:7" x14ac:dyDescent="0.3">
      <c r="A842" s="13" t="s">
        <v>278</v>
      </c>
      <c r="B842" s="13" t="s">
        <v>15</v>
      </c>
      <c r="C842" s="13" t="s">
        <v>215</v>
      </c>
      <c r="D842" s="14" t="s">
        <v>279</v>
      </c>
      <c r="E842" s="15">
        <v>1</v>
      </c>
      <c r="F842" s="15">
        <v>1666.67</v>
      </c>
      <c r="G842" s="16">
        <f>ROUND(E842*F842,2)</f>
        <v>1666.67</v>
      </c>
    </row>
    <row r="843" spans="1:7" ht="31.2" x14ac:dyDescent="0.3">
      <c r="A843" s="13" t="s">
        <v>280</v>
      </c>
      <c r="B843" s="13" t="s">
        <v>15</v>
      </c>
      <c r="C843" s="13" t="s">
        <v>215</v>
      </c>
      <c r="D843" s="14" t="s">
        <v>281</v>
      </c>
      <c r="E843" s="15">
        <v>1</v>
      </c>
      <c r="F843" s="15">
        <v>555.55999999999995</v>
      </c>
      <c r="G843" s="16">
        <f>ROUND(E843*F843,2)</f>
        <v>555.55999999999995</v>
      </c>
    </row>
    <row r="844" spans="1:7" x14ac:dyDescent="0.3">
      <c r="A844" s="17"/>
      <c r="B844" s="17"/>
      <c r="C844" s="17"/>
      <c r="D844" s="18" t="s">
        <v>639</v>
      </c>
      <c r="E844" s="15">
        <v>1</v>
      </c>
      <c r="F844" s="12">
        <f>SUM(G841:G843)</f>
        <v>2310.96</v>
      </c>
      <c r="G844" s="12">
        <f>ROUND(F844*E844,2)</f>
        <v>2310.96</v>
      </c>
    </row>
    <row r="845" spans="1:7" ht="1.05" customHeight="1" x14ac:dyDescent="0.3">
      <c r="A845" s="20"/>
      <c r="B845" s="20"/>
      <c r="C845" s="20"/>
      <c r="D845" s="21"/>
      <c r="E845" s="20"/>
      <c r="F845" s="20"/>
      <c r="G845" s="20"/>
    </row>
    <row r="846" spans="1:7" x14ac:dyDescent="0.3">
      <c r="A846" s="22" t="s">
        <v>640</v>
      </c>
      <c r="B846" s="22" t="s">
        <v>11</v>
      </c>
      <c r="C846" s="22" t="s">
        <v>12</v>
      </c>
      <c r="D846" s="23" t="s">
        <v>407</v>
      </c>
      <c r="E846" s="12">
        <f>E854</f>
        <v>1</v>
      </c>
      <c r="F846" s="12">
        <f>F854</f>
        <v>12837.009999999998</v>
      </c>
      <c r="G846" s="12">
        <f>G854</f>
        <v>12837.01</v>
      </c>
    </row>
    <row r="847" spans="1:7" ht="31.2" x14ac:dyDescent="0.3">
      <c r="A847" s="13" t="s">
        <v>564</v>
      </c>
      <c r="B847" s="13" t="s">
        <v>15</v>
      </c>
      <c r="C847" s="13" t="s">
        <v>215</v>
      </c>
      <c r="D847" s="14" t="s">
        <v>565</v>
      </c>
      <c r="E847" s="15">
        <v>7</v>
      </c>
      <c r="F847" s="15">
        <v>348.85</v>
      </c>
      <c r="G847" s="16">
        <f>ROUND(E847*F847,2)</f>
        <v>2441.9499999999998</v>
      </c>
    </row>
    <row r="848" spans="1:7" ht="31.2" x14ac:dyDescent="0.3">
      <c r="A848" s="13" t="s">
        <v>566</v>
      </c>
      <c r="B848" s="13" t="s">
        <v>15</v>
      </c>
      <c r="C848" s="13" t="s">
        <v>215</v>
      </c>
      <c r="D848" s="14" t="s">
        <v>567</v>
      </c>
      <c r="E848" s="15">
        <v>7</v>
      </c>
      <c r="F848" s="15">
        <v>365.25</v>
      </c>
      <c r="G848" s="16">
        <f>ROUND(E848*F848,2)</f>
        <v>2556.75</v>
      </c>
    </row>
    <row r="849" spans="1:7" x14ac:dyDescent="0.3">
      <c r="A849" s="13" t="s">
        <v>568</v>
      </c>
      <c r="B849" s="13" t="s">
        <v>15</v>
      </c>
      <c r="C849" s="13" t="s">
        <v>215</v>
      </c>
      <c r="D849" s="14" t="s">
        <v>569</v>
      </c>
      <c r="E849" s="15">
        <v>7</v>
      </c>
      <c r="F849" s="15">
        <v>442.68</v>
      </c>
      <c r="G849" s="16">
        <f>ROUND(E849*F849,2)</f>
        <v>3098.76</v>
      </c>
    </row>
    <row r="850" spans="1:7" ht="31.2" x14ac:dyDescent="0.3">
      <c r="A850" s="13" t="s">
        <v>570</v>
      </c>
      <c r="B850" s="13" t="s">
        <v>15</v>
      </c>
      <c r="C850" s="13" t="s">
        <v>215</v>
      </c>
      <c r="D850" s="14" t="s">
        <v>571</v>
      </c>
      <c r="E850" s="15">
        <v>7</v>
      </c>
      <c r="F850" s="15">
        <v>93.66</v>
      </c>
      <c r="G850" s="16">
        <f>ROUND(E850*F850,2)</f>
        <v>655.62</v>
      </c>
    </row>
    <row r="851" spans="1:7" ht="31.2" x14ac:dyDescent="0.3">
      <c r="A851" s="13" t="s">
        <v>572</v>
      </c>
      <c r="B851" s="13" t="s">
        <v>15</v>
      </c>
      <c r="C851" s="13" t="s">
        <v>151</v>
      </c>
      <c r="D851" s="14" t="s">
        <v>573</v>
      </c>
      <c r="E851" s="15">
        <v>5</v>
      </c>
      <c r="F851" s="15">
        <v>405.16</v>
      </c>
      <c r="G851" s="16">
        <f>ROUND(E851*F851,2)</f>
        <v>2025.8</v>
      </c>
    </row>
    <row r="852" spans="1:7" ht="31.2" x14ac:dyDescent="0.3">
      <c r="A852" s="13" t="s">
        <v>574</v>
      </c>
      <c r="B852" s="13" t="s">
        <v>15</v>
      </c>
      <c r="C852" s="13" t="s">
        <v>151</v>
      </c>
      <c r="D852" s="14" t="s">
        <v>575</v>
      </c>
      <c r="E852" s="15">
        <v>2</v>
      </c>
      <c r="F852" s="15">
        <v>295.79000000000002</v>
      </c>
      <c r="G852" s="16">
        <f>ROUND(E852*F852,2)</f>
        <v>591.58000000000004</v>
      </c>
    </row>
    <row r="853" spans="1:7" x14ac:dyDescent="0.3">
      <c r="A853" s="13" t="s">
        <v>576</v>
      </c>
      <c r="B853" s="13" t="s">
        <v>15</v>
      </c>
      <c r="C853" s="13" t="s">
        <v>151</v>
      </c>
      <c r="D853" s="14" t="s">
        <v>577</v>
      </c>
      <c r="E853" s="15">
        <v>5</v>
      </c>
      <c r="F853" s="15">
        <v>293.31</v>
      </c>
      <c r="G853" s="16">
        <f>ROUND(E853*F853,2)</f>
        <v>1466.55</v>
      </c>
    </row>
    <row r="854" spans="1:7" x14ac:dyDescent="0.3">
      <c r="A854" s="17"/>
      <c r="B854" s="17"/>
      <c r="C854" s="17"/>
      <c r="D854" s="18" t="s">
        <v>641</v>
      </c>
      <c r="E854" s="15">
        <v>1</v>
      </c>
      <c r="F854" s="12">
        <f>SUM(G847:G853)</f>
        <v>12837.009999999998</v>
      </c>
      <c r="G854" s="12">
        <f>ROUND(F854*E854,2)</f>
        <v>12837.01</v>
      </c>
    </row>
    <row r="855" spans="1:7" ht="1.05" customHeight="1" x14ac:dyDescent="0.3">
      <c r="A855" s="20"/>
      <c r="B855" s="20"/>
      <c r="C855" s="20"/>
      <c r="D855" s="21"/>
      <c r="E855" s="20"/>
      <c r="F855" s="20"/>
      <c r="G855" s="20"/>
    </row>
    <row r="856" spans="1:7" x14ac:dyDescent="0.3">
      <c r="A856" s="22" t="s">
        <v>642</v>
      </c>
      <c r="B856" s="22" t="s">
        <v>11</v>
      </c>
      <c r="C856" s="22" t="s">
        <v>12</v>
      </c>
      <c r="D856" s="23" t="s">
        <v>165</v>
      </c>
      <c r="E856" s="12">
        <f>E859</f>
        <v>1</v>
      </c>
      <c r="F856" s="12">
        <f>F859</f>
        <v>1726.15</v>
      </c>
      <c r="G856" s="12">
        <f>G859</f>
        <v>1726.15</v>
      </c>
    </row>
    <row r="857" spans="1:7" x14ac:dyDescent="0.3">
      <c r="A857" s="13" t="s">
        <v>582</v>
      </c>
      <c r="B857" s="13" t="s">
        <v>15</v>
      </c>
      <c r="C857" s="13" t="s">
        <v>151</v>
      </c>
      <c r="D857" s="14" t="s">
        <v>583</v>
      </c>
      <c r="E857" s="15">
        <v>5</v>
      </c>
      <c r="F857" s="15">
        <v>74.39</v>
      </c>
      <c r="G857" s="16">
        <f>ROUND(E857*F857,2)</f>
        <v>371.95</v>
      </c>
    </row>
    <row r="858" spans="1:7" ht="31.2" x14ac:dyDescent="0.3">
      <c r="A858" s="13" t="s">
        <v>584</v>
      </c>
      <c r="B858" s="13" t="s">
        <v>15</v>
      </c>
      <c r="C858" s="13" t="s">
        <v>215</v>
      </c>
      <c r="D858" s="14" t="s">
        <v>585</v>
      </c>
      <c r="E858" s="15">
        <v>5</v>
      </c>
      <c r="F858" s="15">
        <v>270.83999999999997</v>
      </c>
      <c r="G858" s="16">
        <f>ROUND(E858*F858,2)</f>
        <v>1354.2</v>
      </c>
    </row>
    <row r="859" spans="1:7" x14ac:dyDescent="0.3">
      <c r="A859" s="17"/>
      <c r="B859" s="17"/>
      <c r="C859" s="17"/>
      <c r="D859" s="18" t="s">
        <v>643</v>
      </c>
      <c r="E859" s="15">
        <v>1</v>
      </c>
      <c r="F859" s="12">
        <f>SUM(G857:G858)</f>
        <v>1726.15</v>
      </c>
      <c r="G859" s="12">
        <f>ROUND(F859*E859,2)</f>
        <v>1726.15</v>
      </c>
    </row>
    <row r="860" spans="1:7" ht="1.05" customHeight="1" x14ac:dyDescent="0.3">
      <c r="A860" s="20"/>
      <c r="B860" s="20"/>
      <c r="C860" s="20"/>
      <c r="D860" s="21"/>
      <c r="E860" s="20"/>
      <c r="F860" s="20"/>
      <c r="G860" s="20"/>
    </row>
    <row r="861" spans="1:7" x14ac:dyDescent="0.3">
      <c r="A861" s="17"/>
      <c r="B861" s="17"/>
      <c r="C861" s="17"/>
      <c r="D861" s="18" t="s">
        <v>644</v>
      </c>
      <c r="E861" s="15">
        <v>1</v>
      </c>
      <c r="F861" s="12">
        <f>G825+G838+G844+G854+G859</f>
        <v>24253.940000000002</v>
      </c>
      <c r="G861" s="12">
        <f>ROUND(F861*E861,2)</f>
        <v>24253.94</v>
      </c>
    </row>
    <row r="862" spans="1:7" ht="1.05" customHeight="1" x14ac:dyDescent="0.3">
      <c r="A862" s="20"/>
      <c r="B862" s="20"/>
      <c r="C862" s="20"/>
      <c r="D862" s="21"/>
      <c r="E862" s="20"/>
      <c r="F862" s="20"/>
      <c r="G862" s="20"/>
    </row>
    <row r="863" spans="1:7" x14ac:dyDescent="0.3">
      <c r="A863" s="22" t="s">
        <v>645</v>
      </c>
      <c r="B863" s="22" t="s">
        <v>11</v>
      </c>
      <c r="C863" s="22" t="s">
        <v>12</v>
      </c>
      <c r="D863" s="23" t="s">
        <v>285</v>
      </c>
      <c r="E863" s="12">
        <f>E877</f>
        <v>1</v>
      </c>
      <c r="F863" s="12">
        <f>F877</f>
        <v>14776.529999999999</v>
      </c>
      <c r="G863" s="12">
        <f>G877</f>
        <v>14776.53</v>
      </c>
    </row>
    <row r="864" spans="1:7" x14ac:dyDescent="0.3">
      <c r="A864" s="13" t="s">
        <v>589</v>
      </c>
      <c r="B864" s="13" t="s">
        <v>15</v>
      </c>
      <c r="C864" s="13" t="s">
        <v>215</v>
      </c>
      <c r="D864" s="14" t="s">
        <v>590</v>
      </c>
      <c r="E864" s="15">
        <v>5</v>
      </c>
      <c r="F864" s="15">
        <v>51.04</v>
      </c>
      <c r="G864" s="16">
        <f>ROUND(E864*F864,2)</f>
        <v>255.2</v>
      </c>
    </row>
    <row r="865" spans="1:7" x14ac:dyDescent="0.3">
      <c r="A865" s="13" t="s">
        <v>591</v>
      </c>
      <c r="B865" s="13" t="s">
        <v>15</v>
      </c>
      <c r="C865" s="13" t="s">
        <v>215</v>
      </c>
      <c r="D865" s="14" t="s">
        <v>592</v>
      </c>
      <c r="E865" s="15">
        <v>5</v>
      </c>
      <c r="F865" s="15">
        <v>37.28</v>
      </c>
      <c r="G865" s="16">
        <f>ROUND(E865*F865,2)</f>
        <v>186.4</v>
      </c>
    </row>
    <row r="866" spans="1:7" x14ac:dyDescent="0.3">
      <c r="A866" s="13" t="s">
        <v>593</v>
      </c>
      <c r="B866" s="13" t="s">
        <v>15</v>
      </c>
      <c r="C866" s="13" t="s">
        <v>215</v>
      </c>
      <c r="D866" s="14" t="s">
        <v>594</v>
      </c>
      <c r="E866" s="15">
        <v>5</v>
      </c>
      <c r="F866" s="15">
        <v>30.48</v>
      </c>
      <c r="G866" s="16">
        <f>ROUND(E866*F866,2)</f>
        <v>152.4</v>
      </c>
    </row>
    <row r="867" spans="1:7" x14ac:dyDescent="0.3">
      <c r="A867" s="13" t="s">
        <v>595</v>
      </c>
      <c r="B867" s="13" t="s">
        <v>15</v>
      </c>
      <c r="C867" s="13" t="s">
        <v>215</v>
      </c>
      <c r="D867" s="14" t="s">
        <v>596</v>
      </c>
      <c r="E867" s="15">
        <v>27</v>
      </c>
      <c r="F867" s="15">
        <v>31.59</v>
      </c>
      <c r="G867" s="16">
        <f>ROUND(E867*F867,2)</f>
        <v>852.93</v>
      </c>
    </row>
    <row r="868" spans="1:7" x14ac:dyDescent="0.3">
      <c r="A868" s="13" t="s">
        <v>296</v>
      </c>
      <c r="B868" s="13" t="s">
        <v>15</v>
      </c>
      <c r="C868" s="13" t="s">
        <v>215</v>
      </c>
      <c r="D868" s="14" t="s">
        <v>297</v>
      </c>
      <c r="E868" s="15">
        <v>53</v>
      </c>
      <c r="F868" s="15">
        <v>50.07</v>
      </c>
      <c r="G868" s="16">
        <f>ROUND(E868*F868,2)</f>
        <v>2653.71</v>
      </c>
    </row>
    <row r="869" spans="1:7" x14ac:dyDescent="0.3">
      <c r="A869" s="13" t="s">
        <v>298</v>
      </c>
      <c r="B869" s="13" t="s">
        <v>15</v>
      </c>
      <c r="C869" s="13" t="s">
        <v>215</v>
      </c>
      <c r="D869" s="14" t="s">
        <v>299</v>
      </c>
      <c r="E869" s="15">
        <v>0</v>
      </c>
      <c r="F869" s="15">
        <v>42.74</v>
      </c>
      <c r="G869" s="16">
        <f>ROUND(E869*F869,2)</f>
        <v>0</v>
      </c>
    </row>
    <row r="870" spans="1:7" x14ac:dyDescent="0.3">
      <c r="A870" s="13" t="s">
        <v>300</v>
      </c>
      <c r="B870" s="13" t="s">
        <v>15</v>
      </c>
      <c r="C870" s="13" t="s">
        <v>215</v>
      </c>
      <c r="D870" s="14" t="s">
        <v>301</v>
      </c>
      <c r="E870" s="15">
        <v>30</v>
      </c>
      <c r="F870" s="15">
        <v>45.93</v>
      </c>
      <c r="G870" s="16">
        <f>ROUND(E870*F870,2)</f>
        <v>1377.9</v>
      </c>
    </row>
    <row r="871" spans="1:7" x14ac:dyDescent="0.3">
      <c r="A871" s="13" t="s">
        <v>302</v>
      </c>
      <c r="B871" s="13" t="s">
        <v>15</v>
      </c>
      <c r="C871" s="13" t="s">
        <v>215</v>
      </c>
      <c r="D871" s="14" t="s">
        <v>303</v>
      </c>
      <c r="E871" s="15">
        <v>6</v>
      </c>
      <c r="F871" s="15">
        <v>51.73</v>
      </c>
      <c r="G871" s="16">
        <f>ROUND(E871*F871,2)</f>
        <v>310.38</v>
      </c>
    </row>
    <row r="872" spans="1:7" x14ac:dyDescent="0.3">
      <c r="A872" s="13" t="s">
        <v>304</v>
      </c>
      <c r="B872" s="13" t="s">
        <v>15</v>
      </c>
      <c r="C872" s="13" t="s">
        <v>215</v>
      </c>
      <c r="D872" s="14" t="s">
        <v>305</v>
      </c>
      <c r="E872" s="15">
        <v>2</v>
      </c>
      <c r="F872" s="15">
        <v>53.67</v>
      </c>
      <c r="G872" s="16">
        <f>ROUND(E872*F872,2)</f>
        <v>107.34</v>
      </c>
    </row>
    <row r="873" spans="1:7" ht="31.2" x14ac:dyDescent="0.3">
      <c r="A873" s="13" t="s">
        <v>306</v>
      </c>
      <c r="B873" s="13" t="s">
        <v>15</v>
      </c>
      <c r="C873" s="13" t="s">
        <v>215</v>
      </c>
      <c r="D873" s="14" t="s">
        <v>307</v>
      </c>
      <c r="E873" s="15">
        <v>90</v>
      </c>
      <c r="F873" s="15">
        <v>61.18</v>
      </c>
      <c r="G873" s="16">
        <f>ROUND(E873*F873,2)</f>
        <v>5506.2</v>
      </c>
    </row>
    <row r="874" spans="1:7" ht="31.2" x14ac:dyDescent="0.3">
      <c r="A874" s="13" t="s">
        <v>308</v>
      </c>
      <c r="B874" s="13" t="s">
        <v>15</v>
      </c>
      <c r="C874" s="13" t="s">
        <v>215</v>
      </c>
      <c r="D874" s="14" t="s">
        <v>309</v>
      </c>
      <c r="E874" s="15">
        <v>14</v>
      </c>
      <c r="F874" s="15">
        <v>84.28</v>
      </c>
      <c r="G874" s="16">
        <f>ROUND(E874*F874,2)</f>
        <v>1179.92</v>
      </c>
    </row>
    <row r="875" spans="1:7" x14ac:dyDescent="0.3">
      <c r="A875" s="13" t="s">
        <v>314</v>
      </c>
      <c r="B875" s="13" t="s">
        <v>15</v>
      </c>
      <c r="C875" s="13" t="s">
        <v>215</v>
      </c>
      <c r="D875" s="14" t="s">
        <v>315</v>
      </c>
      <c r="E875" s="15">
        <v>0</v>
      </c>
      <c r="F875" s="15">
        <v>55.56</v>
      </c>
      <c r="G875" s="16">
        <f>ROUND(E875*F875,2)</f>
        <v>0</v>
      </c>
    </row>
    <row r="876" spans="1:7" x14ac:dyDescent="0.3">
      <c r="A876" s="13" t="s">
        <v>415</v>
      </c>
      <c r="B876" s="13" t="s">
        <v>15</v>
      </c>
      <c r="C876" s="13" t="s">
        <v>215</v>
      </c>
      <c r="D876" s="14" t="s">
        <v>416</v>
      </c>
      <c r="E876" s="15">
        <v>5</v>
      </c>
      <c r="F876" s="15">
        <v>438.83</v>
      </c>
      <c r="G876" s="16">
        <f>ROUND(E876*F876,2)</f>
        <v>2194.15</v>
      </c>
    </row>
    <row r="877" spans="1:7" x14ac:dyDescent="0.3">
      <c r="A877" s="17"/>
      <c r="B877" s="17"/>
      <c r="C877" s="17"/>
      <c r="D877" s="18" t="s">
        <v>646</v>
      </c>
      <c r="E877" s="15">
        <v>1</v>
      </c>
      <c r="F877" s="12">
        <f>SUM(G864:G876)</f>
        <v>14776.529999999999</v>
      </c>
      <c r="G877" s="12">
        <f>ROUND(F877*E877,2)</f>
        <v>14776.53</v>
      </c>
    </row>
    <row r="878" spans="1:7" ht="1.05" customHeight="1" x14ac:dyDescent="0.3">
      <c r="A878" s="20"/>
      <c r="B878" s="20"/>
      <c r="C878" s="20"/>
      <c r="D878" s="21"/>
      <c r="E878" s="20"/>
      <c r="F878" s="20"/>
      <c r="G878" s="20"/>
    </row>
    <row r="879" spans="1:7" x14ac:dyDescent="0.3">
      <c r="A879" s="17"/>
      <c r="B879" s="17"/>
      <c r="C879" s="17"/>
      <c r="D879" s="18" t="s">
        <v>647</v>
      </c>
      <c r="E879" s="19">
        <v>1</v>
      </c>
      <c r="F879" s="12">
        <f>G745+G750+G761+G766+G770+G775+G783+G787+G794+G800+G809+G861+G877</f>
        <v>255369.78000000003</v>
      </c>
      <c r="G879" s="12">
        <f>ROUND(F879*E879,2)</f>
        <v>255369.78</v>
      </c>
    </row>
    <row r="880" spans="1:7" ht="1.05" customHeight="1" x14ac:dyDescent="0.3">
      <c r="A880" s="20"/>
      <c r="B880" s="20"/>
      <c r="C880" s="20"/>
      <c r="D880" s="21"/>
      <c r="E880" s="20"/>
      <c r="F880" s="20"/>
      <c r="G880" s="20"/>
    </row>
    <row r="881" spans="1:7" x14ac:dyDescent="0.3">
      <c r="A881" s="9" t="s">
        <v>648</v>
      </c>
      <c r="B881" s="9" t="s">
        <v>11</v>
      </c>
      <c r="C881" s="9" t="s">
        <v>12</v>
      </c>
      <c r="D881" s="10" t="s">
        <v>649</v>
      </c>
      <c r="E881" s="11">
        <f>E1035</f>
        <v>1</v>
      </c>
      <c r="F881" s="12">
        <f>F1035</f>
        <v>255369.78000000003</v>
      </c>
      <c r="G881" s="12">
        <f>G1035</f>
        <v>255369.78</v>
      </c>
    </row>
    <row r="882" spans="1:7" x14ac:dyDescent="0.3">
      <c r="A882" s="22" t="s">
        <v>601</v>
      </c>
      <c r="B882" s="22" t="s">
        <v>11</v>
      </c>
      <c r="C882" s="22" t="s">
        <v>12</v>
      </c>
      <c r="D882" s="23" t="s">
        <v>57</v>
      </c>
      <c r="E882" s="12">
        <f>E901</f>
        <v>1</v>
      </c>
      <c r="F882" s="12">
        <f>F901</f>
        <v>67661.09</v>
      </c>
      <c r="G882" s="12">
        <f>G901</f>
        <v>67661.09</v>
      </c>
    </row>
    <row r="883" spans="1:7" x14ac:dyDescent="0.3">
      <c r="A883" s="13" t="s">
        <v>81</v>
      </c>
      <c r="B883" s="13" t="s">
        <v>15</v>
      </c>
      <c r="C883" s="13" t="s">
        <v>60</v>
      </c>
      <c r="D883" s="14" t="s">
        <v>82</v>
      </c>
      <c r="E883" s="15">
        <v>8.18</v>
      </c>
      <c r="F883" s="15">
        <v>572.66999999999996</v>
      </c>
      <c r="G883" s="16">
        <f>ROUND(E883*F883,2)</f>
        <v>4684.4399999999996</v>
      </c>
    </row>
    <row r="884" spans="1:7" x14ac:dyDescent="0.3">
      <c r="A884" s="13" t="s">
        <v>83</v>
      </c>
      <c r="B884" s="13" t="s">
        <v>15</v>
      </c>
      <c r="C884" s="13" t="s">
        <v>60</v>
      </c>
      <c r="D884" s="14" t="s">
        <v>84</v>
      </c>
      <c r="E884" s="15">
        <v>4.0599999999999996</v>
      </c>
      <c r="F884" s="15">
        <v>545.57000000000005</v>
      </c>
      <c r="G884" s="16">
        <f>ROUND(E884*F884,2)</f>
        <v>2215.0100000000002</v>
      </c>
    </row>
    <row r="885" spans="1:7" ht="31.2" x14ac:dyDescent="0.3">
      <c r="A885" s="13" t="s">
        <v>97</v>
      </c>
      <c r="B885" s="13" t="s">
        <v>15</v>
      </c>
      <c r="C885" s="13" t="s">
        <v>60</v>
      </c>
      <c r="D885" s="14" t="s">
        <v>98</v>
      </c>
      <c r="E885" s="15">
        <v>0</v>
      </c>
      <c r="F885" s="15">
        <v>1055.26</v>
      </c>
      <c r="G885" s="16">
        <f>ROUND(E885*F885,2)</f>
        <v>0</v>
      </c>
    </row>
    <row r="886" spans="1:7" ht="31.2" x14ac:dyDescent="0.3">
      <c r="A886" s="13" t="s">
        <v>99</v>
      </c>
      <c r="B886" s="13" t="s">
        <v>15</v>
      </c>
      <c r="C886" s="13" t="s">
        <v>60</v>
      </c>
      <c r="D886" s="14" t="s">
        <v>100</v>
      </c>
      <c r="E886" s="15">
        <v>5.18</v>
      </c>
      <c r="F886" s="15">
        <v>779.5</v>
      </c>
      <c r="G886" s="16">
        <f>ROUND(E886*F886,2)</f>
        <v>4037.81</v>
      </c>
    </row>
    <row r="887" spans="1:7" ht="31.2" x14ac:dyDescent="0.3">
      <c r="A887" s="13" t="s">
        <v>101</v>
      </c>
      <c r="B887" s="13" t="s">
        <v>15</v>
      </c>
      <c r="C887" s="13" t="s">
        <v>60</v>
      </c>
      <c r="D887" s="14" t="s">
        <v>102</v>
      </c>
      <c r="E887" s="15">
        <v>6.48</v>
      </c>
      <c r="F887" s="15">
        <v>1077.93</v>
      </c>
      <c r="G887" s="16">
        <f>ROUND(E887*F887,2)</f>
        <v>6984.99</v>
      </c>
    </row>
    <row r="888" spans="1:7" ht="31.2" x14ac:dyDescent="0.3">
      <c r="A888" s="13" t="s">
        <v>602</v>
      </c>
      <c r="B888" s="13" t="s">
        <v>15</v>
      </c>
      <c r="C888" s="13" t="s">
        <v>60</v>
      </c>
      <c r="D888" s="14" t="s">
        <v>603</v>
      </c>
      <c r="E888" s="15">
        <v>4.8600000000000003</v>
      </c>
      <c r="F888" s="15">
        <v>807.49</v>
      </c>
      <c r="G888" s="16">
        <f>ROUND(E888*F888,2)</f>
        <v>3924.4</v>
      </c>
    </row>
    <row r="889" spans="1:7" x14ac:dyDescent="0.3">
      <c r="A889" s="13" t="s">
        <v>105</v>
      </c>
      <c r="B889" s="13" t="s">
        <v>15</v>
      </c>
      <c r="C889" s="13" t="s">
        <v>60</v>
      </c>
      <c r="D889" s="14" t="s">
        <v>106</v>
      </c>
      <c r="E889" s="15">
        <v>5.26</v>
      </c>
      <c r="F889" s="15">
        <v>476.95</v>
      </c>
      <c r="G889" s="16">
        <f>ROUND(E889*F889,2)</f>
        <v>2508.7600000000002</v>
      </c>
    </row>
    <row r="890" spans="1:7" x14ac:dyDescent="0.3">
      <c r="A890" s="13" t="s">
        <v>321</v>
      </c>
      <c r="B890" s="13" t="s">
        <v>15</v>
      </c>
      <c r="C890" s="13" t="s">
        <v>60</v>
      </c>
      <c r="D890" s="14" t="s">
        <v>322</v>
      </c>
      <c r="E890" s="15">
        <v>3.43</v>
      </c>
      <c r="F890" s="15">
        <v>713.28</v>
      </c>
      <c r="G890" s="16">
        <f>ROUND(E890*F890,2)</f>
        <v>2446.5500000000002</v>
      </c>
    </row>
    <row r="891" spans="1:7" x14ac:dyDescent="0.3">
      <c r="A891" s="13" t="s">
        <v>323</v>
      </c>
      <c r="B891" s="13" t="s">
        <v>15</v>
      </c>
      <c r="C891" s="13" t="s">
        <v>60</v>
      </c>
      <c r="D891" s="14" t="s">
        <v>324</v>
      </c>
      <c r="E891" s="15">
        <v>3.02</v>
      </c>
      <c r="F891" s="15">
        <v>702.51</v>
      </c>
      <c r="G891" s="16">
        <f>ROUND(E891*F891,2)</f>
        <v>2121.58</v>
      </c>
    </row>
    <row r="892" spans="1:7" x14ac:dyDescent="0.3">
      <c r="A892" s="13" t="s">
        <v>325</v>
      </c>
      <c r="B892" s="13" t="s">
        <v>15</v>
      </c>
      <c r="C892" s="13" t="s">
        <v>60</v>
      </c>
      <c r="D892" s="14" t="s">
        <v>326</v>
      </c>
      <c r="E892" s="15">
        <v>3.02</v>
      </c>
      <c r="F892" s="15">
        <v>680.27</v>
      </c>
      <c r="G892" s="16">
        <f>ROUND(E892*F892,2)</f>
        <v>2054.42</v>
      </c>
    </row>
    <row r="893" spans="1:7" x14ac:dyDescent="0.3">
      <c r="A893" s="13" t="s">
        <v>327</v>
      </c>
      <c r="B893" s="13" t="s">
        <v>15</v>
      </c>
      <c r="C893" s="13" t="s">
        <v>60</v>
      </c>
      <c r="D893" s="14" t="s">
        <v>328</v>
      </c>
      <c r="E893" s="15">
        <v>3.53</v>
      </c>
      <c r="F893" s="15">
        <v>693.2</v>
      </c>
      <c r="G893" s="16">
        <f>ROUND(E893*F893,2)</f>
        <v>2447</v>
      </c>
    </row>
    <row r="894" spans="1:7" x14ac:dyDescent="0.3">
      <c r="A894" s="13" t="s">
        <v>329</v>
      </c>
      <c r="B894" s="13" t="s">
        <v>15</v>
      </c>
      <c r="C894" s="13" t="s">
        <v>60</v>
      </c>
      <c r="D894" s="14" t="s">
        <v>330</v>
      </c>
      <c r="E894" s="15">
        <v>3.59</v>
      </c>
      <c r="F894" s="15">
        <v>693.4</v>
      </c>
      <c r="G894" s="16">
        <f>ROUND(E894*F894,2)</f>
        <v>2489.31</v>
      </c>
    </row>
    <row r="895" spans="1:7" x14ac:dyDescent="0.3">
      <c r="A895" s="13" t="s">
        <v>331</v>
      </c>
      <c r="B895" s="13" t="s">
        <v>15</v>
      </c>
      <c r="C895" s="13" t="s">
        <v>60</v>
      </c>
      <c r="D895" s="14" t="s">
        <v>332</v>
      </c>
      <c r="E895" s="15">
        <v>3.39</v>
      </c>
      <c r="F895" s="15">
        <v>700.15</v>
      </c>
      <c r="G895" s="16">
        <f>ROUND(E895*F895,2)</f>
        <v>2373.5100000000002</v>
      </c>
    </row>
    <row r="896" spans="1:7" x14ac:dyDescent="0.3">
      <c r="A896" s="13" t="s">
        <v>604</v>
      </c>
      <c r="B896" s="13" t="s">
        <v>15</v>
      </c>
      <c r="C896" s="13" t="s">
        <v>60</v>
      </c>
      <c r="D896" s="14" t="s">
        <v>605</v>
      </c>
      <c r="E896" s="15">
        <v>1.81</v>
      </c>
      <c r="F896" s="15">
        <v>646.07000000000005</v>
      </c>
      <c r="G896" s="16">
        <f>ROUND(E896*F896,2)</f>
        <v>1169.3900000000001</v>
      </c>
    </row>
    <row r="897" spans="1:7" x14ac:dyDescent="0.3">
      <c r="A897" s="13" t="s">
        <v>333</v>
      </c>
      <c r="B897" s="13" t="s">
        <v>15</v>
      </c>
      <c r="C897" s="13" t="s">
        <v>60</v>
      </c>
      <c r="D897" s="14" t="s">
        <v>334</v>
      </c>
      <c r="E897" s="15">
        <v>3.43</v>
      </c>
      <c r="F897" s="15">
        <v>693.4</v>
      </c>
      <c r="G897" s="16">
        <f>ROUND(E897*F897,2)</f>
        <v>2378.36</v>
      </c>
    </row>
    <row r="898" spans="1:7" ht="31.2" x14ac:dyDescent="0.3">
      <c r="A898" s="13" t="s">
        <v>432</v>
      </c>
      <c r="B898" s="13" t="s">
        <v>15</v>
      </c>
      <c r="C898" s="13" t="s">
        <v>60</v>
      </c>
      <c r="D898" s="14" t="s">
        <v>433</v>
      </c>
      <c r="E898" s="15">
        <v>0.47</v>
      </c>
      <c r="F898" s="15">
        <v>700.07</v>
      </c>
      <c r="G898" s="16">
        <f>ROUND(E898*F898,2)</f>
        <v>329.03</v>
      </c>
    </row>
    <row r="899" spans="1:7" x14ac:dyDescent="0.3">
      <c r="A899" s="13" t="s">
        <v>335</v>
      </c>
      <c r="B899" s="13" t="s">
        <v>15</v>
      </c>
      <c r="C899" s="13" t="s">
        <v>91</v>
      </c>
      <c r="D899" s="14" t="s">
        <v>336</v>
      </c>
      <c r="E899" s="15">
        <v>10</v>
      </c>
      <c r="F899" s="15">
        <v>367.46</v>
      </c>
      <c r="G899" s="16">
        <f>ROUND(E899*F899,2)</f>
        <v>3674.6</v>
      </c>
    </row>
    <row r="900" spans="1:7" x14ac:dyDescent="0.3">
      <c r="A900" s="13" t="s">
        <v>606</v>
      </c>
      <c r="B900" s="13" t="s">
        <v>15</v>
      </c>
      <c r="C900" s="13" t="s">
        <v>60</v>
      </c>
      <c r="D900" s="14" t="s">
        <v>607</v>
      </c>
      <c r="E900" s="15">
        <v>44.34</v>
      </c>
      <c r="F900" s="15">
        <v>492.15</v>
      </c>
      <c r="G900" s="16">
        <f>ROUND(E900*F900,2)</f>
        <v>21821.93</v>
      </c>
    </row>
    <row r="901" spans="1:7" x14ac:dyDescent="0.3">
      <c r="A901" s="17"/>
      <c r="B901" s="17"/>
      <c r="C901" s="17"/>
      <c r="D901" s="18" t="s">
        <v>608</v>
      </c>
      <c r="E901" s="15">
        <v>1</v>
      </c>
      <c r="F901" s="12">
        <f>SUM(G883:G900)</f>
        <v>67661.09</v>
      </c>
      <c r="G901" s="12">
        <f>ROUND(F901*E901,2)</f>
        <v>67661.09</v>
      </c>
    </row>
    <row r="902" spans="1:7" ht="1.05" customHeight="1" x14ac:dyDescent="0.3">
      <c r="A902" s="20"/>
      <c r="B902" s="20"/>
      <c r="C902" s="20"/>
      <c r="D902" s="21"/>
      <c r="E902" s="20"/>
      <c r="F902" s="20"/>
      <c r="G902" s="20"/>
    </row>
    <row r="903" spans="1:7" x14ac:dyDescent="0.3">
      <c r="A903" s="22" t="s">
        <v>609</v>
      </c>
      <c r="B903" s="22" t="s">
        <v>11</v>
      </c>
      <c r="C903" s="22" t="s">
        <v>12</v>
      </c>
      <c r="D903" s="23" t="s">
        <v>109</v>
      </c>
      <c r="E903" s="12">
        <f>E906</f>
        <v>1</v>
      </c>
      <c r="F903" s="12">
        <f>F906</f>
        <v>19007.89</v>
      </c>
      <c r="G903" s="12">
        <f>G906</f>
        <v>19007.89</v>
      </c>
    </row>
    <row r="904" spans="1:7" ht="31.2" x14ac:dyDescent="0.3">
      <c r="A904" s="13" t="s">
        <v>110</v>
      </c>
      <c r="B904" s="13" t="s">
        <v>15</v>
      </c>
      <c r="C904" s="13" t="s">
        <v>112</v>
      </c>
      <c r="D904" s="14" t="s">
        <v>111</v>
      </c>
      <c r="E904" s="15">
        <v>669.05</v>
      </c>
      <c r="F904" s="15">
        <v>27.41</v>
      </c>
      <c r="G904" s="16">
        <f>ROUND(E904*F904,2)</f>
        <v>18338.66</v>
      </c>
    </row>
    <row r="905" spans="1:7" ht="31.2" x14ac:dyDescent="0.3">
      <c r="A905" s="13" t="s">
        <v>499</v>
      </c>
      <c r="B905" s="13" t="s">
        <v>15</v>
      </c>
      <c r="C905" s="13" t="s">
        <v>112</v>
      </c>
      <c r="D905" s="14" t="s">
        <v>500</v>
      </c>
      <c r="E905" s="15">
        <v>32.19</v>
      </c>
      <c r="F905" s="15">
        <v>20.79</v>
      </c>
      <c r="G905" s="16">
        <f>ROUND(E905*F905,2)</f>
        <v>669.23</v>
      </c>
    </row>
    <row r="906" spans="1:7" x14ac:dyDescent="0.3">
      <c r="A906" s="17"/>
      <c r="B906" s="17"/>
      <c r="C906" s="17"/>
      <c r="D906" s="18" t="s">
        <v>610</v>
      </c>
      <c r="E906" s="15">
        <v>1</v>
      </c>
      <c r="F906" s="12">
        <f>SUM(G904:G905)</f>
        <v>19007.89</v>
      </c>
      <c r="G906" s="12">
        <f>ROUND(F906*E906,2)</f>
        <v>19007.89</v>
      </c>
    </row>
    <row r="907" spans="1:7" ht="1.05" customHeight="1" x14ac:dyDescent="0.3">
      <c r="A907" s="20"/>
      <c r="B907" s="20"/>
      <c r="C907" s="20"/>
      <c r="D907" s="21"/>
      <c r="E907" s="20"/>
      <c r="F907" s="20"/>
      <c r="G907" s="20"/>
    </row>
    <row r="908" spans="1:7" x14ac:dyDescent="0.3">
      <c r="A908" s="22" t="s">
        <v>611</v>
      </c>
      <c r="B908" s="22" t="s">
        <v>11</v>
      </c>
      <c r="C908" s="22" t="s">
        <v>12</v>
      </c>
      <c r="D908" s="23" t="s">
        <v>115</v>
      </c>
      <c r="E908" s="12">
        <f>E917</f>
        <v>1</v>
      </c>
      <c r="F908" s="12">
        <f>F917</f>
        <v>30062.339999999997</v>
      </c>
      <c r="G908" s="12">
        <f>G917</f>
        <v>30062.34</v>
      </c>
    </row>
    <row r="909" spans="1:7" x14ac:dyDescent="0.3">
      <c r="A909" s="13" t="s">
        <v>116</v>
      </c>
      <c r="B909" s="13" t="s">
        <v>15</v>
      </c>
      <c r="C909" s="13" t="s">
        <v>112</v>
      </c>
      <c r="D909" s="14" t="s">
        <v>117</v>
      </c>
      <c r="E909" s="15">
        <v>319.33999999999997</v>
      </c>
      <c r="F909" s="15">
        <v>1.96</v>
      </c>
      <c r="G909" s="16">
        <f>ROUND(E909*F909,2)</f>
        <v>625.91</v>
      </c>
    </row>
    <row r="910" spans="1:7" ht="31.2" x14ac:dyDescent="0.3">
      <c r="A910" s="13" t="s">
        <v>118</v>
      </c>
      <c r="B910" s="13" t="s">
        <v>15</v>
      </c>
      <c r="C910" s="13" t="s">
        <v>112</v>
      </c>
      <c r="D910" s="14" t="s">
        <v>119</v>
      </c>
      <c r="E910" s="15">
        <v>1274.56</v>
      </c>
      <c r="F910" s="15">
        <v>8.4</v>
      </c>
      <c r="G910" s="16">
        <f>ROUND(E910*F910,2)</f>
        <v>10706.3</v>
      </c>
    </row>
    <row r="911" spans="1:7" x14ac:dyDescent="0.3">
      <c r="A911" s="13" t="s">
        <v>503</v>
      </c>
      <c r="B911" s="13" t="s">
        <v>15</v>
      </c>
      <c r="C911" s="13" t="s">
        <v>112</v>
      </c>
      <c r="D911" s="14" t="s">
        <v>504</v>
      </c>
      <c r="E911" s="15">
        <v>1720.08</v>
      </c>
      <c r="F911" s="15">
        <v>3.02</v>
      </c>
      <c r="G911" s="16">
        <f>ROUND(E911*F911,2)</f>
        <v>5194.6400000000003</v>
      </c>
    </row>
    <row r="912" spans="1:7" ht="31.2" x14ac:dyDescent="0.3">
      <c r="A912" s="13" t="s">
        <v>120</v>
      </c>
      <c r="B912" s="13" t="s">
        <v>15</v>
      </c>
      <c r="C912" s="13" t="s">
        <v>112</v>
      </c>
      <c r="D912" s="14" t="s">
        <v>121</v>
      </c>
      <c r="E912" s="15">
        <v>206.66</v>
      </c>
      <c r="F912" s="15">
        <v>8.4700000000000006</v>
      </c>
      <c r="G912" s="16">
        <f>ROUND(E912*F912,2)</f>
        <v>1750.41</v>
      </c>
    </row>
    <row r="913" spans="1:7" ht="31.2" x14ac:dyDescent="0.3">
      <c r="A913" s="13" t="s">
        <v>122</v>
      </c>
      <c r="B913" s="13" t="s">
        <v>15</v>
      </c>
      <c r="C913" s="13" t="s">
        <v>112</v>
      </c>
      <c r="D913" s="14" t="s">
        <v>123</v>
      </c>
      <c r="E913" s="15">
        <v>445.52</v>
      </c>
      <c r="F913" s="15">
        <v>11.87</v>
      </c>
      <c r="G913" s="16">
        <f>ROUND(E913*F913,2)</f>
        <v>5288.32</v>
      </c>
    </row>
    <row r="914" spans="1:7" ht="31.2" x14ac:dyDescent="0.3">
      <c r="A914" s="13" t="s">
        <v>124</v>
      </c>
      <c r="B914" s="13" t="s">
        <v>15</v>
      </c>
      <c r="C914" s="13" t="s">
        <v>112</v>
      </c>
      <c r="D914" s="14" t="s">
        <v>125</v>
      </c>
      <c r="E914" s="15">
        <v>97.2</v>
      </c>
      <c r="F914" s="15">
        <v>9.4600000000000009</v>
      </c>
      <c r="G914" s="16">
        <f>ROUND(E914*F914,2)</f>
        <v>919.51</v>
      </c>
    </row>
    <row r="915" spans="1:7" x14ac:dyDescent="0.3">
      <c r="A915" s="13" t="s">
        <v>126</v>
      </c>
      <c r="B915" s="13" t="s">
        <v>15</v>
      </c>
      <c r="C915" s="13" t="s">
        <v>28</v>
      </c>
      <c r="D915" s="14" t="s">
        <v>127</v>
      </c>
      <c r="E915" s="15">
        <v>902.38</v>
      </c>
      <c r="F915" s="15">
        <v>4.16</v>
      </c>
      <c r="G915" s="16">
        <f>ROUND(E915*F915,2)</f>
        <v>3753.9</v>
      </c>
    </row>
    <row r="916" spans="1:7" x14ac:dyDescent="0.3">
      <c r="A916" s="13" t="s">
        <v>128</v>
      </c>
      <c r="B916" s="13" t="s">
        <v>15</v>
      </c>
      <c r="C916" s="13" t="s">
        <v>28</v>
      </c>
      <c r="D916" s="14" t="s">
        <v>129</v>
      </c>
      <c r="E916" s="15">
        <v>404.29</v>
      </c>
      <c r="F916" s="15">
        <v>4.51</v>
      </c>
      <c r="G916" s="16">
        <f>ROUND(E916*F916,2)</f>
        <v>1823.35</v>
      </c>
    </row>
    <row r="917" spans="1:7" x14ac:dyDescent="0.3">
      <c r="A917" s="17"/>
      <c r="B917" s="17"/>
      <c r="C917" s="17"/>
      <c r="D917" s="18" t="s">
        <v>612</v>
      </c>
      <c r="E917" s="15">
        <v>1</v>
      </c>
      <c r="F917" s="12">
        <f>SUM(G909:G916)</f>
        <v>30062.339999999997</v>
      </c>
      <c r="G917" s="12">
        <f>ROUND(F917*E917,2)</f>
        <v>30062.34</v>
      </c>
    </row>
    <row r="918" spans="1:7" ht="1.05" customHeight="1" x14ac:dyDescent="0.3">
      <c r="A918" s="20"/>
      <c r="B918" s="20"/>
      <c r="C918" s="20"/>
      <c r="D918" s="21"/>
      <c r="E918" s="20"/>
      <c r="F918" s="20"/>
      <c r="G918" s="20"/>
    </row>
    <row r="919" spans="1:7" x14ac:dyDescent="0.3">
      <c r="A919" s="22" t="s">
        <v>613</v>
      </c>
      <c r="B919" s="22" t="s">
        <v>11</v>
      </c>
      <c r="C919" s="22" t="s">
        <v>12</v>
      </c>
      <c r="D919" s="23" t="s">
        <v>132</v>
      </c>
      <c r="E919" s="12">
        <f>E922</f>
        <v>1</v>
      </c>
      <c r="F919" s="12">
        <f>F922</f>
        <v>17162.07</v>
      </c>
      <c r="G919" s="12">
        <f>G922</f>
        <v>17162.07</v>
      </c>
    </row>
    <row r="920" spans="1:7" ht="31.2" x14ac:dyDescent="0.3">
      <c r="A920" s="13" t="s">
        <v>133</v>
      </c>
      <c r="B920" s="13" t="s">
        <v>15</v>
      </c>
      <c r="C920" s="13" t="s">
        <v>112</v>
      </c>
      <c r="D920" s="14" t="s">
        <v>134</v>
      </c>
      <c r="E920" s="15">
        <v>351.5</v>
      </c>
      <c r="F920" s="15">
        <v>42.32</v>
      </c>
      <c r="G920" s="16">
        <f>ROUND(E920*F920,2)</f>
        <v>14875.48</v>
      </c>
    </row>
    <row r="921" spans="1:7" ht="31.2" x14ac:dyDescent="0.3">
      <c r="A921" s="13" t="s">
        <v>135</v>
      </c>
      <c r="B921" s="13" t="s">
        <v>15</v>
      </c>
      <c r="C921" s="13" t="s">
        <v>28</v>
      </c>
      <c r="D921" s="14" t="s">
        <v>136</v>
      </c>
      <c r="E921" s="15">
        <v>394.92</v>
      </c>
      <c r="F921" s="15">
        <v>5.79</v>
      </c>
      <c r="G921" s="16">
        <f>ROUND(E921*F921,2)</f>
        <v>2286.59</v>
      </c>
    </row>
    <row r="922" spans="1:7" x14ac:dyDescent="0.3">
      <c r="A922" s="17"/>
      <c r="B922" s="17"/>
      <c r="C922" s="17"/>
      <c r="D922" s="18" t="s">
        <v>614</v>
      </c>
      <c r="E922" s="15">
        <v>1</v>
      </c>
      <c r="F922" s="12">
        <f>SUM(G920:G921)</f>
        <v>17162.07</v>
      </c>
      <c r="G922" s="12">
        <f>ROUND(F922*E922,2)</f>
        <v>17162.07</v>
      </c>
    </row>
    <row r="923" spans="1:7" ht="1.05" customHeight="1" x14ac:dyDescent="0.3">
      <c r="A923" s="20"/>
      <c r="B923" s="20"/>
      <c r="C923" s="20"/>
      <c r="D923" s="21"/>
      <c r="E923" s="20"/>
      <c r="F923" s="20"/>
      <c r="G923" s="20"/>
    </row>
    <row r="924" spans="1:7" x14ac:dyDescent="0.3">
      <c r="A924" s="22" t="s">
        <v>615</v>
      </c>
      <c r="B924" s="22" t="s">
        <v>11</v>
      </c>
      <c r="C924" s="22" t="s">
        <v>12</v>
      </c>
      <c r="D924" s="23" t="s">
        <v>347</v>
      </c>
      <c r="E924" s="12">
        <f>E926</f>
        <v>1</v>
      </c>
      <c r="F924" s="12">
        <f>F926</f>
        <v>5980.03</v>
      </c>
      <c r="G924" s="12">
        <f>G926</f>
        <v>5980.03</v>
      </c>
    </row>
    <row r="925" spans="1:7" ht="31.2" x14ac:dyDescent="0.3">
      <c r="A925" s="13" t="s">
        <v>348</v>
      </c>
      <c r="B925" s="13" t="s">
        <v>15</v>
      </c>
      <c r="C925" s="13" t="s">
        <v>22</v>
      </c>
      <c r="D925" s="14" t="s">
        <v>349</v>
      </c>
      <c r="E925" s="15">
        <v>138.78</v>
      </c>
      <c r="F925" s="15">
        <v>43.09</v>
      </c>
      <c r="G925" s="16">
        <f>ROUND(E925*F925,2)</f>
        <v>5980.03</v>
      </c>
    </row>
    <row r="926" spans="1:7" x14ac:dyDescent="0.3">
      <c r="A926" s="17"/>
      <c r="B926" s="17"/>
      <c r="C926" s="17"/>
      <c r="D926" s="18" t="s">
        <v>616</v>
      </c>
      <c r="E926" s="15">
        <v>1</v>
      </c>
      <c r="F926" s="12">
        <f>G925</f>
        <v>5980.03</v>
      </c>
      <c r="G926" s="12">
        <f>ROUND(F926*E926,2)</f>
        <v>5980.03</v>
      </c>
    </row>
    <row r="927" spans="1:7" ht="1.05" customHeight="1" x14ac:dyDescent="0.3">
      <c r="A927" s="20"/>
      <c r="B927" s="20"/>
      <c r="C927" s="20"/>
      <c r="D927" s="21"/>
      <c r="E927" s="20"/>
      <c r="F927" s="20"/>
      <c r="G927" s="20"/>
    </row>
    <row r="928" spans="1:7" x14ac:dyDescent="0.3">
      <c r="A928" s="22" t="s">
        <v>617</v>
      </c>
      <c r="B928" s="22" t="s">
        <v>11</v>
      </c>
      <c r="C928" s="22" t="s">
        <v>12</v>
      </c>
      <c r="D928" s="23" t="s">
        <v>141</v>
      </c>
      <c r="E928" s="12">
        <f>E931</f>
        <v>1</v>
      </c>
      <c r="F928" s="12">
        <f>F931</f>
        <v>3149.3900000000003</v>
      </c>
      <c r="G928" s="12">
        <f>G931</f>
        <v>3149.39</v>
      </c>
    </row>
    <row r="929" spans="1:7" ht="31.2" x14ac:dyDescent="0.3">
      <c r="A929" s="13" t="s">
        <v>142</v>
      </c>
      <c r="B929" s="13" t="s">
        <v>15</v>
      </c>
      <c r="C929" s="13" t="s">
        <v>28</v>
      </c>
      <c r="D929" s="14" t="s">
        <v>143</v>
      </c>
      <c r="E929" s="15">
        <v>46.8</v>
      </c>
      <c r="F929" s="15">
        <v>61.92</v>
      </c>
      <c r="G929" s="16">
        <f>ROUND(E929*F929,2)</f>
        <v>2897.86</v>
      </c>
    </row>
    <row r="930" spans="1:7" x14ac:dyDescent="0.3">
      <c r="A930" s="13" t="s">
        <v>144</v>
      </c>
      <c r="B930" s="13" t="s">
        <v>15</v>
      </c>
      <c r="C930" s="13" t="s">
        <v>112</v>
      </c>
      <c r="D930" s="14" t="s">
        <v>145</v>
      </c>
      <c r="E930" s="15">
        <v>6.54</v>
      </c>
      <c r="F930" s="15">
        <v>38.46</v>
      </c>
      <c r="G930" s="16">
        <f>ROUND(E930*F930,2)</f>
        <v>251.53</v>
      </c>
    </row>
    <row r="931" spans="1:7" x14ac:dyDescent="0.3">
      <c r="A931" s="17"/>
      <c r="B931" s="17"/>
      <c r="C931" s="17"/>
      <c r="D931" s="18" t="s">
        <v>618</v>
      </c>
      <c r="E931" s="15">
        <v>1</v>
      </c>
      <c r="F931" s="12">
        <f>SUM(G929:G930)</f>
        <v>3149.3900000000003</v>
      </c>
      <c r="G931" s="12">
        <f>ROUND(F931*E931,2)</f>
        <v>3149.39</v>
      </c>
    </row>
    <row r="932" spans="1:7" ht="1.05" customHeight="1" x14ac:dyDescent="0.3">
      <c r="A932" s="20"/>
      <c r="B932" s="20"/>
      <c r="C932" s="20"/>
      <c r="D932" s="21"/>
      <c r="E932" s="20"/>
      <c r="F932" s="20"/>
      <c r="G932" s="20"/>
    </row>
    <row r="933" spans="1:7" x14ac:dyDescent="0.3">
      <c r="A933" s="22" t="s">
        <v>619</v>
      </c>
      <c r="B933" s="22" t="s">
        <v>11</v>
      </c>
      <c r="C933" s="22" t="s">
        <v>12</v>
      </c>
      <c r="D933" s="23" t="s">
        <v>148</v>
      </c>
      <c r="E933" s="12">
        <f>E939</f>
        <v>1</v>
      </c>
      <c r="F933" s="12">
        <f>F939</f>
        <v>28504.5</v>
      </c>
      <c r="G933" s="12">
        <f>G939</f>
        <v>28504.5</v>
      </c>
    </row>
    <row r="934" spans="1:7" ht="31.2" x14ac:dyDescent="0.3">
      <c r="A934" s="13" t="s">
        <v>149</v>
      </c>
      <c r="B934" s="13" t="s">
        <v>15</v>
      </c>
      <c r="C934" s="13" t="s">
        <v>151</v>
      </c>
      <c r="D934" s="14" t="s">
        <v>150</v>
      </c>
      <c r="E934" s="15">
        <v>1</v>
      </c>
      <c r="F934" s="15">
        <v>249.6</v>
      </c>
      <c r="G934" s="16">
        <f>ROUND(E934*F934,2)</f>
        <v>249.6</v>
      </c>
    </row>
    <row r="935" spans="1:7" ht="31.2" x14ac:dyDescent="0.3">
      <c r="A935" s="13" t="s">
        <v>152</v>
      </c>
      <c r="B935" s="13" t="s">
        <v>15</v>
      </c>
      <c r="C935" s="13" t="s">
        <v>151</v>
      </c>
      <c r="D935" s="14" t="s">
        <v>153</v>
      </c>
      <c r="E935" s="15">
        <v>2</v>
      </c>
      <c r="F935" s="15">
        <v>424.61</v>
      </c>
      <c r="G935" s="16">
        <f>ROUND(E935*F935,2)</f>
        <v>849.22</v>
      </c>
    </row>
    <row r="936" spans="1:7" ht="31.2" x14ac:dyDescent="0.3">
      <c r="A936" s="13" t="s">
        <v>517</v>
      </c>
      <c r="B936" s="13" t="s">
        <v>15</v>
      </c>
      <c r="C936" s="13" t="s">
        <v>151</v>
      </c>
      <c r="D936" s="14" t="s">
        <v>518</v>
      </c>
      <c r="E936" s="15">
        <v>5</v>
      </c>
      <c r="F936" s="15">
        <v>714</v>
      </c>
      <c r="G936" s="16">
        <f>ROUND(E936*F936,2)</f>
        <v>3570</v>
      </c>
    </row>
    <row r="937" spans="1:7" ht="31.2" x14ac:dyDescent="0.3">
      <c r="A937" s="13" t="s">
        <v>519</v>
      </c>
      <c r="B937" s="13" t="s">
        <v>15</v>
      </c>
      <c r="C937" s="13" t="s">
        <v>151</v>
      </c>
      <c r="D937" s="14" t="s">
        <v>520</v>
      </c>
      <c r="E937" s="15">
        <v>21</v>
      </c>
      <c r="F937" s="15">
        <v>538.34</v>
      </c>
      <c r="G937" s="16">
        <f>ROUND(E937*F937,2)</f>
        <v>11305.14</v>
      </c>
    </row>
    <row r="938" spans="1:7" ht="31.2" x14ac:dyDescent="0.3">
      <c r="A938" s="13" t="s">
        <v>521</v>
      </c>
      <c r="B938" s="13" t="s">
        <v>15</v>
      </c>
      <c r="C938" s="13" t="s">
        <v>363</v>
      </c>
      <c r="D938" s="14" t="s">
        <v>522</v>
      </c>
      <c r="E938" s="15">
        <v>537.33000000000004</v>
      </c>
      <c r="F938" s="15">
        <v>23.32</v>
      </c>
      <c r="G938" s="16">
        <f>ROUND(E938*F938,2)</f>
        <v>12530.54</v>
      </c>
    </row>
    <row r="939" spans="1:7" x14ac:dyDescent="0.3">
      <c r="A939" s="17"/>
      <c r="B939" s="17"/>
      <c r="C939" s="17"/>
      <c r="D939" s="18" t="s">
        <v>620</v>
      </c>
      <c r="E939" s="15">
        <v>1</v>
      </c>
      <c r="F939" s="12">
        <f>SUM(G934:G938)</f>
        <v>28504.5</v>
      </c>
      <c r="G939" s="12">
        <f>ROUND(F939*E939,2)</f>
        <v>28504.5</v>
      </c>
    </row>
    <row r="940" spans="1:7" ht="1.05" customHeight="1" x14ac:dyDescent="0.3">
      <c r="A940" s="20"/>
      <c r="B940" s="20"/>
      <c r="C940" s="20"/>
      <c r="D940" s="21"/>
      <c r="E940" s="20"/>
      <c r="F940" s="20"/>
      <c r="G940" s="20"/>
    </row>
    <row r="941" spans="1:7" x14ac:dyDescent="0.3">
      <c r="A941" s="22" t="s">
        <v>621</v>
      </c>
      <c r="B941" s="22" t="s">
        <v>11</v>
      </c>
      <c r="C941" s="22" t="s">
        <v>12</v>
      </c>
      <c r="D941" s="23" t="s">
        <v>360</v>
      </c>
      <c r="E941" s="12">
        <f>E943</f>
        <v>1</v>
      </c>
      <c r="F941" s="12">
        <f>F943</f>
        <v>5145.9799999999996</v>
      </c>
      <c r="G941" s="12">
        <f>G943</f>
        <v>5145.9799999999996</v>
      </c>
    </row>
    <row r="942" spans="1:7" ht="31.2" x14ac:dyDescent="0.3">
      <c r="A942" s="13" t="s">
        <v>361</v>
      </c>
      <c r="B942" s="13" t="s">
        <v>15</v>
      </c>
      <c r="C942" s="13" t="s">
        <v>363</v>
      </c>
      <c r="D942" s="14" t="s">
        <v>362</v>
      </c>
      <c r="E942" s="15">
        <v>578.85</v>
      </c>
      <c r="F942" s="15">
        <v>8.89</v>
      </c>
      <c r="G942" s="16">
        <f>ROUND(E942*F942,2)</f>
        <v>5145.9799999999996</v>
      </c>
    </row>
    <row r="943" spans="1:7" x14ac:dyDescent="0.3">
      <c r="A943" s="17"/>
      <c r="B943" s="17"/>
      <c r="C943" s="17"/>
      <c r="D943" s="18" t="s">
        <v>622</v>
      </c>
      <c r="E943" s="15">
        <v>1</v>
      </c>
      <c r="F943" s="12">
        <f>G942</f>
        <v>5145.9799999999996</v>
      </c>
      <c r="G943" s="12">
        <f>ROUND(F943*E943,2)</f>
        <v>5145.9799999999996</v>
      </c>
    </row>
    <row r="944" spans="1:7" ht="1.05" customHeight="1" x14ac:dyDescent="0.3">
      <c r="A944" s="20"/>
      <c r="B944" s="20"/>
      <c r="C944" s="20"/>
      <c r="D944" s="21"/>
      <c r="E944" s="20"/>
      <c r="F944" s="20"/>
      <c r="G944" s="20"/>
    </row>
    <row r="945" spans="1:7" x14ac:dyDescent="0.3">
      <c r="A945" s="22" t="s">
        <v>623</v>
      </c>
      <c r="B945" s="22" t="s">
        <v>11</v>
      </c>
      <c r="C945" s="22" t="s">
        <v>12</v>
      </c>
      <c r="D945" s="23" t="s">
        <v>156</v>
      </c>
      <c r="E945" s="12">
        <f>E950</f>
        <v>1</v>
      </c>
      <c r="F945" s="12">
        <f>F950</f>
        <v>19648.690000000002</v>
      </c>
      <c r="G945" s="12">
        <f>G950</f>
        <v>19648.689999999999</v>
      </c>
    </row>
    <row r="946" spans="1:7" x14ac:dyDescent="0.3">
      <c r="A946" s="13" t="s">
        <v>157</v>
      </c>
      <c r="B946" s="13" t="s">
        <v>15</v>
      </c>
      <c r="C946" s="13" t="s">
        <v>112</v>
      </c>
      <c r="D946" s="14" t="s">
        <v>158</v>
      </c>
      <c r="E946" s="15">
        <v>2084.58</v>
      </c>
      <c r="F946" s="15">
        <v>4.0199999999999996</v>
      </c>
      <c r="G946" s="16">
        <f>ROUND(E946*F946,2)</f>
        <v>8380.01</v>
      </c>
    </row>
    <row r="947" spans="1:7" x14ac:dyDescent="0.3">
      <c r="A947" s="13" t="s">
        <v>159</v>
      </c>
      <c r="B947" s="13" t="s">
        <v>15</v>
      </c>
      <c r="C947" s="13" t="s">
        <v>112</v>
      </c>
      <c r="D947" s="14" t="s">
        <v>160</v>
      </c>
      <c r="E947" s="15">
        <v>1432.4</v>
      </c>
      <c r="F947" s="15">
        <v>4.37</v>
      </c>
      <c r="G947" s="16">
        <f>ROUND(E947*F947,2)</f>
        <v>6259.59</v>
      </c>
    </row>
    <row r="948" spans="1:7" x14ac:dyDescent="0.3">
      <c r="A948" s="13" t="s">
        <v>527</v>
      </c>
      <c r="B948" s="13" t="s">
        <v>15</v>
      </c>
      <c r="C948" s="13" t="s">
        <v>112</v>
      </c>
      <c r="D948" s="14" t="s">
        <v>528</v>
      </c>
      <c r="E948" s="15">
        <v>206.66</v>
      </c>
      <c r="F948" s="15">
        <v>8.35</v>
      </c>
      <c r="G948" s="16">
        <f>ROUND(E948*F948,2)</f>
        <v>1725.61</v>
      </c>
    </row>
    <row r="949" spans="1:7" x14ac:dyDescent="0.3">
      <c r="A949" s="13" t="s">
        <v>161</v>
      </c>
      <c r="B949" s="13" t="s">
        <v>15</v>
      </c>
      <c r="C949" s="13" t="s">
        <v>112</v>
      </c>
      <c r="D949" s="14" t="s">
        <v>162</v>
      </c>
      <c r="E949" s="15">
        <v>445.52</v>
      </c>
      <c r="F949" s="15">
        <v>7.37</v>
      </c>
      <c r="G949" s="16">
        <f>ROUND(E949*F949,2)</f>
        <v>3283.48</v>
      </c>
    </row>
    <row r="950" spans="1:7" x14ac:dyDescent="0.3">
      <c r="A950" s="17"/>
      <c r="B950" s="17"/>
      <c r="C950" s="17"/>
      <c r="D950" s="18" t="s">
        <v>624</v>
      </c>
      <c r="E950" s="15">
        <v>1</v>
      </c>
      <c r="F950" s="12">
        <f>SUM(G946:G949)</f>
        <v>19648.690000000002</v>
      </c>
      <c r="G950" s="12">
        <f>ROUND(F950*E950,2)</f>
        <v>19648.689999999999</v>
      </c>
    </row>
    <row r="951" spans="1:7" ht="1.05" customHeight="1" x14ac:dyDescent="0.3">
      <c r="A951" s="20"/>
      <c r="B951" s="20"/>
      <c r="C951" s="20"/>
      <c r="D951" s="21"/>
      <c r="E951" s="20"/>
      <c r="F951" s="20"/>
      <c r="G951" s="20"/>
    </row>
    <row r="952" spans="1:7" x14ac:dyDescent="0.3">
      <c r="A952" s="22" t="s">
        <v>625</v>
      </c>
      <c r="B952" s="22" t="s">
        <v>11</v>
      </c>
      <c r="C952" s="22" t="s">
        <v>12</v>
      </c>
      <c r="D952" s="23" t="s">
        <v>531</v>
      </c>
      <c r="E952" s="12">
        <f>E956</f>
        <v>1</v>
      </c>
      <c r="F952" s="12">
        <f>F956</f>
        <v>9989.7900000000009</v>
      </c>
      <c r="G952" s="12">
        <f>G956</f>
        <v>9989.7900000000009</v>
      </c>
    </row>
    <row r="953" spans="1:7" ht="31.2" x14ac:dyDescent="0.3">
      <c r="A953" s="13" t="s">
        <v>532</v>
      </c>
      <c r="B953" s="13" t="s">
        <v>15</v>
      </c>
      <c r="C953" s="13" t="s">
        <v>534</v>
      </c>
      <c r="D953" s="14" t="s">
        <v>533</v>
      </c>
      <c r="E953" s="15">
        <v>40.51</v>
      </c>
      <c r="F953" s="15">
        <v>53.17</v>
      </c>
      <c r="G953" s="16">
        <f>ROUND(E953*F953,2)</f>
        <v>2153.92</v>
      </c>
    </row>
    <row r="954" spans="1:7" x14ac:dyDescent="0.3">
      <c r="A954" s="13" t="s">
        <v>535</v>
      </c>
      <c r="B954" s="13" t="s">
        <v>15</v>
      </c>
      <c r="C954" s="13" t="s">
        <v>534</v>
      </c>
      <c r="D954" s="14" t="s">
        <v>536</v>
      </c>
      <c r="E954" s="15">
        <v>48.38</v>
      </c>
      <c r="F954" s="15">
        <v>71.430000000000007</v>
      </c>
      <c r="G954" s="16">
        <f>ROUND(E954*F954,2)</f>
        <v>3455.78</v>
      </c>
    </row>
    <row r="955" spans="1:7" x14ac:dyDescent="0.3">
      <c r="A955" s="13" t="s">
        <v>537</v>
      </c>
      <c r="B955" s="13" t="s">
        <v>15</v>
      </c>
      <c r="C955" s="13" t="s">
        <v>534</v>
      </c>
      <c r="D955" s="14" t="s">
        <v>538</v>
      </c>
      <c r="E955" s="15">
        <v>61.32</v>
      </c>
      <c r="F955" s="15">
        <v>71.430000000000007</v>
      </c>
      <c r="G955" s="16">
        <f>ROUND(E955*F955,2)</f>
        <v>4380.09</v>
      </c>
    </row>
    <row r="956" spans="1:7" x14ac:dyDescent="0.3">
      <c r="A956" s="17"/>
      <c r="B956" s="17"/>
      <c r="C956" s="17"/>
      <c r="D956" s="18" t="s">
        <v>626</v>
      </c>
      <c r="E956" s="15">
        <v>1</v>
      </c>
      <c r="F956" s="12">
        <f>SUM(G953:G955)</f>
        <v>9989.7900000000009</v>
      </c>
      <c r="G956" s="12">
        <f>ROUND(F956*E956,2)</f>
        <v>9989.7900000000009</v>
      </c>
    </row>
    <row r="957" spans="1:7" ht="1.05" customHeight="1" x14ac:dyDescent="0.3">
      <c r="A957" s="20"/>
      <c r="B957" s="20"/>
      <c r="C957" s="20"/>
      <c r="D957" s="21"/>
      <c r="E957" s="20"/>
      <c r="F957" s="20"/>
      <c r="G957" s="20"/>
    </row>
    <row r="958" spans="1:7" x14ac:dyDescent="0.3">
      <c r="A958" s="22" t="s">
        <v>627</v>
      </c>
      <c r="B958" s="22" t="s">
        <v>11</v>
      </c>
      <c r="C958" s="22" t="s">
        <v>12</v>
      </c>
      <c r="D958" s="23" t="s">
        <v>165</v>
      </c>
      <c r="E958" s="12">
        <f>E965</f>
        <v>1</v>
      </c>
      <c r="F958" s="12">
        <f>F965</f>
        <v>10027.540000000001</v>
      </c>
      <c r="G958" s="12">
        <f>G965</f>
        <v>10027.540000000001</v>
      </c>
    </row>
    <row r="959" spans="1:7" x14ac:dyDescent="0.3">
      <c r="A959" s="13" t="s">
        <v>172</v>
      </c>
      <c r="B959" s="13" t="s">
        <v>15</v>
      </c>
      <c r="C959" s="13" t="s">
        <v>28</v>
      </c>
      <c r="D959" s="14" t="s">
        <v>173</v>
      </c>
      <c r="E959" s="15">
        <v>10</v>
      </c>
      <c r="F959" s="15">
        <v>122.02</v>
      </c>
      <c r="G959" s="16">
        <f>ROUND(E959*F959,2)</f>
        <v>1220.2</v>
      </c>
    </row>
    <row r="960" spans="1:7" x14ac:dyDescent="0.3">
      <c r="A960" s="13" t="s">
        <v>541</v>
      </c>
      <c r="B960" s="13" t="s">
        <v>15</v>
      </c>
      <c r="C960" s="13" t="s">
        <v>22</v>
      </c>
      <c r="D960" s="14" t="s">
        <v>542</v>
      </c>
      <c r="E960" s="15">
        <v>24.88</v>
      </c>
      <c r="F960" s="15">
        <v>212.06</v>
      </c>
      <c r="G960" s="16">
        <f>ROUND(E960*F960,2)</f>
        <v>5276.05</v>
      </c>
    </row>
    <row r="961" spans="1:7" x14ac:dyDescent="0.3">
      <c r="A961" s="13" t="s">
        <v>543</v>
      </c>
      <c r="B961" s="13" t="s">
        <v>15</v>
      </c>
      <c r="C961" s="13" t="s">
        <v>91</v>
      </c>
      <c r="D961" s="14" t="s">
        <v>544</v>
      </c>
      <c r="E961" s="15">
        <v>2.46</v>
      </c>
      <c r="F961" s="15">
        <v>113.44</v>
      </c>
      <c r="G961" s="16">
        <f>ROUND(E961*F961,2)</f>
        <v>279.06</v>
      </c>
    </row>
    <row r="962" spans="1:7" ht="31.2" x14ac:dyDescent="0.3">
      <c r="A962" s="13" t="s">
        <v>545</v>
      </c>
      <c r="B962" s="13" t="s">
        <v>15</v>
      </c>
      <c r="C962" s="13" t="s">
        <v>22</v>
      </c>
      <c r="D962" s="14" t="s">
        <v>546</v>
      </c>
      <c r="E962" s="15">
        <v>23.85</v>
      </c>
      <c r="F962" s="15">
        <v>44.13</v>
      </c>
      <c r="G962" s="16">
        <f>ROUND(E962*F962,2)</f>
        <v>1052.5</v>
      </c>
    </row>
    <row r="963" spans="1:7" x14ac:dyDescent="0.3">
      <c r="A963" s="13" t="s">
        <v>628</v>
      </c>
      <c r="B963" s="13" t="s">
        <v>15</v>
      </c>
      <c r="C963" s="13" t="s">
        <v>22</v>
      </c>
      <c r="D963" s="14" t="s">
        <v>629</v>
      </c>
      <c r="E963" s="15">
        <v>22.75</v>
      </c>
      <c r="F963" s="15">
        <v>49.72</v>
      </c>
      <c r="G963" s="16">
        <f>ROUND(E963*F963,2)</f>
        <v>1131.1300000000001</v>
      </c>
    </row>
    <row r="964" spans="1:7" x14ac:dyDescent="0.3">
      <c r="A964" s="13" t="s">
        <v>630</v>
      </c>
      <c r="B964" s="13" t="s">
        <v>15</v>
      </c>
      <c r="C964" s="13" t="s">
        <v>28</v>
      </c>
      <c r="D964" s="14" t="s">
        <v>631</v>
      </c>
      <c r="E964" s="15">
        <v>26</v>
      </c>
      <c r="F964" s="15">
        <v>41.1</v>
      </c>
      <c r="G964" s="16">
        <f>ROUND(E964*F964,2)</f>
        <v>1068.5999999999999</v>
      </c>
    </row>
    <row r="965" spans="1:7" x14ac:dyDescent="0.3">
      <c r="A965" s="17"/>
      <c r="B965" s="17"/>
      <c r="C965" s="17"/>
      <c r="D965" s="18" t="s">
        <v>632</v>
      </c>
      <c r="E965" s="15">
        <v>1</v>
      </c>
      <c r="F965" s="12">
        <f>SUM(G959:G964)</f>
        <v>10027.540000000001</v>
      </c>
      <c r="G965" s="12">
        <f>ROUND(F965*E965,2)</f>
        <v>10027.540000000001</v>
      </c>
    </row>
    <row r="966" spans="1:7" ht="1.05" customHeight="1" x14ac:dyDescent="0.3">
      <c r="A966" s="20"/>
      <c r="B966" s="20"/>
      <c r="C966" s="20"/>
      <c r="D966" s="21"/>
      <c r="E966" s="20"/>
      <c r="F966" s="20"/>
      <c r="G966" s="20"/>
    </row>
    <row r="967" spans="1:7" x14ac:dyDescent="0.3">
      <c r="A967" s="22" t="s">
        <v>633</v>
      </c>
      <c r="B967" s="22" t="s">
        <v>11</v>
      </c>
      <c r="C967" s="22" t="s">
        <v>12</v>
      </c>
      <c r="D967" s="23" t="s">
        <v>176</v>
      </c>
      <c r="E967" s="12">
        <f>E1017</f>
        <v>1</v>
      </c>
      <c r="F967" s="12">
        <f>F1017</f>
        <v>24253.940000000002</v>
      </c>
      <c r="G967" s="12">
        <f>G1017</f>
        <v>24253.94</v>
      </c>
    </row>
    <row r="968" spans="1:7" ht="31.2" x14ac:dyDescent="0.3">
      <c r="A968" s="22" t="s">
        <v>634</v>
      </c>
      <c r="B968" s="22" t="s">
        <v>11</v>
      </c>
      <c r="C968" s="22" t="s">
        <v>12</v>
      </c>
      <c r="D968" s="23" t="s">
        <v>229</v>
      </c>
      <c r="E968" s="12">
        <f>E981</f>
        <v>1</v>
      </c>
      <c r="F968" s="12">
        <f>F981</f>
        <v>3348</v>
      </c>
      <c r="G968" s="12">
        <f>G981</f>
        <v>3348</v>
      </c>
    </row>
    <row r="969" spans="1:7" x14ac:dyDescent="0.3">
      <c r="A969" s="13" t="s">
        <v>230</v>
      </c>
      <c r="B969" s="13" t="s">
        <v>15</v>
      </c>
      <c r="C969" s="13" t="s">
        <v>28</v>
      </c>
      <c r="D969" s="14" t="s">
        <v>231</v>
      </c>
      <c r="E969" s="15">
        <v>258.08999999999997</v>
      </c>
      <c r="F969" s="15">
        <v>1.9</v>
      </c>
      <c r="G969" s="16">
        <f>ROUND(E969*F969,2)</f>
        <v>490.37</v>
      </c>
    </row>
    <row r="970" spans="1:7" x14ac:dyDescent="0.3">
      <c r="A970" s="13" t="s">
        <v>232</v>
      </c>
      <c r="B970" s="13" t="s">
        <v>15</v>
      </c>
      <c r="C970" s="13" t="s">
        <v>28</v>
      </c>
      <c r="D970" s="14" t="s">
        <v>233</v>
      </c>
      <c r="E970" s="15">
        <v>258.08999999999997</v>
      </c>
      <c r="F970" s="15">
        <v>4.3499999999999996</v>
      </c>
      <c r="G970" s="16">
        <f>ROUND(E970*F970,2)</f>
        <v>1122.69</v>
      </c>
    </row>
    <row r="971" spans="1:7" x14ac:dyDescent="0.3">
      <c r="A971" s="13" t="s">
        <v>550</v>
      </c>
      <c r="B971" s="13" t="s">
        <v>15</v>
      </c>
      <c r="C971" s="13" t="s">
        <v>28</v>
      </c>
      <c r="D971" s="14" t="s">
        <v>551</v>
      </c>
      <c r="E971" s="15">
        <v>179.16</v>
      </c>
      <c r="F971" s="15">
        <v>2.98</v>
      </c>
      <c r="G971" s="16">
        <f>ROUND(E971*F971,2)</f>
        <v>533.9</v>
      </c>
    </row>
    <row r="972" spans="1:7" x14ac:dyDescent="0.3">
      <c r="A972" s="13" t="s">
        <v>234</v>
      </c>
      <c r="B972" s="13" t="s">
        <v>15</v>
      </c>
      <c r="C972" s="13" t="s">
        <v>28</v>
      </c>
      <c r="D972" s="14" t="s">
        <v>235</v>
      </c>
      <c r="E972" s="15">
        <v>56.18</v>
      </c>
      <c r="F972" s="15">
        <v>3.07</v>
      </c>
      <c r="G972" s="16">
        <f>ROUND(E972*F972,2)</f>
        <v>172.47</v>
      </c>
    </row>
    <row r="973" spans="1:7" x14ac:dyDescent="0.3">
      <c r="A973" s="13" t="s">
        <v>236</v>
      </c>
      <c r="B973" s="13" t="s">
        <v>15</v>
      </c>
      <c r="C973" s="13" t="s">
        <v>28</v>
      </c>
      <c r="D973" s="14" t="s">
        <v>237</v>
      </c>
      <c r="E973" s="15">
        <v>0</v>
      </c>
      <c r="F973" s="15">
        <v>4.22</v>
      </c>
      <c r="G973" s="16">
        <f>ROUND(E973*F973,2)</f>
        <v>0</v>
      </c>
    </row>
    <row r="974" spans="1:7" x14ac:dyDescent="0.3">
      <c r="A974" s="13" t="s">
        <v>238</v>
      </c>
      <c r="B974" s="13" t="s">
        <v>15</v>
      </c>
      <c r="C974" s="13" t="s">
        <v>28</v>
      </c>
      <c r="D974" s="14" t="s">
        <v>239</v>
      </c>
      <c r="E974" s="15">
        <v>0</v>
      </c>
      <c r="F974" s="15">
        <v>13.9</v>
      </c>
      <c r="G974" s="16">
        <f>ROUND(E974*F974,2)</f>
        <v>0</v>
      </c>
    </row>
    <row r="975" spans="1:7" x14ac:dyDescent="0.3">
      <c r="A975" s="13" t="s">
        <v>240</v>
      </c>
      <c r="B975" s="13" t="s">
        <v>15</v>
      </c>
      <c r="C975" s="13" t="s">
        <v>28</v>
      </c>
      <c r="D975" s="14" t="s">
        <v>241</v>
      </c>
      <c r="E975" s="15">
        <v>0</v>
      </c>
      <c r="F975" s="15">
        <v>15.59</v>
      </c>
      <c r="G975" s="16">
        <f>ROUND(E975*F975,2)</f>
        <v>0</v>
      </c>
    </row>
    <row r="976" spans="1:7" ht="31.2" x14ac:dyDescent="0.3">
      <c r="A976" s="13" t="s">
        <v>242</v>
      </c>
      <c r="B976" s="13" t="s">
        <v>15</v>
      </c>
      <c r="C976" s="13" t="s">
        <v>16</v>
      </c>
      <c r="D976" s="14" t="s">
        <v>243</v>
      </c>
      <c r="E976" s="15">
        <v>1</v>
      </c>
      <c r="F976" s="15">
        <v>793.65</v>
      </c>
      <c r="G976" s="16">
        <f>ROUND(E976*F976,2)</f>
        <v>793.65</v>
      </c>
    </row>
    <row r="977" spans="1:7" x14ac:dyDescent="0.3">
      <c r="A977" s="13" t="s">
        <v>244</v>
      </c>
      <c r="B977" s="13" t="s">
        <v>15</v>
      </c>
      <c r="C977" s="13" t="s">
        <v>215</v>
      </c>
      <c r="D977" s="14" t="s">
        <v>245</v>
      </c>
      <c r="E977" s="15">
        <v>0</v>
      </c>
      <c r="F977" s="15">
        <v>13.5</v>
      </c>
      <c r="G977" s="16">
        <f>ROUND(E977*F977,2)</f>
        <v>0</v>
      </c>
    </row>
    <row r="978" spans="1:7" x14ac:dyDescent="0.3">
      <c r="A978" s="13" t="s">
        <v>552</v>
      </c>
      <c r="B978" s="13" t="s">
        <v>15</v>
      </c>
      <c r="C978" s="13" t="s">
        <v>215</v>
      </c>
      <c r="D978" s="14" t="s">
        <v>553</v>
      </c>
      <c r="E978" s="15">
        <v>1</v>
      </c>
      <c r="F978" s="15">
        <v>23.11</v>
      </c>
      <c r="G978" s="16">
        <f>ROUND(E978*F978,2)</f>
        <v>23.11</v>
      </c>
    </row>
    <row r="979" spans="1:7" x14ac:dyDescent="0.3">
      <c r="A979" s="13" t="s">
        <v>554</v>
      </c>
      <c r="B979" s="13" t="s">
        <v>15</v>
      </c>
      <c r="C979" s="13" t="s">
        <v>215</v>
      </c>
      <c r="D979" s="14" t="s">
        <v>555</v>
      </c>
      <c r="E979" s="15">
        <v>5</v>
      </c>
      <c r="F979" s="15">
        <v>30.9</v>
      </c>
      <c r="G979" s="16">
        <f>ROUND(E979*F979,2)</f>
        <v>154.5</v>
      </c>
    </row>
    <row r="980" spans="1:7" x14ac:dyDescent="0.3">
      <c r="A980" s="13" t="s">
        <v>246</v>
      </c>
      <c r="B980" s="13" t="s">
        <v>15</v>
      </c>
      <c r="C980" s="13" t="s">
        <v>215</v>
      </c>
      <c r="D980" s="14" t="s">
        <v>247</v>
      </c>
      <c r="E980" s="15">
        <v>1</v>
      </c>
      <c r="F980" s="15">
        <v>57.31</v>
      </c>
      <c r="G980" s="16">
        <f>ROUND(E980*F980,2)</f>
        <v>57.31</v>
      </c>
    </row>
    <row r="981" spans="1:7" x14ac:dyDescent="0.3">
      <c r="A981" s="17"/>
      <c r="B981" s="17"/>
      <c r="C981" s="17"/>
      <c r="D981" s="18" t="s">
        <v>635</v>
      </c>
      <c r="E981" s="15">
        <v>1</v>
      </c>
      <c r="F981" s="12">
        <f>SUM(G969:G980)</f>
        <v>3348</v>
      </c>
      <c r="G981" s="12">
        <f>ROUND(F981*E981,2)</f>
        <v>3348</v>
      </c>
    </row>
    <row r="982" spans="1:7" ht="1.05" customHeight="1" x14ac:dyDescent="0.3">
      <c r="A982" s="20"/>
      <c r="B982" s="20"/>
      <c r="C982" s="20"/>
      <c r="D982" s="21"/>
      <c r="E982" s="20"/>
      <c r="F982" s="20"/>
      <c r="G982" s="20"/>
    </row>
    <row r="983" spans="1:7" ht="31.2" x14ac:dyDescent="0.3">
      <c r="A983" s="22" t="s">
        <v>636</v>
      </c>
      <c r="B983" s="22" t="s">
        <v>11</v>
      </c>
      <c r="C983" s="22" t="s">
        <v>12</v>
      </c>
      <c r="D983" s="23" t="s">
        <v>250</v>
      </c>
      <c r="E983" s="12">
        <f>E994</f>
        <v>1</v>
      </c>
      <c r="F983" s="12">
        <f>F994</f>
        <v>4031.82</v>
      </c>
      <c r="G983" s="12">
        <f>G994</f>
        <v>4031.82</v>
      </c>
    </row>
    <row r="984" spans="1:7" x14ac:dyDescent="0.3">
      <c r="A984" s="13" t="s">
        <v>230</v>
      </c>
      <c r="B984" s="13" t="s">
        <v>15</v>
      </c>
      <c r="C984" s="13" t="s">
        <v>28</v>
      </c>
      <c r="D984" s="14" t="s">
        <v>231</v>
      </c>
      <c r="E984" s="15">
        <v>208.67</v>
      </c>
      <c r="F984" s="15">
        <v>1.9</v>
      </c>
      <c r="G984" s="16">
        <f>ROUND(E984*F984,2)</f>
        <v>396.47</v>
      </c>
    </row>
    <row r="985" spans="1:7" x14ac:dyDescent="0.3">
      <c r="A985" s="13" t="s">
        <v>558</v>
      </c>
      <c r="B985" s="13" t="s">
        <v>15</v>
      </c>
      <c r="C985" s="13" t="s">
        <v>28</v>
      </c>
      <c r="D985" s="14" t="s">
        <v>559</v>
      </c>
      <c r="E985" s="15">
        <v>29.68</v>
      </c>
      <c r="F985" s="15">
        <v>9.15</v>
      </c>
      <c r="G985" s="16">
        <f>ROUND(E985*F985,2)</f>
        <v>271.57</v>
      </c>
    </row>
    <row r="986" spans="1:7" x14ac:dyDescent="0.3">
      <c r="A986" s="13" t="s">
        <v>393</v>
      </c>
      <c r="B986" s="13" t="s">
        <v>15</v>
      </c>
      <c r="C986" s="13" t="s">
        <v>28</v>
      </c>
      <c r="D986" s="14" t="s">
        <v>394</v>
      </c>
      <c r="E986" s="15">
        <v>10.68</v>
      </c>
      <c r="F986" s="15">
        <v>10.02</v>
      </c>
      <c r="G986" s="16">
        <f>ROUND(E986*F986,2)</f>
        <v>107.01</v>
      </c>
    </row>
    <row r="987" spans="1:7" x14ac:dyDescent="0.3">
      <c r="A987" s="13" t="s">
        <v>395</v>
      </c>
      <c r="B987" s="13" t="s">
        <v>15</v>
      </c>
      <c r="C987" s="13" t="s">
        <v>28</v>
      </c>
      <c r="D987" s="14" t="s">
        <v>396</v>
      </c>
      <c r="E987" s="15">
        <v>29.85</v>
      </c>
      <c r="F987" s="15">
        <v>11.7</v>
      </c>
      <c r="G987" s="16">
        <f>ROUND(E987*F987,2)</f>
        <v>349.25</v>
      </c>
    </row>
    <row r="988" spans="1:7" x14ac:dyDescent="0.3">
      <c r="A988" s="13" t="s">
        <v>397</v>
      </c>
      <c r="B988" s="13" t="s">
        <v>15</v>
      </c>
      <c r="C988" s="13" t="s">
        <v>28</v>
      </c>
      <c r="D988" s="14" t="s">
        <v>398</v>
      </c>
      <c r="E988" s="15">
        <v>11.71</v>
      </c>
      <c r="F988" s="15">
        <v>16.88</v>
      </c>
      <c r="G988" s="16">
        <f>ROUND(E988*F988,2)</f>
        <v>197.66</v>
      </c>
    </row>
    <row r="989" spans="1:7" ht="31.2" x14ac:dyDescent="0.3">
      <c r="A989" s="13" t="s">
        <v>261</v>
      </c>
      <c r="B989" s="13" t="s">
        <v>15</v>
      </c>
      <c r="C989" s="13" t="s">
        <v>16</v>
      </c>
      <c r="D989" s="14" t="s">
        <v>262</v>
      </c>
      <c r="E989" s="15">
        <v>0.75</v>
      </c>
      <c r="F989" s="15">
        <v>1031.75</v>
      </c>
      <c r="G989" s="16">
        <f>ROUND(E989*F989,2)</f>
        <v>773.81</v>
      </c>
    </row>
    <row r="990" spans="1:7" x14ac:dyDescent="0.3">
      <c r="A990" s="13" t="s">
        <v>399</v>
      </c>
      <c r="B990" s="13" t="s">
        <v>15</v>
      </c>
      <c r="C990" s="13" t="s">
        <v>215</v>
      </c>
      <c r="D990" s="14" t="s">
        <v>400</v>
      </c>
      <c r="E990" s="15">
        <v>6</v>
      </c>
      <c r="F990" s="15">
        <v>30.14</v>
      </c>
      <c r="G990" s="16">
        <f>ROUND(E990*F990,2)</f>
        <v>180.84</v>
      </c>
    </row>
    <row r="991" spans="1:7" ht="31.2" x14ac:dyDescent="0.3">
      <c r="A991" s="13" t="s">
        <v>265</v>
      </c>
      <c r="B991" s="13" t="s">
        <v>15</v>
      </c>
      <c r="C991" s="13" t="s">
        <v>215</v>
      </c>
      <c r="D991" s="14" t="s">
        <v>266</v>
      </c>
      <c r="E991" s="15">
        <v>23</v>
      </c>
      <c r="F991" s="15">
        <v>32.25</v>
      </c>
      <c r="G991" s="16">
        <f>ROUND(E991*F991,2)</f>
        <v>741.75</v>
      </c>
    </row>
    <row r="992" spans="1:7" ht="31.2" x14ac:dyDescent="0.3">
      <c r="A992" s="13" t="s">
        <v>267</v>
      </c>
      <c r="B992" s="13" t="s">
        <v>15</v>
      </c>
      <c r="C992" s="13" t="s">
        <v>215</v>
      </c>
      <c r="D992" s="14" t="s">
        <v>268</v>
      </c>
      <c r="E992" s="15">
        <v>10</v>
      </c>
      <c r="F992" s="15">
        <v>44.38</v>
      </c>
      <c r="G992" s="16">
        <f>ROUND(E992*F992,2)</f>
        <v>443.8</v>
      </c>
    </row>
    <row r="993" spans="1:7" x14ac:dyDescent="0.3">
      <c r="A993" s="13" t="s">
        <v>401</v>
      </c>
      <c r="B993" s="13" t="s">
        <v>15</v>
      </c>
      <c r="C993" s="13" t="s">
        <v>215</v>
      </c>
      <c r="D993" s="14" t="s">
        <v>402</v>
      </c>
      <c r="E993" s="15">
        <v>7</v>
      </c>
      <c r="F993" s="15">
        <v>81.38</v>
      </c>
      <c r="G993" s="16">
        <f>ROUND(E993*F993,2)</f>
        <v>569.66</v>
      </c>
    </row>
    <row r="994" spans="1:7" x14ac:dyDescent="0.3">
      <c r="A994" s="17"/>
      <c r="B994" s="17"/>
      <c r="C994" s="17"/>
      <c r="D994" s="18" t="s">
        <v>637</v>
      </c>
      <c r="E994" s="15">
        <v>1</v>
      </c>
      <c r="F994" s="12">
        <f>SUM(G984:G993)</f>
        <v>4031.82</v>
      </c>
      <c r="G994" s="12">
        <f>ROUND(F994*E994,2)</f>
        <v>4031.82</v>
      </c>
    </row>
    <row r="995" spans="1:7" ht="1.05" customHeight="1" x14ac:dyDescent="0.3">
      <c r="A995" s="20"/>
      <c r="B995" s="20"/>
      <c r="C995" s="20"/>
      <c r="D995" s="21"/>
      <c r="E995" s="20"/>
      <c r="F995" s="20"/>
      <c r="G995" s="20"/>
    </row>
    <row r="996" spans="1:7" x14ac:dyDescent="0.3">
      <c r="A996" s="22" t="s">
        <v>638</v>
      </c>
      <c r="B996" s="22" t="s">
        <v>11</v>
      </c>
      <c r="C996" s="22" t="s">
        <v>12</v>
      </c>
      <c r="D996" s="23" t="s">
        <v>275</v>
      </c>
      <c r="E996" s="12">
        <f>E1000</f>
        <v>1</v>
      </c>
      <c r="F996" s="12">
        <f>F1000</f>
        <v>2310.96</v>
      </c>
      <c r="G996" s="12">
        <f>G1000</f>
        <v>2310.96</v>
      </c>
    </row>
    <row r="997" spans="1:7" ht="31.2" x14ac:dyDescent="0.3">
      <c r="A997" s="13" t="s">
        <v>276</v>
      </c>
      <c r="B997" s="13" t="s">
        <v>15</v>
      </c>
      <c r="C997" s="13" t="s">
        <v>28</v>
      </c>
      <c r="D997" s="14" t="s">
        <v>277</v>
      </c>
      <c r="E997" s="15">
        <v>3.25</v>
      </c>
      <c r="F997" s="15">
        <v>27.3</v>
      </c>
      <c r="G997" s="16">
        <f>ROUND(E997*F997,2)</f>
        <v>88.73</v>
      </c>
    </row>
    <row r="998" spans="1:7" x14ac:dyDescent="0.3">
      <c r="A998" s="13" t="s">
        <v>278</v>
      </c>
      <c r="B998" s="13" t="s">
        <v>15</v>
      </c>
      <c r="C998" s="13" t="s">
        <v>215</v>
      </c>
      <c r="D998" s="14" t="s">
        <v>279</v>
      </c>
      <c r="E998" s="15">
        <v>1</v>
      </c>
      <c r="F998" s="15">
        <v>1666.67</v>
      </c>
      <c r="G998" s="16">
        <f>ROUND(E998*F998,2)</f>
        <v>1666.67</v>
      </c>
    </row>
    <row r="999" spans="1:7" ht="31.2" x14ac:dyDescent="0.3">
      <c r="A999" s="13" t="s">
        <v>280</v>
      </c>
      <c r="B999" s="13" t="s">
        <v>15</v>
      </c>
      <c r="C999" s="13" t="s">
        <v>215</v>
      </c>
      <c r="D999" s="14" t="s">
        <v>281</v>
      </c>
      <c r="E999" s="15">
        <v>1</v>
      </c>
      <c r="F999" s="15">
        <v>555.55999999999995</v>
      </c>
      <c r="G999" s="16">
        <f>ROUND(E999*F999,2)</f>
        <v>555.55999999999995</v>
      </c>
    </row>
    <row r="1000" spans="1:7" x14ac:dyDescent="0.3">
      <c r="A1000" s="17"/>
      <c r="B1000" s="17"/>
      <c r="C1000" s="17"/>
      <c r="D1000" s="18" t="s">
        <v>639</v>
      </c>
      <c r="E1000" s="15">
        <v>1</v>
      </c>
      <c r="F1000" s="12">
        <f>SUM(G997:G999)</f>
        <v>2310.96</v>
      </c>
      <c r="G1000" s="12">
        <f>ROUND(F1000*E1000,2)</f>
        <v>2310.96</v>
      </c>
    </row>
    <row r="1001" spans="1:7" ht="1.05" customHeight="1" x14ac:dyDescent="0.3">
      <c r="A1001" s="20"/>
      <c r="B1001" s="20"/>
      <c r="C1001" s="20"/>
      <c r="D1001" s="21"/>
      <c r="E1001" s="20"/>
      <c r="F1001" s="20"/>
      <c r="G1001" s="20"/>
    </row>
    <row r="1002" spans="1:7" x14ac:dyDescent="0.3">
      <c r="A1002" s="22" t="s">
        <v>640</v>
      </c>
      <c r="B1002" s="22" t="s">
        <v>11</v>
      </c>
      <c r="C1002" s="22" t="s">
        <v>12</v>
      </c>
      <c r="D1002" s="23" t="s">
        <v>407</v>
      </c>
      <c r="E1002" s="12">
        <f>E1010</f>
        <v>1</v>
      </c>
      <c r="F1002" s="12">
        <f>F1010</f>
        <v>12837.009999999998</v>
      </c>
      <c r="G1002" s="12">
        <f>G1010</f>
        <v>12837.01</v>
      </c>
    </row>
    <row r="1003" spans="1:7" ht="31.2" x14ac:dyDescent="0.3">
      <c r="A1003" s="13" t="s">
        <v>564</v>
      </c>
      <c r="B1003" s="13" t="s">
        <v>15</v>
      </c>
      <c r="C1003" s="13" t="s">
        <v>215</v>
      </c>
      <c r="D1003" s="14" t="s">
        <v>565</v>
      </c>
      <c r="E1003" s="15">
        <v>7</v>
      </c>
      <c r="F1003" s="15">
        <v>348.85</v>
      </c>
      <c r="G1003" s="16">
        <f>ROUND(E1003*F1003,2)</f>
        <v>2441.9499999999998</v>
      </c>
    </row>
    <row r="1004" spans="1:7" ht="31.2" x14ac:dyDescent="0.3">
      <c r="A1004" s="13" t="s">
        <v>566</v>
      </c>
      <c r="B1004" s="13" t="s">
        <v>15</v>
      </c>
      <c r="C1004" s="13" t="s">
        <v>215</v>
      </c>
      <c r="D1004" s="14" t="s">
        <v>567</v>
      </c>
      <c r="E1004" s="15">
        <v>7</v>
      </c>
      <c r="F1004" s="15">
        <v>365.25</v>
      </c>
      <c r="G1004" s="16">
        <f>ROUND(E1004*F1004,2)</f>
        <v>2556.75</v>
      </c>
    </row>
    <row r="1005" spans="1:7" x14ac:dyDescent="0.3">
      <c r="A1005" s="13" t="s">
        <v>568</v>
      </c>
      <c r="B1005" s="13" t="s">
        <v>15</v>
      </c>
      <c r="C1005" s="13" t="s">
        <v>215</v>
      </c>
      <c r="D1005" s="14" t="s">
        <v>569</v>
      </c>
      <c r="E1005" s="15">
        <v>7</v>
      </c>
      <c r="F1005" s="15">
        <v>442.68</v>
      </c>
      <c r="G1005" s="16">
        <f>ROUND(E1005*F1005,2)</f>
        <v>3098.76</v>
      </c>
    </row>
    <row r="1006" spans="1:7" ht="31.2" x14ac:dyDescent="0.3">
      <c r="A1006" s="13" t="s">
        <v>570</v>
      </c>
      <c r="B1006" s="13" t="s">
        <v>15</v>
      </c>
      <c r="C1006" s="13" t="s">
        <v>215</v>
      </c>
      <c r="D1006" s="14" t="s">
        <v>571</v>
      </c>
      <c r="E1006" s="15">
        <v>7</v>
      </c>
      <c r="F1006" s="15">
        <v>93.66</v>
      </c>
      <c r="G1006" s="16">
        <f>ROUND(E1006*F1006,2)</f>
        <v>655.62</v>
      </c>
    </row>
    <row r="1007" spans="1:7" ht="31.2" x14ac:dyDescent="0.3">
      <c r="A1007" s="13" t="s">
        <v>572</v>
      </c>
      <c r="B1007" s="13" t="s">
        <v>15</v>
      </c>
      <c r="C1007" s="13" t="s">
        <v>151</v>
      </c>
      <c r="D1007" s="14" t="s">
        <v>573</v>
      </c>
      <c r="E1007" s="15">
        <v>5</v>
      </c>
      <c r="F1007" s="15">
        <v>405.16</v>
      </c>
      <c r="G1007" s="16">
        <f>ROUND(E1007*F1007,2)</f>
        <v>2025.8</v>
      </c>
    </row>
    <row r="1008" spans="1:7" ht="31.2" x14ac:dyDescent="0.3">
      <c r="A1008" s="13" t="s">
        <v>574</v>
      </c>
      <c r="B1008" s="13" t="s">
        <v>15</v>
      </c>
      <c r="C1008" s="13" t="s">
        <v>151</v>
      </c>
      <c r="D1008" s="14" t="s">
        <v>575</v>
      </c>
      <c r="E1008" s="15">
        <v>2</v>
      </c>
      <c r="F1008" s="15">
        <v>295.79000000000002</v>
      </c>
      <c r="G1008" s="16">
        <f>ROUND(E1008*F1008,2)</f>
        <v>591.58000000000004</v>
      </c>
    </row>
    <row r="1009" spans="1:7" x14ac:dyDescent="0.3">
      <c r="A1009" s="13" t="s">
        <v>576</v>
      </c>
      <c r="B1009" s="13" t="s">
        <v>15</v>
      </c>
      <c r="C1009" s="13" t="s">
        <v>151</v>
      </c>
      <c r="D1009" s="14" t="s">
        <v>577</v>
      </c>
      <c r="E1009" s="15">
        <v>5</v>
      </c>
      <c r="F1009" s="15">
        <v>293.31</v>
      </c>
      <c r="G1009" s="16">
        <f>ROUND(E1009*F1009,2)</f>
        <v>1466.55</v>
      </c>
    </row>
    <row r="1010" spans="1:7" x14ac:dyDescent="0.3">
      <c r="A1010" s="17"/>
      <c r="B1010" s="17"/>
      <c r="C1010" s="17"/>
      <c r="D1010" s="18" t="s">
        <v>641</v>
      </c>
      <c r="E1010" s="15">
        <v>1</v>
      </c>
      <c r="F1010" s="12">
        <f>SUM(G1003:G1009)</f>
        <v>12837.009999999998</v>
      </c>
      <c r="G1010" s="12">
        <f>ROUND(F1010*E1010,2)</f>
        <v>12837.01</v>
      </c>
    </row>
    <row r="1011" spans="1:7" ht="1.05" customHeight="1" x14ac:dyDescent="0.3">
      <c r="A1011" s="20"/>
      <c r="B1011" s="20"/>
      <c r="C1011" s="20"/>
      <c r="D1011" s="21"/>
      <c r="E1011" s="20"/>
      <c r="F1011" s="20"/>
      <c r="G1011" s="20"/>
    </row>
    <row r="1012" spans="1:7" x14ac:dyDescent="0.3">
      <c r="A1012" s="22" t="s">
        <v>642</v>
      </c>
      <c r="B1012" s="22" t="s">
        <v>11</v>
      </c>
      <c r="C1012" s="22" t="s">
        <v>12</v>
      </c>
      <c r="D1012" s="23" t="s">
        <v>165</v>
      </c>
      <c r="E1012" s="12">
        <f>E1015</f>
        <v>1</v>
      </c>
      <c r="F1012" s="12">
        <f>F1015</f>
        <v>1726.15</v>
      </c>
      <c r="G1012" s="12">
        <f>G1015</f>
        <v>1726.15</v>
      </c>
    </row>
    <row r="1013" spans="1:7" x14ac:dyDescent="0.3">
      <c r="A1013" s="13" t="s">
        <v>582</v>
      </c>
      <c r="B1013" s="13" t="s">
        <v>15</v>
      </c>
      <c r="C1013" s="13" t="s">
        <v>151</v>
      </c>
      <c r="D1013" s="14" t="s">
        <v>583</v>
      </c>
      <c r="E1013" s="15">
        <v>5</v>
      </c>
      <c r="F1013" s="15">
        <v>74.39</v>
      </c>
      <c r="G1013" s="16">
        <f>ROUND(E1013*F1013,2)</f>
        <v>371.95</v>
      </c>
    </row>
    <row r="1014" spans="1:7" ht="31.2" x14ac:dyDescent="0.3">
      <c r="A1014" s="13" t="s">
        <v>584</v>
      </c>
      <c r="B1014" s="13" t="s">
        <v>15</v>
      </c>
      <c r="C1014" s="13" t="s">
        <v>215</v>
      </c>
      <c r="D1014" s="14" t="s">
        <v>585</v>
      </c>
      <c r="E1014" s="15">
        <v>5</v>
      </c>
      <c r="F1014" s="15">
        <v>270.83999999999997</v>
      </c>
      <c r="G1014" s="16">
        <f>ROUND(E1014*F1014,2)</f>
        <v>1354.2</v>
      </c>
    </row>
    <row r="1015" spans="1:7" x14ac:dyDescent="0.3">
      <c r="A1015" s="17"/>
      <c r="B1015" s="17"/>
      <c r="C1015" s="17"/>
      <c r="D1015" s="18" t="s">
        <v>643</v>
      </c>
      <c r="E1015" s="15">
        <v>1</v>
      </c>
      <c r="F1015" s="12">
        <f>SUM(G1013:G1014)</f>
        <v>1726.15</v>
      </c>
      <c r="G1015" s="12">
        <f>ROUND(F1015*E1015,2)</f>
        <v>1726.15</v>
      </c>
    </row>
    <row r="1016" spans="1:7" ht="1.05" customHeight="1" x14ac:dyDescent="0.3">
      <c r="A1016" s="20"/>
      <c r="B1016" s="20"/>
      <c r="C1016" s="20"/>
      <c r="D1016" s="21"/>
      <c r="E1016" s="20"/>
      <c r="F1016" s="20"/>
      <c r="G1016" s="20"/>
    </row>
    <row r="1017" spans="1:7" x14ac:dyDescent="0.3">
      <c r="A1017" s="17"/>
      <c r="B1017" s="17"/>
      <c r="C1017" s="17"/>
      <c r="D1017" s="18" t="s">
        <v>644</v>
      </c>
      <c r="E1017" s="15">
        <v>1</v>
      </c>
      <c r="F1017" s="12">
        <f>G981+G994+G1000+G1010+G1015</f>
        <v>24253.940000000002</v>
      </c>
      <c r="G1017" s="12">
        <f>ROUND(F1017*E1017,2)</f>
        <v>24253.94</v>
      </c>
    </row>
    <row r="1018" spans="1:7" ht="1.05" customHeight="1" x14ac:dyDescent="0.3">
      <c r="A1018" s="20"/>
      <c r="B1018" s="20"/>
      <c r="C1018" s="20"/>
      <c r="D1018" s="21"/>
      <c r="E1018" s="20"/>
      <c r="F1018" s="20"/>
      <c r="G1018" s="20"/>
    </row>
    <row r="1019" spans="1:7" x14ac:dyDescent="0.3">
      <c r="A1019" s="22" t="s">
        <v>645</v>
      </c>
      <c r="B1019" s="22" t="s">
        <v>11</v>
      </c>
      <c r="C1019" s="22" t="s">
        <v>12</v>
      </c>
      <c r="D1019" s="23" t="s">
        <v>285</v>
      </c>
      <c r="E1019" s="12">
        <f>E1033</f>
        <v>1</v>
      </c>
      <c r="F1019" s="12">
        <f>F1033</f>
        <v>14776.529999999999</v>
      </c>
      <c r="G1019" s="12">
        <f>G1033</f>
        <v>14776.53</v>
      </c>
    </row>
    <row r="1020" spans="1:7" x14ac:dyDescent="0.3">
      <c r="A1020" s="13" t="s">
        <v>589</v>
      </c>
      <c r="B1020" s="13" t="s">
        <v>15</v>
      </c>
      <c r="C1020" s="13" t="s">
        <v>215</v>
      </c>
      <c r="D1020" s="14" t="s">
        <v>590</v>
      </c>
      <c r="E1020" s="15">
        <v>5</v>
      </c>
      <c r="F1020" s="15">
        <v>51.04</v>
      </c>
      <c r="G1020" s="16">
        <f>ROUND(E1020*F1020,2)</f>
        <v>255.2</v>
      </c>
    </row>
    <row r="1021" spans="1:7" x14ac:dyDescent="0.3">
      <c r="A1021" s="13" t="s">
        <v>591</v>
      </c>
      <c r="B1021" s="13" t="s">
        <v>15</v>
      </c>
      <c r="C1021" s="13" t="s">
        <v>215</v>
      </c>
      <c r="D1021" s="14" t="s">
        <v>592</v>
      </c>
      <c r="E1021" s="15">
        <v>5</v>
      </c>
      <c r="F1021" s="15">
        <v>37.28</v>
      </c>
      <c r="G1021" s="16">
        <f>ROUND(E1021*F1021,2)</f>
        <v>186.4</v>
      </c>
    </row>
    <row r="1022" spans="1:7" x14ac:dyDescent="0.3">
      <c r="A1022" s="13" t="s">
        <v>593</v>
      </c>
      <c r="B1022" s="13" t="s">
        <v>15</v>
      </c>
      <c r="C1022" s="13" t="s">
        <v>215</v>
      </c>
      <c r="D1022" s="14" t="s">
        <v>594</v>
      </c>
      <c r="E1022" s="15">
        <v>5</v>
      </c>
      <c r="F1022" s="15">
        <v>30.48</v>
      </c>
      <c r="G1022" s="16">
        <f>ROUND(E1022*F1022,2)</f>
        <v>152.4</v>
      </c>
    </row>
    <row r="1023" spans="1:7" x14ac:dyDescent="0.3">
      <c r="A1023" s="13" t="s">
        <v>595</v>
      </c>
      <c r="B1023" s="13" t="s">
        <v>15</v>
      </c>
      <c r="C1023" s="13" t="s">
        <v>215</v>
      </c>
      <c r="D1023" s="14" t="s">
        <v>596</v>
      </c>
      <c r="E1023" s="15">
        <v>27</v>
      </c>
      <c r="F1023" s="15">
        <v>31.59</v>
      </c>
      <c r="G1023" s="16">
        <f>ROUND(E1023*F1023,2)</f>
        <v>852.93</v>
      </c>
    </row>
    <row r="1024" spans="1:7" x14ac:dyDescent="0.3">
      <c r="A1024" s="13" t="s">
        <v>296</v>
      </c>
      <c r="B1024" s="13" t="s">
        <v>15</v>
      </c>
      <c r="C1024" s="13" t="s">
        <v>215</v>
      </c>
      <c r="D1024" s="14" t="s">
        <v>297</v>
      </c>
      <c r="E1024" s="15">
        <v>53</v>
      </c>
      <c r="F1024" s="15">
        <v>50.07</v>
      </c>
      <c r="G1024" s="16">
        <f>ROUND(E1024*F1024,2)</f>
        <v>2653.71</v>
      </c>
    </row>
    <row r="1025" spans="1:7" x14ac:dyDescent="0.3">
      <c r="A1025" s="13" t="s">
        <v>298</v>
      </c>
      <c r="B1025" s="13" t="s">
        <v>15</v>
      </c>
      <c r="C1025" s="13" t="s">
        <v>215</v>
      </c>
      <c r="D1025" s="14" t="s">
        <v>299</v>
      </c>
      <c r="E1025" s="15">
        <v>0</v>
      </c>
      <c r="F1025" s="15">
        <v>42.74</v>
      </c>
      <c r="G1025" s="16">
        <f>ROUND(E1025*F1025,2)</f>
        <v>0</v>
      </c>
    </row>
    <row r="1026" spans="1:7" x14ac:dyDescent="0.3">
      <c r="A1026" s="13" t="s">
        <v>300</v>
      </c>
      <c r="B1026" s="13" t="s">
        <v>15</v>
      </c>
      <c r="C1026" s="13" t="s">
        <v>215</v>
      </c>
      <c r="D1026" s="14" t="s">
        <v>301</v>
      </c>
      <c r="E1026" s="15">
        <v>30</v>
      </c>
      <c r="F1026" s="15">
        <v>45.93</v>
      </c>
      <c r="G1026" s="16">
        <f>ROUND(E1026*F1026,2)</f>
        <v>1377.9</v>
      </c>
    </row>
    <row r="1027" spans="1:7" x14ac:dyDescent="0.3">
      <c r="A1027" s="13" t="s">
        <v>302</v>
      </c>
      <c r="B1027" s="13" t="s">
        <v>15</v>
      </c>
      <c r="C1027" s="13" t="s">
        <v>215</v>
      </c>
      <c r="D1027" s="14" t="s">
        <v>303</v>
      </c>
      <c r="E1027" s="15">
        <v>6</v>
      </c>
      <c r="F1027" s="15">
        <v>51.73</v>
      </c>
      <c r="G1027" s="16">
        <f>ROUND(E1027*F1027,2)</f>
        <v>310.38</v>
      </c>
    </row>
    <row r="1028" spans="1:7" x14ac:dyDescent="0.3">
      <c r="A1028" s="13" t="s">
        <v>304</v>
      </c>
      <c r="B1028" s="13" t="s">
        <v>15</v>
      </c>
      <c r="C1028" s="13" t="s">
        <v>215</v>
      </c>
      <c r="D1028" s="14" t="s">
        <v>305</v>
      </c>
      <c r="E1028" s="15">
        <v>2</v>
      </c>
      <c r="F1028" s="15">
        <v>53.67</v>
      </c>
      <c r="G1028" s="16">
        <f>ROUND(E1028*F1028,2)</f>
        <v>107.34</v>
      </c>
    </row>
    <row r="1029" spans="1:7" ht="31.2" x14ac:dyDescent="0.3">
      <c r="A1029" s="13" t="s">
        <v>306</v>
      </c>
      <c r="B1029" s="13" t="s">
        <v>15</v>
      </c>
      <c r="C1029" s="13" t="s">
        <v>215</v>
      </c>
      <c r="D1029" s="14" t="s">
        <v>307</v>
      </c>
      <c r="E1029" s="15">
        <v>90</v>
      </c>
      <c r="F1029" s="15">
        <v>61.18</v>
      </c>
      <c r="G1029" s="16">
        <f>ROUND(E1029*F1029,2)</f>
        <v>5506.2</v>
      </c>
    </row>
    <row r="1030" spans="1:7" ht="31.2" x14ac:dyDescent="0.3">
      <c r="A1030" s="13" t="s">
        <v>308</v>
      </c>
      <c r="B1030" s="13" t="s">
        <v>15</v>
      </c>
      <c r="C1030" s="13" t="s">
        <v>215</v>
      </c>
      <c r="D1030" s="14" t="s">
        <v>309</v>
      </c>
      <c r="E1030" s="15">
        <v>14</v>
      </c>
      <c r="F1030" s="15">
        <v>84.28</v>
      </c>
      <c r="G1030" s="16">
        <f>ROUND(E1030*F1030,2)</f>
        <v>1179.92</v>
      </c>
    </row>
    <row r="1031" spans="1:7" x14ac:dyDescent="0.3">
      <c r="A1031" s="13" t="s">
        <v>314</v>
      </c>
      <c r="B1031" s="13" t="s">
        <v>15</v>
      </c>
      <c r="C1031" s="13" t="s">
        <v>215</v>
      </c>
      <c r="D1031" s="14" t="s">
        <v>315</v>
      </c>
      <c r="E1031" s="15">
        <v>0</v>
      </c>
      <c r="F1031" s="15">
        <v>55.56</v>
      </c>
      <c r="G1031" s="16">
        <f>ROUND(E1031*F1031,2)</f>
        <v>0</v>
      </c>
    </row>
    <row r="1032" spans="1:7" x14ac:dyDescent="0.3">
      <c r="A1032" s="13" t="s">
        <v>415</v>
      </c>
      <c r="B1032" s="13" t="s">
        <v>15</v>
      </c>
      <c r="C1032" s="13" t="s">
        <v>215</v>
      </c>
      <c r="D1032" s="14" t="s">
        <v>416</v>
      </c>
      <c r="E1032" s="15">
        <v>5</v>
      </c>
      <c r="F1032" s="15">
        <v>438.83</v>
      </c>
      <c r="G1032" s="16">
        <f>ROUND(E1032*F1032,2)</f>
        <v>2194.15</v>
      </c>
    </row>
    <row r="1033" spans="1:7" x14ac:dyDescent="0.3">
      <c r="A1033" s="17"/>
      <c r="B1033" s="17"/>
      <c r="C1033" s="17"/>
      <c r="D1033" s="18" t="s">
        <v>646</v>
      </c>
      <c r="E1033" s="15">
        <v>1</v>
      </c>
      <c r="F1033" s="12">
        <f>SUM(G1020:G1032)</f>
        <v>14776.529999999999</v>
      </c>
      <c r="G1033" s="12">
        <f>ROUND(F1033*E1033,2)</f>
        <v>14776.53</v>
      </c>
    </row>
    <row r="1034" spans="1:7" ht="1.05" customHeight="1" x14ac:dyDescent="0.3">
      <c r="A1034" s="20"/>
      <c r="B1034" s="20"/>
      <c r="C1034" s="20"/>
      <c r="D1034" s="21"/>
      <c r="E1034" s="20"/>
      <c r="F1034" s="20"/>
      <c r="G1034" s="20"/>
    </row>
    <row r="1035" spans="1:7" x14ac:dyDescent="0.3">
      <c r="A1035" s="17"/>
      <c r="B1035" s="17"/>
      <c r="C1035" s="17"/>
      <c r="D1035" s="18" t="s">
        <v>650</v>
      </c>
      <c r="E1035" s="19">
        <v>1</v>
      </c>
      <c r="F1035" s="12">
        <f>G901+G906+G917+G922+G926+G931+G939+G943+G950+G956+G965+G1017+G1033</f>
        <v>255369.78000000003</v>
      </c>
      <c r="G1035" s="12">
        <f>ROUND(F1035*E1035,2)</f>
        <v>255369.78</v>
      </c>
    </row>
    <row r="1036" spans="1:7" ht="1.05" customHeight="1" x14ac:dyDescent="0.3">
      <c r="A1036" s="20"/>
      <c r="B1036" s="20"/>
      <c r="C1036" s="20"/>
      <c r="D1036" s="21"/>
      <c r="E1036" s="20"/>
      <c r="F1036" s="20"/>
      <c r="G1036" s="20"/>
    </row>
    <row r="1037" spans="1:7" x14ac:dyDescent="0.3">
      <c r="A1037" s="9" t="s">
        <v>651</v>
      </c>
      <c r="B1037" s="9" t="s">
        <v>11</v>
      </c>
      <c r="C1037" s="9" t="s">
        <v>12</v>
      </c>
      <c r="D1037" s="10" t="s">
        <v>652</v>
      </c>
      <c r="E1037" s="11">
        <f>E1191</f>
        <v>1</v>
      </c>
      <c r="F1037" s="12">
        <f>F1191</f>
        <v>255369.78000000003</v>
      </c>
      <c r="G1037" s="12">
        <f>G1191</f>
        <v>255369.78</v>
      </c>
    </row>
    <row r="1038" spans="1:7" x14ac:dyDescent="0.3">
      <c r="A1038" s="22" t="s">
        <v>601</v>
      </c>
      <c r="B1038" s="22" t="s">
        <v>11</v>
      </c>
      <c r="C1038" s="22" t="s">
        <v>12</v>
      </c>
      <c r="D1038" s="23" t="s">
        <v>57</v>
      </c>
      <c r="E1038" s="12">
        <f>E1057</f>
        <v>1</v>
      </c>
      <c r="F1038" s="12">
        <f>F1057</f>
        <v>67661.09</v>
      </c>
      <c r="G1038" s="12">
        <f>G1057</f>
        <v>67661.09</v>
      </c>
    </row>
    <row r="1039" spans="1:7" x14ac:dyDescent="0.3">
      <c r="A1039" s="13" t="s">
        <v>81</v>
      </c>
      <c r="B1039" s="13" t="s">
        <v>15</v>
      </c>
      <c r="C1039" s="13" t="s">
        <v>60</v>
      </c>
      <c r="D1039" s="14" t="s">
        <v>82</v>
      </c>
      <c r="E1039" s="15">
        <v>8.18</v>
      </c>
      <c r="F1039" s="15">
        <v>572.66999999999996</v>
      </c>
      <c r="G1039" s="16">
        <f>ROUND(E1039*F1039,2)</f>
        <v>4684.4399999999996</v>
      </c>
    </row>
    <row r="1040" spans="1:7" x14ac:dyDescent="0.3">
      <c r="A1040" s="13" t="s">
        <v>83</v>
      </c>
      <c r="B1040" s="13" t="s">
        <v>15</v>
      </c>
      <c r="C1040" s="13" t="s">
        <v>60</v>
      </c>
      <c r="D1040" s="14" t="s">
        <v>84</v>
      </c>
      <c r="E1040" s="15">
        <v>4.0599999999999996</v>
      </c>
      <c r="F1040" s="15">
        <v>545.57000000000005</v>
      </c>
      <c r="G1040" s="16">
        <f>ROUND(E1040*F1040,2)</f>
        <v>2215.0100000000002</v>
      </c>
    </row>
    <row r="1041" spans="1:7" ht="31.2" x14ac:dyDescent="0.3">
      <c r="A1041" s="13" t="s">
        <v>97</v>
      </c>
      <c r="B1041" s="13" t="s">
        <v>15</v>
      </c>
      <c r="C1041" s="13" t="s">
        <v>60</v>
      </c>
      <c r="D1041" s="14" t="s">
        <v>98</v>
      </c>
      <c r="E1041" s="15">
        <v>0</v>
      </c>
      <c r="F1041" s="15">
        <v>1055.26</v>
      </c>
      <c r="G1041" s="16">
        <f>ROUND(E1041*F1041,2)</f>
        <v>0</v>
      </c>
    </row>
    <row r="1042" spans="1:7" ht="31.2" x14ac:dyDescent="0.3">
      <c r="A1042" s="13" t="s">
        <v>99</v>
      </c>
      <c r="B1042" s="13" t="s">
        <v>15</v>
      </c>
      <c r="C1042" s="13" t="s">
        <v>60</v>
      </c>
      <c r="D1042" s="14" t="s">
        <v>100</v>
      </c>
      <c r="E1042" s="15">
        <v>5.18</v>
      </c>
      <c r="F1042" s="15">
        <v>779.5</v>
      </c>
      <c r="G1042" s="16">
        <f>ROUND(E1042*F1042,2)</f>
        <v>4037.81</v>
      </c>
    </row>
    <row r="1043" spans="1:7" ht="31.2" x14ac:dyDescent="0.3">
      <c r="A1043" s="13" t="s">
        <v>101</v>
      </c>
      <c r="B1043" s="13" t="s">
        <v>15</v>
      </c>
      <c r="C1043" s="13" t="s">
        <v>60</v>
      </c>
      <c r="D1043" s="14" t="s">
        <v>102</v>
      </c>
      <c r="E1043" s="15">
        <v>6.48</v>
      </c>
      <c r="F1043" s="15">
        <v>1077.93</v>
      </c>
      <c r="G1043" s="16">
        <f>ROUND(E1043*F1043,2)</f>
        <v>6984.99</v>
      </c>
    </row>
    <row r="1044" spans="1:7" ht="31.2" x14ac:dyDescent="0.3">
      <c r="A1044" s="13" t="s">
        <v>602</v>
      </c>
      <c r="B1044" s="13" t="s">
        <v>15</v>
      </c>
      <c r="C1044" s="13" t="s">
        <v>60</v>
      </c>
      <c r="D1044" s="14" t="s">
        <v>603</v>
      </c>
      <c r="E1044" s="15">
        <v>4.8600000000000003</v>
      </c>
      <c r="F1044" s="15">
        <v>807.49</v>
      </c>
      <c r="G1044" s="16">
        <f>ROUND(E1044*F1044,2)</f>
        <v>3924.4</v>
      </c>
    </row>
    <row r="1045" spans="1:7" x14ac:dyDescent="0.3">
      <c r="A1045" s="13" t="s">
        <v>105</v>
      </c>
      <c r="B1045" s="13" t="s">
        <v>15</v>
      </c>
      <c r="C1045" s="13" t="s">
        <v>60</v>
      </c>
      <c r="D1045" s="14" t="s">
        <v>106</v>
      </c>
      <c r="E1045" s="15">
        <v>5.26</v>
      </c>
      <c r="F1045" s="15">
        <v>476.95</v>
      </c>
      <c r="G1045" s="16">
        <f>ROUND(E1045*F1045,2)</f>
        <v>2508.7600000000002</v>
      </c>
    </row>
    <row r="1046" spans="1:7" x14ac:dyDescent="0.3">
      <c r="A1046" s="13" t="s">
        <v>321</v>
      </c>
      <c r="B1046" s="13" t="s">
        <v>15</v>
      </c>
      <c r="C1046" s="13" t="s">
        <v>60</v>
      </c>
      <c r="D1046" s="14" t="s">
        <v>322</v>
      </c>
      <c r="E1046" s="15">
        <v>3.43</v>
      </c>
      <c r="F1046" s="15">
        <v>713.28</v>
      </c>
      <c r="G1046" s="16">
        <f>ROUND(E1046*F1046,2)</f>
        <v>2446.5500000000002</v>
      </c>
    </row>
    <row r="1047" spans="1:7" x14ac:dyDescent="0.3">
      <c r="A1047" s="13" t="s">
        <v>323</v>
      </c>
      <c r="B1047" s="13" t="s">
        <v>15</v>
      </c>
      <c r="C1047" s="13" t="s">
        <v>60</v>
      </c>
      <c r="D1047" s="14" t="s">
        <v>324</v>
      </c>
      <c r="E1047" s="15">
        <v>3.02</v>
      </c>
      <c r="F1047" s="15">
        <v>702.51</v>
      </c>
      <c r="G1047" s="16">
        <f>ROUND(E1047*F1047,2)</f>
        <v>2121.58</v>
      </c>
    </row>
    <row r="1048" spans="1:7" x14ac:dyDescent="0.3">
      <c r="A1048" s="13" t="s">
        <v>325</v>
      </c>
      <c r="B1048" s="13" t="s">
        <v>15</v>
      </c>
      <c r="C1048" s="13" t="s">
        <v>60</v>
      </c>
      <c r="D1048" s="14" t="s">
        <v>326</v>
      </c>
      <c r="E1048" s="15">
        <v>3.02</v>
      </c>
      <c r="F1048" s="15">
        <v>680.27</v>
      </c>
      <c r="G1048" s="16">
        <f>ROUND(E1048*F1048,2)</f>
        <v>2054.42</v>
      </c>
    </row>
    <row r="1049" spans="1:7" x14ac:dyDescent="0.3">
      <c r="A1049" s="13" t="s">
        <v>327</v>
      </c>
      <c r="B1049" s="13" t="s">
        <v>15</v>
      </c>
      <c r="C1049" s="13" t="s">
        <v>60</v>
      </c>
      <c r="D1049" s="14" t="s">
        <v>328</v>
      </c>
      <c r="E1049" s="15">
        <v>3.53</v>
      </c>
      <c r="F1049" s="15">
        <v>693.2</v>
      </c>
      <c r="G1049" s="16">
        <f>ROUND(E1049*F1049,2)</f>
        <v>2447</v>
      </c>
    </row>
    <row r="1050" spans="1:7" x14ac:dyDescent="0.3">
      <c r="A1050" s="13" t="s">
        <v>329</v>
      </c>
      <c r="B1050" s="13" t="s">
        <v>15</v>
      </c>
      <c r="C1050" s="13" t="s">
        <v>60</v>
      </c>
      <c r="D1050" s="14" t="s">
        <v>330</v>
      </c>
      <c r="E1050" s="15">
        <v>3.59</v>
      </c>
      <c r="F1050" s="15">
        <v>693.4</v>
      </c>
      <c r="G1050" s="16">
        <f>ROUND(E1050*F1050,2)</f>
        <v>2489.31</v>
      </c>
    </row>
    <row r="1051" spans="1:7" x14ac:dyDescent="0.3">
      <c r="A1051" s="13" t="s">
        <v>331</v>
      </c>
      <c r="B1051" s="13" t="s">
        <v>15</v>
      </c>
      <c r="C1051" s="13" t="s">
        <v>60</v>
      </c>
      <c r="D1051" s="14" t="s">
        <v>332</v>
      </c>
      <c r="E1051" s="15">
        <v>3.39</v>
      </c>
      <c r="F1051" s="15">
        <v>700.15</v>
      </c>
      <c r="G1051" s="16">
        <f>ROUND(E1051*F1051,2)</f>
        <v>2373.5100000000002</v>
      </c>
    </row>
    <row r="1052" spans="1:7" x14ac:dyDescent="0.3">
      <c r="A1052" s="13" t="s">
        <v>604</v>
      </c>
      <c r="B1052" s="13" t="s">
        <v>15</v>
      </c>
      <c r="C1052" s="13" t="s">
        <v>60</v>
      </c>
      <c r="D1052" s="14" t="s">
        <v>605</v>
      </c>
      <c r="E1052" s="15">
        <v>1.81</v>
      </c>
      <c r="F1052" s="15">
        <v>646.07000000000005</v>
      </c>
      <c r="G1052" s="16">
        <f>ROUND(E1052*F1052,2)</f>
        <v>1169.3900000000001</v>
      </c>
    </row>
    <row r="1053" spans="1:7" x14ac:dyDescent="0.3">
      <c r="A1053" s="13" t="s">
        <v>333</v>
      </c>
      <c r="B1053" s="13" t="s">
        <v>15</v>
      </c>
      <c r="C1053" s="13" t="s">
        <v>60</v>
      </c>
      <c r="D1053" s="14" t="s">
        <v>334</v>
      </c>
      <c r="E1053" s="15">
        <v>3.43</v>
      </c>
      <c r="F1053" s="15">
        <v>693.4</v>
      </c>
      <c r="G1053" s="16">
        <f>ROUND(E1053*F1053,2)</f>
        <v>2378.36</v>
      </c>
    </row>
    <row r="1054" spans="1:7" ht="31.2" x14ac:dyDescent="0.3">
      <c r="A1054" s="13" t="s">
        <v>432</v>
      </c>
      <c r="B1054" s="13" t="s">
        <v>15</v>
      </c>
      <c r="C1054" s="13" t="s">
        <v>60</v>
      </c>
      <c r="D1054" s="14" t="s">
        <v>433</v>
      </c>
      <c r="E1054" s="15">
        <v>0.47</v>
      </c>
      <c r="F1054" s="15">
        <v>700.07</v>
      </c>
      <c r="G1054" s="16">
        <f>ROUND(E1054*F1054,2)</f>
        <v>329.03</v>
      </c>
    </row>
    <row r="1055" spans="1:7" x14ac:dyDescent="0.3">
      <c r="A1055" s="13" t="s">
        <v>335</v>
      </c>
      <c r="B1055" s="13" t="s">
        <v>15</v>
      </c>
      <c r="C1055" s="13" t="s">
        <v>91</v>
      </c>
      <c r="D1055" s="14" t="s">
        <v>336</v>
      </c>
      <c r="E1055" s="15">
        <v>10</v>
      </c>
      <c r="F1055" s="15">
        <v>367.46</v>
      </c>
      <c r="G1055" s="16">
        <f>ROUND(E1055*F1055,2)</f>
        <v>3674.6</v>
      </c>
    </row>
    <row r="1056" spans="1:7" x14ac:dyDescent="0.3">
      <c r="A1056" s="13" t="s">
        <v>606</v>
      </c>
      <c r="B1056" s="13" t="s">
        <v>15</v>
      </c>
      <c r="C1056" s="13" t="s">
        <v>60</v>
      </c>
      <c r="D1056" s="14" t="s">
        <v>607</v>
      </c>
      <c r="E1056" s="15">
        <v>44.34</v>
      </c>
      <c r="F1056" s="15">
        <v>492.15</v>
      </c>
      <c r="G1056" s="16">
        <f>ROUND(E1056*F1056,2)</f>
        <v>21821.93</v>
      </c>
    </row>
    <row r="1057" spans="1:7" x14ac:dyDescent="0.3">
      <c r="A1057" s="17"/>
      <c r="B1057" s="17"/>
      <c r="C1057" s="17"/>
      <c r="D1057" s="18" t="s">
        <v>608</v>
      </c>
      <c r="E1057" s="15">
        <v>1</v>
      </c>
      <c r="F1057" s="12">
        <f>SUM(G1039:G1056)</f>
        <v>67661.09</v>
      </c>
      <c r="G1057" s="12">
        <f>ROUND(F1057*E1057,2)</f>
        <v>67661.09</v>
      </c>
    </row>
    <row r="1058" spans="1:7" ht="1.05" customHeight="1" x14ac:dyDescent="0.3">
      <c r="A1058" s="20"/>
      <c r="B1058" s="20"/>
      <c r="C1058" s="20"/>
      <c r="D1058" s="21"/>
      <c r="E1058" s="20"/>
      <c r="F1058" s="20"/>
      <c r="G1058" s="20"/>
    </row>
    <row r="1059" spans="1:7" x14ac:dyDescent="0.3">
      <c r="A1059" s="22" t="s">
        <v>609</v>
      </c>
      <c r="B1059" s="22" t="s">
        <v>11</v>
      </c>
      <c r="C1059" s="22" t="s">
        <v>12</v>
      </c>
      <c r="D1059" s="23" t="s">
        <v>109</v>
      </c>
      <c r="E1059" s="12">
        <f>E1062</f>
        <v>1</v>
      </c>
      <c r="F1059" s="12">
        <f>F1062</f>
        <v>19007.89</v>
      </c>
      <c r="G1059" s="12">
        <f>G1062</f>
        <v>19007.89</v>
      </c>
    </row>
    <row r="1060" spans="1:7" ht="31.2" x14ac:dyDescent="0.3">
      <c r="A1060" s="13" t="s">
        <v>110</v>
      </c>
      <c r="B1060" s="13" t="s">
        <v>15</v>
      </c>
      <c r="C1060" s="13" t="s">
        <v>112</v>
      </c>
      <c r="D1060" s="14" t="s">
        <v>111</v>
      </c>
      <c r="E1060" s="15">
        <v>669.05</v>
      </c>
      <c r="F1060" s="15">
        <v>27.41</v>
      </c>
      <c r="G1060" s="16">
        <f>ROUND(E1060*F1060,2)</f>
        <v>18338.66</v>
      </c>
    </row>
    <row r="1061" spans="1:7" ht="31.2" x14ac:dyDescent="0.3">
      <c r="A1061" s="13" t="s">
        <v>499</v>
      </c>
      <c r="B1061" s="13" t="s">
        <v>15</v>
      </c>
      <c r="C1061" s="13" t="s">
        <v>112</v>
      </c>
      <c r="D1061" s="14" t="s">
        <v>500</v>
      </c>
      <c r="E1061" s="15">
        <v>32.19</v>
      </c>
      <c r="F1061" s="15">
        <v>20.79</v>
      </c>
      <c r="G1061" s="16">
        <f>ROUND(E1061*F1061,2)</f>
        <v>669.23</v>
      </c>
    </row>
    <row r="1062" spans="1:7" x14ac:dyDescent="0.3">
      <c r="A1062" s="17"/>
      <c r="B1062" s="17"/>
      <c r="C1062" s="17"/>
      <c r="D1062" s="18" t="s">
        <v>610</v>
      </c>
      <c r="E1062" s="15">
        <v>1</v>
      </c>
      <c r="F1062" s="12">
        <f>SUM(G1060:G1061)</f>
        <v>19007.89</v>
      </c>
      <c r="G1062" s="12">
        <f>ROUND(F1062*E1062,2)</f>
        <v>19007.89</v>
      </c>
    </row>
    <row r="1063" spans="1:7" ht="1.05" customHeight="1" x14ac:dyDescent="0.3">
      <c r="A1063" s="20"/>
      <c r="B1063" s="20"/>
      <c r="C1063" s="20"/>
      <c r="D1063" s="21"/>
      <c r="E1063" s="20"/>
      <c r="F1063" s="20"/>
      <c r="G1063" s="20"/>
    </row>
    <row r="1064" spans="1:7" x14ac:dyDescent="0.3">
      <c r="A1064" s="22" t="s">
        <v>611</v>
      </c>
      <c r="B1064" s="22" t="s">
        <v>11</v>
      </c>
      <c r="C1064" s="22" t="s">
        <v>12</v>
      </c>
      <c r="D1064" s="23" t="s">
        <v>115</v>
      </c>
      <c r="E1064" s="12">
        <f>E1073</f>
        <v>1</v>
      </c>
      <c r="F1064" s="12">
        <f>F1073</f>
        <v>30062.339999999997</v>
      </c>
      <c r="G1064" s="12">
        <f>G1073</f>
        <v>30062.34</v>
      </c>
    </row>
    <row r="1065" spans="1:7" x14ac:dyDescent="0.3">
      <c r="A1065" s="13" t="s">
        <v>116</v>
      </c>
      <c r="B1065" s="13" t="s">
        <v>15</v>
      </c>
      <c r="C1065" s="13" t="s">
        <v>112</v>
      </c>
      <c r="D1065" s="14" t="s">
        <v>117</v>
      </c>
      <c r="E1065" s="15">
        <v>319.33999999999997</v>
      </c>
      <c r="F1065" s="15">
        <v>1.96</v>
      </c>
      <c r="G1065" s="16">
        <f>ROUND(E1065*F1065,2)</f>
        <v>625.91</v>
      </c>
    </row>
    <row r="1066" spans="1:7" ht="31.2" x14ac:dyDescent="0.3">
      <c r="A1066" s="13" t="s">
        <v>118</v>
      </c>
      <c r="B1066" s="13" t="s">
        <v>15</v>
      </c>
      <c r="C1066" s="13" t="s">
        <v>112</v>
      </c>
      <c r="D1066" s="14" t="s">
        <v>119</v>
      </c>
      <c r="E1066" s="15">
        <v>1274.56</v>
      </c>
      <c r="F1066" s="15">
        <v>8.4</v>
      </c>
      <c r="G1066" s="16">
        <f>ROUND(E1066*F1066,2)</f>
        <v>10706.3</v>
      </c>
    </row>
    <row r="1067" spans="1:7" x14ac:dyDescent="0.3">
      <c r="A1067" s="13" t="s">
        <v>503</v>
      </c>
      <c r="B1067" s="13" t="s">
        <v>15</v>
      </c>
      <c r="C1067" s="13" t="s">
        <v>112</v>
      </c>
      <c r="D1067" s="14" t="s">
        <v>504</v>
      </c>
      <c r="E1067" s="15">
        <v>1720.08</v>
      </c>
      <c r="F1067" s="15">
        <v>3.02</v>
      </c>
      <c r="G1067" s="16">
        <f>ROUND(E1067*F1067,2)</f>
        <v>5194.6400000000003</v>
      </c>
    </row>
    <row r="1068" spans="1:7" ht="31.2" x14ac:dyDescent="0.3">
      <c r="A1068" s="13" t="s">
        <v>120</v>
      </c>
      <c r="B1068" s="13" t="s">
        <v>15</v>
      </c>
      <c r="C1068" s="13" t="s">
        <v>112</v>
      </c>
      <c r="D1068" s="14" t="s">
        <v>121</v>
      </c>
      <c r="E1068" s="15">
        <v>206.66</v>
      </c>
      <c r="F1068" s="15">
        <v>8.4700000000000006</v>
      </c>
      <c r="G1068" s="16">
        <f>ROUND(E1068*F1068,2)</f>
        <v>1750.41</v>
      </c>
    </row>
    <row r="1069" spans="1:7" ht="31.2" x14ac:dyDescent="0.3">
      <c r="A1069" s="13" t="s">
        <v>122</v>
      </c>
      <c r="B1069" s="13" t="s">
        <v>15</v>
      </c>
      <c r="C1069" s="13" t="s">
        <v>112</v>
      </c>
      <c r="D1069" s="14" t="s">
        <v>123</v>
      </c>
      <c r="E1069" s="15">
        <v>445.52</v>
      </c>
      <c r="F1069" s="15">
        <v>11.87</v>
      </c>
      <c r="G1069" s="16">
        <f>ROUND(E1069*F1069,2)</f>
        <v>5288.32</v>
      </c>
    </row>
    <row r="1070" spans="1:7" ht="31.2" x14ac:dyDescent="0.3">
      <c r="A1070" s="13" t="s">
        <v>124</v>
      </c>
      <c r="B1070" s="13" t="s">
        <v>15</v>
      </c>
      <c r="C1070" s="13" t="s">
        <v>112</v>
      </c>
      <c r="D1070" s="14" t="s">
        <v>125</v>
      </c>
      <c r="E1070" s="15">
        <v>97.2</v>
      </c>
      <c r="F1070" s="15">
        <v>9.4600000000000009</v>
      </c>
      <c r="G1070" s="16">
        <f>ROUND(E1070*F1070,2)</f>
        <v>919.51</v>
      </c>
    </row>
    <row r="1071" spans="1:7" x14ac:dyDescent="0.3">
      <c r="A1071" s="13" t="s">
        <v>126</v>
      </c>
      <c r="B1071" s="13" t="s">
        <v>15</v>
      </c>
      <c r="C1071" s="13" t="s">
        <v>28</v>
      </c>
      <c r="D1071" s="14" t="s">
        <v>127</v>
      </c>
      <c r="E1071" s="15">
        <v>902.38</v>
      </c>
      <c r="F1071" s="15">
        <v>4.16</v>
      </c>
      <c r="G1071" s="16">
        <f>ROUND(E1071*F1071,2)</f>
        <v>3753.9</v>
      </c>
    </row>
    <row r="1072" spans="1:7" x14ac:dyDescent="0.3">
      <c r="A1072" s="13" t="s">
        <v>128</v>
      </c>
      <c r="B1072" s="13" t="s">
        <v>15</v>
      </c>
      <c r="C1072" s="13" t="s">
        <v>28</v>
      </c>
      <c r="D1072" s="14" t="s">
        <v>129</v>
      </c>
      <c r="E1072" s="15">
        <v>404.29</v>
      </c>
      <c r="F1072" s="15">
        <v>4.51</v>
      </c>
      <c r="G1072" s="16">
        <f>ROUND(E1072*F1072,2)</f>
        <v>1823.35</v>
      </c>
    </row>
    <row r="1073" spans="1:7" x14ac:dyDescent="0.3">
      <c r="A1073" s="17"/>
      <c r="B1073" s="17"/>
      <c r="C1073" s="17"/>
      <c r="D1073" s="18" t="s">
        <v>612</v>
      </c>
      <c r="E1073" s="15">
        <v>1</v>
      </c>
      <c r="F1073" s="12">
        <f>SUM(G1065:G1072)</f>
        <v>30062.339999999997</v>
      </c>
      <c r="G1073" s="12">
        <f>ROUND(F1073*E1073,2)</f>
        <v>30062.34</v>
      </c>
    </row>
    <row r="1074" spans="1:7" ht="1.05" customHeight="1" x14ac:dyDescent="0.3">
      <c r="A1074" s="20"/>
      <c r="B1074" s="20"/>
      <c r="C1074" s="20"/>
      <c r="D1074" s="21"/>
      <c r="E1074" s="20"/>
      <c r="F1074" s="20"/>
      <c r="G1074" s="20"/>
    </row>
    <row r="1075" spans="1:7" x14ac:dyDescent="0.3">
      <c r="A1075" s="22" t="s">
        <v>613</v>
      </c>
      <c r="B1075" s="22" t="s">
        <v>11</v>
      </c>
      <c r="C1075" s="22" t="s">
        <v>12</v>
      </c>
      <c r="D1075" s="23" t="s">
        <v>132</v>
      </c>
      <c r="E1075" s="12">
        <f>E1078</f>
        <v>1</v>
      </c>
      <c r="F1075" s="12">
        <f>F1078</f>
        <v>17162.07</v>
      </c>
      <c r="G1075" s="12">
        <f>G1078</f>
        <v>17162.07</v>
      </c>
    </row>
    <row r="1076" spans="1:7" ht="31.2" x14ac:dyDescent="0.3">
      <c r="A1076" s="13" t="s">
        <v>133</v>
      </c>
      <c r="B1076" s="13" t="s">
        <v>15</v>
      </c>
      <c r="C1076" s="13" t="s">
        <v>112</v>
      </c>
      <c r="D1076" s="14" t="s">
        <v>134</v>
      </c>
      <c r="E1076" s="15">
        <v>351.5</v>
      </c>
      <c r="F1076" s="15">
        <v>42.32</v>
      </c>
      <c r="G1076" s="16">
        <f>ROUND(E1076*F1076,2)</f>
        <v>14875.48</v>
      </c>
    </row>
    <row r="1077" spans="1:7" ht="31.2" x14ac:dyDescent="0.3">
      <c r="A1077" s="13" t="s">
        <v>135</v>
      </c>
      <c r="B1077" s="13" t="s">
        <v>15</v>
      </c>
      <c r="C1077" s="13" t="s">
        <v>28</v>
      </c>
      <c r="D1077" s="14" t="s">
        <v>136</v>
      </c>
      <c r="E1077" s="15">
        <v>394.92</v>
      </c>
      <c r="F1077" s="15">
        <v>5.79</v>
      </c>
      <c r="G1077" s="16">
        <f>ROUND(E1077*F1077,2)</f>
        <v>2286.59</v>
      </c>
    </row>
    <row r="1078" spans="1:7" x14ac:dyDescent="0.3">
      <c r="A1078" s="17"/>
      <c r="B1078" s="17"/>
      <c r="C1078" s="17"/>
      <c r="D1078" s="18" t="s">
        <v>614</v>
      </c>
      <c r="E1078" s="15">
        <v>1</v>
      </c>
      <c r="F1078" s="12">
        <f>SUM(G1076:G1077)</f>
        <v>17162.07</v>
      </c>
      <c r="G1078" s="12">
        <f>ROUND(F1078*E1078,2)</f>
        <v>17162.07</v>
      </c>
    </row>
    <row r="1079" spans="1:7" ht="1.05" customHeight="1" x14ac:dyDescent="0.3">
      <c r="A1079" s="20"/>
      <c r="B1079" s="20"/>
      <c r="C1079" s="20"/>
      <c r="D1079" s="21"/>
      <c r="E1079" s="20"/>
      <c r="F1079" s="20"/>
      <c r="G1079" s="20"/>
    </row>
    <row r="1080" spans="1:7" x14ac:dyDescent="0.3">
      <c r="A1080" s="22" t="s">
        <v>615</v>
      </c>
      <c r="B1080" s="22" t="s">
        <v>11</v>
      </c>
      <c r="C1080" s="22" t="s">
        <v>12</v>
      </c>
      <c r="D1080" s="23" t="s">
        <v>347</v>
      </c>
      <c r="E1080" s="12">
        <f>E1082</f>
        <v>1</v>
      </c>
      <c r="F1080" s="12">
        <f>F1082</f>
        <v>5980.03</v>
      </c>
      <c r="G1080" s="12">
        <f>G1082</f>
        <v>5980.03</v>
      </c>
    </row>
    <row r="1081" spans="1:7" ht="31.2" x14ac:dyDescent="0.3">
      <c r="A1081" s="13" t="s">
        <v>348</v>
      </c>
      <c r="B1081" s="13" t="s">
        <v>15</v>
      </c>
      <c r="C1081" s="13" t="s">
        <v>22</v>
      </c>
      <c r="D1081" s="14" t="s">
        <v>349</v>
      </c>
      <c r="E1081" s="15">
        <v>138.78</v>
      </c>
      <c r="F1081" s="15">
        <v>43.09</v>
      </c>
      <c r="G1081" s="16">
        <f>ROUND(E1081*F1081,2)</f>
        <v>5980.03</v>
      </c>
    </row>
    <row r="1082" spans="1:7" x14ac:dyDescent="0.3">
      <c r="A1082" s="17"/>
      <c r="B1082" s="17"/>
      <c r="C1082" s="17"/>
      <c r="D1082" s="18" t="s">
        <v>616</v>
      </c>
      <c r="E1082" s="15">
        <v>1</v>
      </c>
      <c r="F1082" s="12">
        <f>G1081</f>
        <v>5980.03</v>
      </c>
      <c r="G1082" s="12">
        <f>ROUND(F1082*E1082,2)</f>
        <v>5980.03</v>
      </c>
    </row>
    <row r="1083" spans="1:7" ht="1.05" customHeight="1" x14ac:dyDescent="0.3">
      <c r="A1083" s="20"/>
      <c r="B1083" s="20"/>
      <c r="C1083" s="20"/>
      <c r="D1083" s="21"/>
      <c r="E1083" s="20"/>
      <c r="F1083" s="20"/>
      <c r="G1083" s="20"/>
    </row>
    <row r="1084" spans="1:7" x14ac:dyDescent="0.3">
      <c r="A1084" s="22" t="s">
        <v>617</v>
      </c>
      <c r="B1084" s="22" t="s">
        <v>11</v>
      </c>
      <c r="C1084" s="22" t="s">
        <v>12</v>
      </c>
      <c r="D1084" s="23" t="s">
        <v>141</v>
      </c>
      <c r="E1084" s="12">
        <f>E1087</f>
        <v>1</v>
      </c>
      <c r="F1084" s="12">
        <f>F1087</f>
        <v>3149.3900000000003</v>
      </c>
      <c r="G1084" s="12">
        <f>G1087</f>
        <v>3149.39</v>
      </c>
    </row>
    <row r="1085" spans="1:7" ht="31.2" x14ac:dyDescent="0.3">
      <c r="A1085" s="13" t="s">
        <v>142</v>
      </c>
      <c r="B1085" s="13" t="s">
        <v>15</v>
      </c>
      <c r="C1085" s="13" t="s">
        <v>28</v>
      </c>
      <c r="D1085" s="14" t="s">
        <v>143</v>
      </c>
      <c r="E1085" s="15">
        <v>46.8</v>
      </c>
      <c r="F1085" s="15">
        <v>61.92</v>
      </c>
      <c r="G1085" s="16">
        <f>ROUND(E1085*F1085,2)</f>
        <v>2897.86</v>
      </c>
    </row>
    <row r="1086" spans="1:7" x14ac:dyDescent="0.3">
      <c r="A1086" s="13" t="s">
        <v>144</v>
      </c>
      <c r="B1086" s="13" t="s">
        <v>15</v>
      </c>
      <c r="C1086" s="13" t="s">
        <v>112</v>
      </c>
      <c r="D1086" s="14" t="s">
        <v>145</v>
      </c>
      <c r="E1086" s="15">
        <v>6.54</v>
      </c>
      <c r="F1086" s="15">
        <v>38.46</v>
      </c>
      <c r="G1086" s="16">
        <f>ROUND(E1086*F1086,2)</f>
        <v>251.53</v>
      </c>
    </row>
    <row r="1087" spans="1:7" x14ac:dyDescent="0.3">
      <c r="A1087" s="17"/>
      <c r="B1087" s="17"/>
      <c r="C1087" s="17"/>
      <c r="D1087" s="18" t="s">
        <v>618</v>
      </c>
      <c r="E1087" s="15">
        <v>1</v>
      </c>
      <c r="F1087" s="12">
        <f>SUM(G1085:G1086)</f>
        <v>3149.3900000000003</v>
      </c>
      <c r="G1087" s="12">
        <f>ROUND(F1087*E1087,2)</f>
        <v>3149.39</v>
      </c>
    </row>
    <row r="1088" spans="1:7" ht="1.05" customHeight="1" x14ac:dyDescent="0.3">
      <c r="A1088" s="20"/>
      <c r="B1088" s="20"/>
      <c r="C1088" s="20"/>
      <c r="D1088" s="21"/>
      <c r="E1088" s="20"/>
      <c r="F1088" s="20"/>
      <c r="G1088" s="20"/>
    </row>
    <row r="1089" spans="1:7" x14ac:dyDescent="0.3">
      <c r="A1089" s="22" t="s">
        <v>619</v>
      </c>
      <c r="B1089" s="22" t="s">
        <v>11</v>
      </c>
      <c r="C1089" s="22" t="s">
        <v>12</v>
      </c>
      <c r="D1089" s="23" t="s">
        <v>148</v>
      </c>
      <c r="E1089" s="12">
        <f>E1095</f>
        <v>1</v>
      </c>
      <c r="F1089" s="12">
        <f>F1095</f>
        <v>28504.5</v>
      </c>
      <c r="G1089" s="12">
        <f>G1095</f>
        <v>28504.5</v>
      </c>
    </row>
    <row r="1090" spans="1:7" ht="31.2" x14ac:dyDescent="0.3">
      <c r="A1090" s="13" t="s">
        <v>149</v>
      </c>
      <c r="B1090" s="13" t="s">
        <v>15</v>
      </c>
      <c r="C1090" s="13" t="s">
        <v>151</v>
      </c>
      <c r="D1090" s="14" t="s">
        <v>150</v>
      </c>
      <c r="E1090" s="15">
        <v>1</v>
      </c>
      <c r="F1090" s="15">
        <v>249.6</v>
      </c>
      <c r="G1090" s="16">
        <f>ROUND(E1090*F1090,2)</f>
        <v>249.6</v>
      </c>
    </row>
    <row r="1091" spans="1:7" ht="31.2" x14ac:dyDescent="0.3">
      <c r="A1091" s="13" t="s">
        <v>152</v>
      </c>
      <c r="B1091" s="13" t="s">
        <v>15</v>
      </c>
      <c r="C1091" s="13" t="s">
        <v>151</v>
      </c>
      <c r="D1091" s="14" t="s">
        <v>153</v>
      </c>
      <c r="E1091" s="15">
        <v>2</v>
      </c>
      <c r="F1091" s="15">
        <v>424.61</v>
      </c>
      <c r="G1091" s="16">
        <f>ROUND(E1091*F1091,2)</f>
        <v>849.22</v>
      </c>
    </row>
    <row r="1092" spans="1:7" ht="31.2" x14ac:dyDescent="0.3">
      <c r="A1092" s="13" t="s">
        <v>517</v>
      </c>
      <c r="B1092" s="13" t="s">
        <v>15</v>
      </c>
      <c r="C1092" s="13" t="s">
        <v>151</v>
      </c>
      <c r="D1092" s="14" t="s">
        <v>518</v>
      </c>
      <c r="E1092" s="15">
        <v>5</v>
      </c>
      <c r="F1092" s="15">
        <v>714</v>
      </c>
      <c r="G1092" s="16">
        <f>ROUND(E1092*F1092,2)</f>
        <v>3570</v>
      </c>
    </row>
    <row r="1093" spans="1:7" ht="31.2" x14ac:dyDescent="0.3">
      <c r="A1093" s="13" t="s">
        <v>519</v>
      </c>
      <c r="B1093" s="13" t="s">
        <v>15</v>
      </c>
      <c r="C1093" s="13" t="s">
        <v>151</v>
      </c>
      <c r="D1093" s="14" t="s">
        <v>520</v>
      </c>
      <c r="E1093" s="15">
        <v>21</v>
      </c>
      <c r="F1093" s="15">
        <v>538.34</v>
      </c>
      <c r="G1093" s="16">
        <f>ROUND(E1093*F1093,2)</f>
        <v>11305.14</v>
      </c>
    </row>
    <row r="1094" spans="1:7" ht="31.2" x14ac:dyDescent="0.3">
      <c r="A1094" s="13" t="s">
        <v>521</v>
      </c>
      <c r="B1094" s="13" t="s">
        <v>15</v>
      </c>
      <c r="C1094" s="13" t="s">
        <v>363</v>
      </c>
      <c r="D1094" s="14" t="s">
        <v>522</v>
      </c>
      <c r="E1094" s="15">
        <v>537.33000000000004</v>
      </c>
      <c r="F1094" s="15">
        <v>23.32</v>
      </c>
      <c r="G1094" s="16">
        <f>ROUND(E1094*F1094,2)</f>
        <v>12530.54</v>
      </c>
    </row>
    <row r="1095" spans="1:7" x14ac:dyDescent="0.3">
      <c r="A1095" s="17"/>
      <c r="B1095" s="17"/>
      <c r="C1095" s="17"/>
      <c r="D1095" s="18" t="s">
        <v>620</v>
      </c>
      <c r="E1095" s="15">
        <v>1</v>
      </c>
      <c r="F1095" s="12">
        <f>SUM(G1090:G1094)</f>
        <v>28504.5</v>
      </c>
      <c r="G1095" s="12">
        <f>ROUND(F1095*E1095,2)</f>
        <v>28504.5</v>
      </c>
    </row>
    <row r="1096" spans="1:7" ht="1.05" customHeight="1" x14ac:dyDescent="0.3">
      <c r="A1096" s="20"/>
      <c r="B1096" s="20"/>
      <c r="C1096" s="20"/>
      <c r="D1096" s="21"/>
      <c r="E1096" s="20"/>
      <c r="F1096" s="20"/>
      <c r="G1096" s="20"/>
    </row>
    <row r="1097" spans="1:7" x14ac:dyDescent="0.3">
      <c r="A1097" s="22" t="s">
        <v>621</v>
      </c>
      <c r="B1097" s="22" t="s">
        <v>11</v>
      </c>
      <c r="C1097" s="22" t="s">
        <v>12</v>
      </c>
      <c r="D1097" s="23" t="s">
        <v>360</v>
      </c>
      <c r="E1097" s="12">
        <f>E1099</f>
        <v>1</v>
      </c>
      <c r="F1097" s="12">
        <f>F1099</f>
        <v>5145.9799999999996</v>
      </c>
      <c r="G1097" s="12">
        <f>G1099</f>
        <v>5145.9799999999996</v>
      </c>
    </row>
    <row r="1098" spans="1:7" ht="31.2" x14ac:dyDescent="0.3">
      <c r="A1098" s="13" t="s">
        <v>361</v>
      </c>
      <c r="B1098" s="13" t="s">
        <v>15</v>
      </c>
      <c r="C1098" s="13" t="s">
        <v>363</v>
      </c>
      <c r="D1098" s="14" t="s">
        <v>362</v>
      </c>
      <c r="E1098" s="15">
        <v>578.85</v>
      </c>
      <c r="F1098" s="15">
        <v>8.89</v>
      </c>
      <c r="G1098" s="16">
        <f>ROUND(E1098*F1098,2)</f>
        <v>5145.9799999999996</v>
      </c>
    </row>
    <row r="1099" spans="1:7" x14ac:dyDescent="0.3">
      <c r="A1099" s="17"/>
      <c r="B1099" s="17"/>
      <c r="C1099" s="17"/>
      <c r="D1099" s="18" t="s">
        <v>622</v>
      </c>
      <c r="E1099" s="15">
        <v>1</v>
      </c>
      <c r="F1099" s="12">
        <f>G1098</f>
        <v>5145.9799999999996</v>
      </c>
      <c r="G1099" s="12">
        <f>ROUND(F1099*E1099,2)</f>
        <v>5145.9799999999996</v>
      </c>
    </row>
    <row r="1100" spans="1:7" ht="1.05" customHeight="1" x14ac:dyDescent="0.3">
      <c r="A1100" s="20"/>
      <c r="B1100" s="20"/>
      <c r="C1100" s="20"/>
      <c r="D1100" s="21"/>
      <c r="E1100" s="20"/>
      <c r="F1100" s="20"/>
      <c r="G1100" s="20"/>
    </row>
    <row r="1101" spans="1:7" x14ac:dyDescent="0.3">
      <c r="A1101" s="22" t="s">
        <v>623</v>
      </c>
      <c r="B1101" s="22" t="s">
        <v>11</v>
      </c>
      <c r="C1101" s="22" t="s">
        <v>12</v>
      </c>
      <c r="D1101" s="23" t="s">
        <v>156</v>
      </c>
      <c r="E1101" s="12">
        <f>E1106</f>
        <v>1</v>
      </c>
      <c r="F1101" s="12">
        <f>F1106</f>
        <v>19648.690000000002</v>
      </c>
      <c r="G1101" s="12">
        <f>G1106</f>
        <v>19648.689999999999</v>
      </c>
    </row>
    <row r="1102" spans="1:7" x14ac:dyDescent="0.3">
      <c r="A1102" s="13" t="s">
        <v>157</v>
      </c>
      <c r="B1102" s="13" t="s">
        <v>15</v>
      </c>
      <c r="C1102" s="13" t="s">
        <v>112</v>
      </c>
      <c r="D1102" s="14" t="s">
        <v>158</v>
      </c>
      <c r="E1102" s="15">
        <v>2084.58</v>
      </c>
      <c r="F1102" s="15">
        <v>4.0199999999999996</v>
      </c>
      <c r="G1102" s="16">
        <f>ROUND(E1102*F1102,2)</f>
        <v>8380.01</v>
      </c>
    </row>
    <row r="1103" spans="1:7" x14ac:dyDescent="0.3">
      <c r="A1103" s="13" t="s">
        <v>159</v>
      </c>
      <c r="B1103" s="13" t="s">
        <v>15</v>
      </c>
      <c r="C1103" s="13" t="s">
        <v>112</v>
      </c>
      <c r="D1103" s="14" t="s">
        <v>160</v>
      </c>
      <c r="E1103" s="15">
        <v>1432.4</v>
      </c>
      <c r="F1103" s="15">
        <v>4.37</v>
      </c>
      <c r="G1103" s="16">
        <f>ROUND(E1103*F1103,2)</f>
        <v>6259.59</v>
      </c>
    </row>
    <row r="1104" spans="1:7" x14ac:dyDescent="0.3">
      <c r="A1104" s="13" t="s">
        <v>527</v>
      </c>
      <c r="B1104" s="13" t="s">
        <v>15</v>
      </c>
      <c r="C1104" s="13" t="s">
        <v>112</v>
      </c>
      <c r="D1104" s="14" t="s">
        <v>528</v>
      </c>
      <c r="E1104" s="15">
        <v>206.66</v>
      </c>
      <c r="F1104" s="15">
        <v>8.35</v>
      </c>
      <c r="G1104" s="16">
        <f>ROUND(E1104*F1104,2)</f>
        <v>1725.61</v>
      </c>
    </row>
    <row r="1105" spans="1:7" x14ac:dyDescent="0.3">
      <c r="A1105" s="13" t="s">
        <v>161</v>
      </c>
      <c r="B1105" s="13" t="s">
        <v>15</v>
      </c>
      <c r="C1105" s="13" t="s">
        <v>112</v>
      </c>
      <c r="D1105" s="14" t="s">
        <v>162</v>
      </c>
      <c r="E1105" s="15">
        <v>445.52</v>
      </c>
      <c r="F1105" s="15">
        <v>7.37</v>
      </c>
      <c r="G1105" s="16">
        <f>ROUND(E1105*F1105,2)</f>
        <v>3283.48</v>
      </c>
    </row>
    <row r="1106" spans="1:7" x14ac:dyDescent="0.3">
      <c r="A1106" s="17"/>
      <c r="B1106" s="17"/>
      <c r="C1106" s="17"/>
      <c r="D1106" s="18" t="s">
        <v>624</v>
      </c>
      <c r="E1106" s="15">
        <v>1</v>
      </c>
      <c r="F1106" s="12">
        <f>SUM(G1102:G1105)</f>
        <v>19648.690000000002</v>
      </c>
      <c r="G1106" s="12">
        <f>ROUND(F1106*E1106,2)</f>
        <v>19648.689999999999</v>
      </c>
    </row>
    <row r="1107" spans="1:7" ht="1.05" customHeight="1" x14ac:dyDescent="0.3">
      <c r="A1107" s="20"/>
      <c r="B1107" s="20"/>
      <c r="C1107" s="20"/>
      <c r="D1107" s="21"/>
      <c r="E1107" s="20"/>
      <c r="F1107" s="20"/>
      <c r="G1107" s="20"/>
    </row>
    <row r="1108" spans="1:7" x14ac:dyDescent="0.3">
      <c r="A1108" s="22" t="s">
        <v>625</v>
      </c>
      <c r="B1108" s="22" t="s">
        <v>11</v>
      </c>
      <c r="C1108" s="22" t="s">
        <v>12</v>
      </c>
      <c r="D1108" s="23" t="s">
        <v>531</v>
      </c>
      <c r="E1108" s="12">
        <f>E1112</f>
        <v>1</v>
      </c>
      <c r="F1108" s="12">
        <f>F1112</f>
        <v>9989.7900000000009</v>
      </c>
      <c r="G1108" s="12">
        <f>G1112</f>
        <v>9989.7900000000009</v>
      </c>
    </row>
    <row r="1109" spans="1:7" ht="31.2" x14ac:dyDescent="0.3">
      <c r="A1109" s="13" t="s">
        <v>532</v>
      </c>
      <c r="B1109" s="13" t="s">
        <v>15</v>
      </c>
      <c r="C1109" s="13" t="s">
        <v>534</v>
      </c>
      <c r="D1109" s="14" t="s">
        <v>533</v>
      </c>
      <c r="E1109" s="15">
        <v>40.51</v>
      </c>
      <c r="F1109" s="15">
        <v>53.17</v>
      </c>
      <c r="G1109" s="16">
        <f>ROUND(E1109*F1109,2)</f>
        <v>2153.92</v>
      </c>
    </row>
    <row r="1110" spans="1:7" x14ac:dyDescent="0.3">
      <c r="A1110" s="13" t="s">
        <v>535</v>
      </c>
      <c r="B1110" s="13" t="s">
        <v>15</v>
      </c>
      <c r="C1110" s="13" t="s">
        <v>534</v>
      </c>
      <c r="D1110" s="14" t="s">
        <v>536</v>
      </c>
      <c r="E1110" s="15">
        <v>48.38</v>
      </c>
      <c r="F1110" s="15">
        <v>71.430000000000007</v>
      </c>
      <c r="G1110" s="16">
        <f>ROUND(E1110*F1110,2)</f>
        <v>3455.78</v>
      </c>
    </row>
    <row r="1111" spans="1:7" x14ac:dyDescent="0.3">
      <c r="A1111" s="13" t="s">
        <v>537</v>
      </c>
      <c r="B1111" s="13" t="s">
        <v>15</v>
      </c>
      <c r="C1111" s="13" t="s">
        <v>534</v>
      </c>
      <c r="D1111" s="14" t="s">
        <v>538</v>
      </c>
      <c r="E1111" s="15">
        <v>61.32</v>
      </c>
      <c r="F1111" s="15">
        <v>71.430000000000007</v>
      </c>
      <c r="G1111" s="16">
        <f>ROUND(E1111*F1111,2)</f>
        <v>4380.09</v>
      </c>
    </row>
    <row r="1112" spans="1:7" x14ac:dyDescent="0.3">
      <c r="A1112" s="17"/>
      <c r="B1112" s="17"/>
      <c r="C1112" s="17"/>
      <c r="D1112" s="18" t="s">
        <v>626</v>
      </c>
      <c r="E1112" s="15">
        <v>1</v>
      </c>
      <c r="F1112" s="12">
        <f>SUM(G1109:G1111)</f>
        <v>9989.7900000000009</v>
      </c>
      <c r="G1112" s="12">
        <f>ROUND(F1112*E1112,2)</f>
        <v>9989.7900000000009</v>
      </c>
    </row>
    <row r="1113" spans="1:7" ht="1.05" customHeight="1" x14ac:dyDescent="0.3">
      <c r="A1113" s="20"/>
      <c r="B1113" s="20"/>
      <c r="C1113" s="20"/>
      <c r="D1113" s="21"/>
      <c r="E1113" s="20"/>
      <c r="F1113" s="20"/>
      <c r="G1113" s="20"/>
    </row>
    <row r="1114" spans="1:7" x14ac:dyDescent="0.3">
      <c r="A1114" s="22" t="s">
        <v>627</v>
      </c>
      <c r="B1114" s="22" t="s">
        <v>11</v>
      </c>
      <c r="C1114" s="22" t="s">
        <v>12</v>
      </c>
      <c r="D1114" s="23" t="s">
        <v>165</v>
      </c>
      <c r="E1114" s="12">
        <f>E1121</f>
        <v>1</v>
      </c>
      <c r="F1114" s="12">
        <f>F1121</f>
        <v>10027.540000000001</v>
      </c>
      <c r="G1114" s="12">
        <f>G1121</f>
        <v>10027.540000000001</v>
      </c>
    </row>
    <row r="1115" spans="1:7" x14ac:dyDescent="0.3">
      <c r="A1115" s="13" t="s">
        <v>172</v>
      </c>
      <c r="B1115" s="13" t="s">
        <v>15</v>
      </c>
      <c r="C1115" s="13" t="s">
        <v>28</v>
      </c>
      <c r="D1115" s="14" t="s">
        <v>173</v>
      </c>
      <c r="E1115" s="15">
        <v>10</v>
      </c>
      <c r="F1115" s="15">
        <v>122.02</v>
      </c>
      <c r="G1115" s="16">
        <f>ROUND(E1115*F1115,2)</f>
        <v>1220.2</v>
      </c>
    </row>
    <row r="1116" spans="1:7" x14ac:dyDescent="0.3">
      <c r="A1116" s="13" t="s">
        <v>541</v>
      </c>
      <c r="B1116" s="13" t="s">
        <v>15</v>
      </c>
      <c r="C1116" s="13" t="s">
        <v>22</v>
      </c>
      <c r="D1116" s="14" t="s">
        <v>542</v>
      </c>
      <c r="E1116" s="15">
        <v>24.88</v>
      </c>
      <c r="F1116" s="15">
        <v>212.06</v>
      </c>
      <c r="G1116" s="16">
        <f>ROUND(E1116*F1116,2)</f>
        <v>5276.05</v>
      </c>
    </row>
    <row r="1117" spans="1:7" x14ac:dyDescent="0.3">
      <c r="A1117" s="13" t="s">
        <v>543</v>
      </c>
      <c r="B1117" s="13" t="s">
        <v>15</v>
      </c>
      <c r="C1117" s="13" t="s">
        <v>91</v>
      </c>
      <c r="D1117" s="14" t="s">
        <v>544</v>
      </c>
      <c r="E1117" s="15">
        <v>2.46</v>
      </c>
      <c r="F1117" s="15">
        <v>113.44</v>
      </c>
      <c r="G1117" s="16">
        <f>ROUND(E1117*F1117,2)</f>
        <v>279.06</v>
      </c>
    </row>
    <row r="1118" spans="1:7" ht="31.2" x14ac:dyDescent="0.3">
      <c r="A1118" s="13" t="s">
        <v>545</v>
      </c>
      <c r="B1118" s="13" t="s">
        <v>15</v>
      </c>
      <c r="C1118" s="13" t="s">
        <v>22</v>
      </c>
      <c r="D1118" s="14" t="s">
        <v>546</v>
      </c>
      <c r="E1118" s="15">
        <v>23.85</v>
      </c>
      <c r="F1118" s="15">
        <v>44.13</v>
      </c>
      <c r="G1118" s="16">
        <f>ROUND(E1118*F1118,2)</f>
        <v>1052.5</v>
      </c>
    </row>
    <row r="1119" spans="1:7" x14ac:dyDescent="0.3">
      <c r="A1119" s="13" t="s">
        <v>628</v>
      </c>
      <c r="B1119" s="13" t="s">
        <v>15</v>
      </c>
      <c r="C1119" s="13" t="s">
        <v>22</v>
      </c>
      <c r="D1119" s="14" t="s">
        <v>629</v>
      </c>
      <c r="E1119" s="15">
        <v>22.75</v>
      </c>
      <c r="F1119" s="15">
        <v>49.72</v>
      </c>
      <c r="G1119" s="16">
        <f>ROUND(E1119*F1119,2)</f>
        <v>1131.1300000000001</v>
      </c>
    </row>
    <row r="1120" spans="1:7" x14ac:dyDescent="0.3">
      <c r="A1120" s="13" t="s">
        <v>630</v>
      </c>
      <c r="B1120" s="13" t="s">
        <v>15</v>
      </c>
      <c r="C1120" s="13" t="s">
        <v>28</v>
      </c>
      <c r="D1120" s="14" t="s">
        <v>631</v>
      </c>
      <c r="E1120" s="15">
        <v>26</v>
      </c>
      <c r="F1120" s="15">
        <v>41.1</v>
      </c>
      <c r="G1120" s="16">
        <f>ROUND(E1120*F1120,2)</f>
        <v>1068.5999999999999</v>
      </c>
    </row>
    <row r="1121" spans="1:7" x14ac:dyDescent="0.3">
      <c r="A1121" s="17"/>
      <c r="B1121" s="17"/>
      <c r="C1121" s="17"/>
      <c r="D1121" s="18" t="s">
        <v>632</v>
      </c>
      <c r="E1121" s="15">
        <v>1</v>
      </c>
      <c r="F1121" s="12">
        <f>SUM(G1115:G1120)</f>
        <v>10027.540000000001</v>
      </c>
      <c r="G1121" s="12">
        <f>ROUND(F1121*E1121,2)</f>
        <v>10027.540000000001</v>
      </c>
    </row>
    <row r="1122" spans="1:7" ht="1.05" customHeight="1" x14ac:dyDescent="0.3">
      <c r="A1122" s="20"/>
      <c r="B1122" s="20"/>
      <c r="C1122" s="20"/>
      <c r="D1122" s="21"/>
      <c r="E1122" s="20"/>
      <c r="F1122" s="20"/>
      <c r="G1122" s="20"/>
    </row>
    <row r="1123" spans="1:7" x14ac:dyDescent="0.3">
      <c r="A1123" s="22" t="s">
        <v>633</v>
      </c>
      <c r="B1123" s="22" t="s">
        <v>11</v>
      </c>
      <c r="C1123" s="22" t="s">
        <v>12</v>
      </c>
      <c r="D1123" s="23" t="s">
        <v>176</v>
      </c>
      <c r="E1123" s="12">
        <f>E1173</f>
        <v>1</v>
      </c>
      <c r="F1123" s="12">
        <f>F1173</f>
        <v>24253.940000000002</v>
      </c>
      <c r="G1123" s="12">
        <f>G1173</f>
        <v>24253.94</v>
      </c>
    </row>
    <row r="1124" spans="1:7" ht="31.2" x14ac:dyDescent="0.3">
      <c r="A1124" s="22" t="s">
        <v>634</v>
      </c>
      <c r="B1124" s="22" t="s">
        <v>11</v>
      </c>
      <c r="C1124" s="22" t="s">
        <v>12</v>
      </c>
      <c r="D1124" s="23" t="s">
        <v>229</v>
      </c>
      <c r="E1124" s="12">
        <f>E1137</f>
        <v>1</v>
      </c>
      <c r="F1124" s="12">
        <f>F1137</f>
        <v>3348</v>
      </c>
      <c r="G1124" s="12">
        <f>G1137</f>
        <v>3348</v>
      </c>
    </row>
    <row r="1125" spans="1:7" x14ac:dyDescent="0.3">
      <c r="A1125" s="13" t="s">
        <v>230</v>
      </c>
      <c r="B1125" s="13" t="s">
        <v>15</v>
      </c>
      <c r="C1125" s="13" t="s">
        <v>28</v>
      </c>
      <c r="D1125" s="14" t="s">
        <v>231</v>
      </c>
      <c r="E1125" s="15">
        <v>258.08999999999997</v>
      </c>
      <c r="F1125" s="15">
        <v>1.9</v>
      </c>
      <c r="G1125" s="16">
        <f>ROUND(E1125*F1125,2)</f>
        <v>490.37</v>
      </c>
    </row>
    <row r="1126" spans="1:7" x14ac:dyDescent="0.3">
      <c r="A1126" s="13" t="s">
        <v>232</v>
      </c>
      <c r="B1126" s="13" t="s">
        <v>15</v>
      </c>
      <c r="C1126" s="13" t="s">
        <v>28</v>
      </c>
      <c r="D1126" s="14" t="s">
        <v>233</v>
      </c>
      <c r="E1126" s="15">
        <v>258.08999999999997</v>
      </c>
      <c r="F1126" s="15">
        <v>4.3499999999999996</v>
      </c>
      <c r="G1126" s="16">
        <f>ROUND(E1126*F1126,2)</f>
        <v>1122.69</v>
      </c>
    </row>
    <row r="1127" spans="1:7" x14ac:dyDescent="0.3">
      <c r="A1127" s="13" t="s">
        <v>550</v>
      </c>
      <c r="B1127" s="13" t="s">
        <v>15</v>
      </c>
      <c r="C1127" s="13" t="s">
        <v>28</v>
      </c>
      <c r="D1127" s="14" t="s">
        <v>551</v>
      </c>
      <c r="E1127" s="15">
        <v>179.16</v>
      </c>
      <c r="F1127" s="15">
        <v>2.98</v>
      </c>
      <c r="G1127" s="16">
        <f>ROUND(E1127*F1127,2)</f>
        <v>533.9</v>
      </c>
    </row>
    <row r="1128" spans="1:7" x14ac:dyDescent="0.3">
      <c r="A1128" s="13" t="s">
        <v>234</v>
      </c>
      <c r="B1128" s="13" t="s">
        <v>15</v>
      </c>
      <c r="C1128" s="13" t="s">
        <v>28</v>
      </c>
      <c r="D1128" s="14" t="s">
        <v>235</v>
      </c>
      <c r="E1128" s="15">
        <v>56.18</v>
      </c>
      <c r="F1128" s="15">
        <v>3.07</v>
      </c>
      <c r="G1128" s="16">
        <f>ROUND(E1128*F1128,2)</f>
        <v>172.47</v>
      </c>
    </row>
    <row r="1129" spans="1:7" x14ac:dyDescent="0.3">
      <c r="A1129" s="13" t="s">
        <v>236</v>
      </c>
      <c r="B1129" s="13" t="s">
        <v>15</v>
      </c>
      <c r="C1129" s="13" t="s">
        <v>28</v>
      </c>
      <c r="D1129" s="14" t="s">
        <v>237</v>
      </c>
      <c r="E1129" s="15">
        <v>0</v>
      </c>
      <c r="F1129" s="15">
        <v>4.22</v>
      </c>
      <c r="G1129" s="16">
        <f>ROUND(E1129*F1129,2)</f>
        <v>0</v>
      </c>
    </row>
    <row r="1130" spans="1:7" x14ac:dyDescent="0.3">
      <c r="A1130" s="13" t="s">
        <v>238</v>
      </c>
      <c r="B1130" s="13" t="s">
        <v>15</v>
      </c>
      <c r="C1130" s="13" t="s">
        <v>28</v>
      </c>
      <c r="D1130" s="14" t="s">
        <v>239</v>
      </c>
      <c r="E1130" s="15">
        <v>0</v>
      </c>
      <c r="F1130" s="15">
        <v>13.9</v>
      </c>
      <c r="G1130" s="16">
        <f>ROUND(E1130*F1130,2)</f>
        <v>0</v>
      </c>
    </row>
    <row r="1131" spans="1:7" x14ac:dyDescent="0.3">
      <c r="A1131" s="13" t="s">
        <v>240</v>
      </c>
      <c r="B1131" s="13" t="s">
        <v>15</v>
      </c>
      <c r="C1131" s="13" t="s">
        <v>28</v>
      </c>
      <c r="D1131" s="14" t="s">
        <v>241</v>
      </c>
      <c r="E1131" s="15">
        <v>0</v>
      </c>
      <c r="F1131" s="15">
        <v>15.59</v>
      </c>
      <c r="G1131" s="16">
        <f>ROUND(E1131*F1131,2)</f>
        <v>0</v>
      </c>
    </row>
    <row r="1132" spans="1:7" ht="31.2" x14ac:dyDescent="0.3">
      <c r="A1132" s="13" t="s">
        <v>242</v>
      </c>
      <c r="B1132" s="13" t="s">
        <v>15</v>
      </c>
      <c r="C1132" s="13" t="s">
        <v>16</v>
      </c>
      <c r="D1132" s="14" t="s">
        <v>243</v>
      </c>
      <c r="E1132" s="15">
        <v>1</v>
      </c>
      <c r="F1132" s="15">
        <v>793.65</v>
      </c>
      <c r="G1132" s="16">
        <f>ROUND(E1132*F1132,2)</f>
        <v>793.65</v>
      </c>
    </row>
    <row r="1133" spans="1:7" x14ac:dyDescent="0.3">
      <c r="A1133" s="13" t="s">
        <v>244</v>
      </c>
      <c r="B1133" s="13" t="s">
        <v>15</v>
      </c>
      <c r="C1133" s="13" t="s">
        <v>215</v>
      </c>
      <c r="D1133" s="14" t="s">
        <v>245</v>
      </c>
      <c r="E1133" s="15">
        <v>0</v>
      </c>
      <c r="F1133" s="15">
        <v>13.5</v>
      </c>
      <c r="G1133" s="16">
        <f>ROUND(E1133*F1133,2)</f>
        <v>0</v>
      </c>
    </row>
    <row r="1134" spans="1:7" x14ac:dyDescent="0.3">
      <c r="A1134" s="13" t="s">
        <v>552</v>
      </c>
      <c r="B1134" s="13" t="s">
        <v>15</v>
      </c>
      <c r="C1134" s="13" t="s">
        <v>215</v>
      </c>
      <c r="D1134" s="14" t="s">
        <v>553</v>
      </c>
      <c r="E1134" s="15">
        <v>1</v>
      </c>
      <c r="F1134" s="15">
        <v>23.11</v>
      </c>
      <c r="G1134" s="16">
        <f>ROUND(E1134*F1134,2)</f>
        <v>23.11</v>
      </c>
    </row>
    <row r="1135" spans="1:7" x14ac:dyDescent="0.3">
      <c r="A1135" s="13" t="s">
        <v>554</v>
      </c>
      <c r="B1135" s="13" t="s">
        <v>15</v>
      </c>
      <c r="C1135" s="13" t="s">
        <v>215</v>
      </c>
      <c r="D1135" s="14" t="s">
        <v>555</v>
      </c>
      <c r="E1135" s="15">
        <v>5</v>
      </c>
      <c r="F1135" s="15">
        <v>30.9</v>
      </c>
      <c r="G1135" s="16">
        <f>ROUND(E1135*F1135,2)</f>
        <v>154.5</v>
      </c>
    </row>
    <row r="1136" spans="1:7" x14ac:dyDescent="0.3">
      <c r="A1136" s="13" t="s">
        <v>246</v>
      </c>
      <c r="B1136" s="13" t="s">
        <v>15</v>
      </c>
      <c r="C1136" s="13" t="s">
        <v>215</v>
      </c>
      <c r="D1136" s="14" t="s">
        <v>247</v>
      </c>
      <c r="E1136" s="15">
        <v>1</v>
      </c>
      <c r="F1136" s="15">
        <v>57.31</v>
      </c>
      <c r="G1136" s="16">
        <f>ROUND(E1136*F1136,2)</f>
        <v>57.31</v>
      </c>
    </row>
    <row r="1137" spans="1:7" x14ac:dyDescent="0.3">
      <c r="A1137" s="17"/>
      <c r="B1137" s="17"/>
      <c r="C1137" s="17"/>
      <c r="D1137" s="18" t="s">
        <v>635</v>
      </c>
      <c r="E1137" s="15">
        <v>1</v>
      </c>
      <c r="F1137" s="12">
        <f>SUM(G1125:G1136)</f>
        <v>3348</v>
      </c>
      <c r="G1137" s="12">
        <f>ROUND(F1137*E1137,2)</f>
        <v>3348</v>
      </c>
    </row>
    <row r="1138" spans="1:7" ht="1.05" customHeight="1" x14ac:dyDescent="0.3">
      <c r="A1138" s="20"/>
      <c r="B1138" s="20"/>
      <c r="C1138" s="20"/>
      <c r="D1138" s="21"/>
      <c r="E1138" s="20"/>
      <c r="F1138" s="20"/>
      <c r="G1138" s="20"/>
    </row>
    <row r="1139" spans="1:7" ht="31.2" x14ac:dyDescent="0.3">
      <c r="A1139" s="22" t="s">
        <v>636</v>
      </c>
      <c r="B1139" s="22" t="s">
        <v>11</v>
      </c>
      <c r="C1139" s="22" t="s">
        <v>12</v>
      </c>
      <c r="D1139" s="23" t="s">
        <v>250</v>
      </c>
      <c r="E1139" s="12">
        <f>E1150</f>
        <v>1</v>
      </c>
      <c r="F1139" s="12">
        <f>F1150</f>
        <v>4031.82</v>
      </c>
      <c r="G1139" s="12">
        <f>G1150</f>
        <v>4031.82</v>
      </c>
    </row>
    <row r="1140" spans="1:7" x14ac:dyDescent="0.3">
      <c r="A1140" s="13" t="s">
        <v>230</v>
      </c>
      <c r="B1140" s="13" t="s">
        <v>15</v>
      </c>
      <c r="C1140" s="13" t="s">
        <v>28</v>
      </c>
      <c r="D1140" s="14" t="s">
        <v>231</v>
      </c>
      <c r="E1140" s="15">
        <v>208.67</v>
      </c>
      <c r="F1140" s="15">
        <v>1.9</v>
      </c>
      <c r="G1140" s="16">
        <f>ROUND(E1140*F1140,2)</f>
        <v>396.47</v>
      </c>
    </row>
    <row r="1141" spans="1:7" x14ac:dyDescent="0.3">
      <c r="A1141" s="13" t="s">
        <v>558</v>
      </c>
      <c r="B1141" s="13" t="s">
        <v>15</v>
      </c>
      <c r="C1141" s="13" t="s">
        <v>28</v>
      </c>
      <c r="D1141" s="14" t="s">
        <v>559</v>
      </c>
      <c r="E1141" s="15">
        <v>29.68</v>
      </c>
      <c r="F1141" s="15">
        <v>9.15</v>
      </c>
      <c r="G1141" s="16">
        <f>ROUND(E1141*F1141,2)</f>
        <v>271.57</v>
      </c>
    </row>
    <row r="1142" spans="1:7" x14ac:dyDescent="0.3">
      <c r="A1142" s="13" t="s">
        <v>393</v>
      </c>
      <c r="B1142" s="13" t="s">
        <v>15</v>
      </c>
      <c r="C1142" s="13" t="s">
        <v>28</v>
      </c>
      <c r="D1142" s="14" t="s">
        <v>394</v>
      </c>
      <c r="E1142" s="15">
        <v>10.68</v>
      </c>
      <c r="F1142" s="15">
        <v>10.02</v>
      </c>
      <c r="G1142" s="16">
        <f>ROUND(E1142*F1142,2)</f>
        <v>107.01</v>
      </c>
    </row>
    <row r="1143" spans="1:7" x14ac:dyDescent="0.3">
      <c r="A1143" s="13" t="s">
        <v>395</v>
      </c>
      <c r="B1143" s="13" t="s">
        <v>15</v>
      </c>
      <c r="C1143" s="13" t="s">
        <v>28</v>
      </c>
      <c r="D1143" s="14" t="s">
        <v>396</v>
      </c>
      <c r="E1143" s="15">
        <v>29.85</v>
      </c>
      <c r="F1143" s="15">
        <v>11.7</v>
      </c>
      <c r="G1143" s="16">
        <f>ROUND(E1143*F1143,2)</f>
        <v>349.25</v>
      </c>
    </row>
    <row r="1144" spans="1:7" x14ac:dyDescent="0.3">
      <c r="A1144" s="13" t="s">
        <v>397</v>
      </c>
      <c r="B1144" s="13" t="s">
        <v>15</v>
      </c>
      <c r="C1144" s="13" t="s">
        <v>28</v>
      </c>
      <c r="D1144" s="14" t="s">
        <v>398</v>
      </c>
      <c r="E1144" s="15">
        <v>11.71</v>
      </c>
      <c r="F1144" s="15">
        <v>16.88</v>
      </c>
      <c r="G1144" s="16">
        <f>ROUND(E1144*F1144,2)</f>
        <v>197.66</v>
      </c>
    </row>
    <row r="1145" spans="1:7" ht="31.2" x14ac:dyDescent="0.3">
      <c r="A1145" s="13" t="s">
        <v>261</v>
      </c>
      <c r="B1145" s="13" t="s">
        <v>15</v>
      </c>
      <c r="C1145" s="13" t="s">
        <v>16</v>
      </c>
      <c r="D1145" s="14" t="s">
        <v>262</v>
      </c>
      <c r="E1145" s="15">
        <v>0.75</v>
      </c>
      <c r="F1145" s="15">
        <v>1031.75</v>
      </c>
      <c r="G1145" s="16">
        <f>ROUND(E1145*F1145,2)</f>
        <v>773.81</v>
      </c>
    </row>
    <row r="1146" spans="1:7" x14ac:dyDescent="0.3">
      <c r="A1146" s="13" t="s">
        <v>399</v>
      </c>
      <c r="B1146" s="13" t="s">
        <v>15</v>
      </c>
      <c r="C1146" s="13" t="s">
        <v>215</v>
      </c>
      <c r="D1146" s="14" t="s">
        <v>400</v>
      </c>
      <c r="E1146" s="15">
        <v>6</v>
      </c>
      <c r="F1146" s="15">
        <v>30.14</v>
      </c>
      <c r="G1146" s="16">
        <f>ROUND(E1146*F1146,2)</f>
        <v>180.84</v>
      </c>
    </row>
    <row r="1147" spans="1:7" ht="31.2" x14ac:dyDescent="0.3">
      <c r="A1147" s="13" t="s">
        <v>265</v>
      </c>
      <c r="B1147" s="13" t="s">
        <v>15</v>
      </c>
      <c r="C1147" s="13" t="s">
        <v>215</v>
      </c>
      <c r="D1147" s="14" t="s">
        <v>266</v>
      </c>
      <c r="E1147" s="15">
        <v>23</v>
      </c>
      <c r="F1147" s="15">
        <v>32.25</v>
      </c>
      <c r="G1147" s="16">
        <f>ROUND(E1147*F1147,2)</f>
        <v>741.75</v>
      </c>
    </row>
    <row r="1148" spans="1:7" ht="31.2" x14ac:dyDescent="0.3">
      <c r="A1148" s="13" t="s">
        <v>267</v>
      </c>
      <c r="B1148" s="13" t="s">
        <v>15</v>
      </c>
      <c r="C1148" s="13" t="s">
        <v>215</v>
      </c>
      <c r="D1148" s="14" t="s">
        <v>268</v>
      </c>
      <c r="E1148" s="15">
        <v>10</v>
      </c>
      <c r="F1148" s="15">
        <v>44.38</v>
      </c>
      <c r="G1148" s="16">
        <f>ROUND(E1148*F1148,2)</f>
        <v>443.8</v>
      </c>
    </row>
    <row r="1149" spans="1:7" x14ac:dyDescent="0.3">
      <c r="A1149" s="13" t="s">
        <v>401</v>
      </c>
      <c r="B1149" s="13" t="s">
        <v>15</v>
      </c>
      <c r="C1149" s="13" t="s">
        <v>215</v>
      </c>
      <c r="D1149" s="14" t="s">
        <v>402</v>
      </c>
      <c r="E1149" s="15">
        <v>7</v>
      </c>
      <c r="F1149" s="15">
        <v>81.38</v>
      </c>
      <c r="G1149" s="16">
        <f>ROUND(E1149*F1149,2)</f>
        <v>569.66</v>
      </c>
    </row>
    <row r="1150" spans="1:7" x14ac:dyDescent="0.3">
      <c r="A1150" s="17"/>
      <c r="B1150" s="17"/>
      <c r="C1150" s="17"/>
      <c r="D1150" s="18" t="s">
        <v>637</v>
      </c>
      <c r="E1150" s="15">
        <v>1</v>
      </c>
      <c r="F1150" s="12">
        <f>SUM(G1140:G1149)</f>
        <v>4031.82</v>
      </c>
      <c r="G1150" s="12">
        <f>ROUND(F1150*E1150,2)</f>
        <v>4031.82</v>
      </c>
    </row>
    <row r="1151" spans="1:7" ht="1.05" customHeight="1" x14ac:dyDescent="0.3">
      <c r="A1151" s="20"/>
      <c r="B1151" s="20"/>
      <c r="C1151" s="20"/>
      <c r="D1151" s="21"/>
      <c r="E1151" s="20"/>
      <c r="F1151" s="20"/>
      <c r="G1151" s="20"/>
    </row>
    <row r="1152" spans="1:7" x14ac:dyDescent="0.3">
      <c r="A1152" s="22" t="s">
        <v>638</v>
      </c>
      <c r="B1152" s="22" t="s">
        <v>11</v>
      </c>
      <c r="C1152" s="22" t="s">
        <v>12</v>
      </c>
      <c r="D1152" s="23" t="s">
        <v>275</v>
      </c>
      <c r="E1152" s="12">
        <f>E1156</f>
        <v>1</v>
      </c>
      <c r="F1152" s="12">
        <f>F1156</f>
        <v>2310.96</v>
      </c>
      <c r="G1152" s="12">
        <f>G1156</f>
        <v>2310.96</v>
      </c>
    </row>
    <row r="1153" spans="1:7" ht="31.2" x14ac:dyDescent="0.3">
      <c r="A1153" s="13" t="s">
        <v>276</v>
      </c>
      <c r="B1153" s="13" t="s">
        <v>15</v>
      </c>
      <c r="C1153" s="13" t="s">
        <v>28</v>
      </c>
      <c r="D1153" s="14" t="s">
        <v>277</v>
      </c>
      <c r="E1153" s="15">
        <v>3.25</v>
      </c>
      <c r="F1153" s="15">
        <v>27.3</v>
      </c>
      <c r="G1153" s="16">
        <f>ROUND(E1153*F1153,2)</f>
        <v>88.73</v>
      </c>
    </row>
    <row r="1154" spans="1:7" x14ac:dyDescent="0.3">
      <c r="A1154" s="13" t="s">
        <v>278</v>
      </c>
      <c r="B1154" s="13" t="s">
        <v>15</v>
      </c>
      <c r="C1154" s="13" t="s">
        <v>215</v>
      </c>
      <c r="D1154" s="14" t="s">
        <v>279</v>
      </c>
      <c r="E1154" s="15">
        <v>1</v>
      </c>
      <c r="F1154" s="15">
        <v>1666.67</v>
      </c>
      <c r="G1154" s="16">
        <f>ROUND(E1154*F1154,2)</f>
        <v>1666.67</v>
      </c>
    </row>
    <row r="1155" spans="1:7" ht="31.2" x14ac:dyDescent="0.3">
      <c r="A1155" s="13" t="s">
        <v>280</v>
      </c>
      <c r="B1155" s="13" t="s">
        <v>15</v>
      </c>
      <c r="C1155" s="13" t="s">
        <v>215</v>
      </c>
      <c r="D1155" s="14" t="s">
        <v>281</v>
      </c>
      <c r="E1155" s="15">
        <v>1</v>
      </c>
      <c r="F1155" s="15">
        <v>555.55999999999995</v>
      </c>
      <c r="G1155" s="16">
        <f>ROUND(E1155*F1155,2)</f>
        <v>555.55999999999995</v>
      </c>
    </row>
    <row r="1156" spans="1:7" x14ac:dyDescent="0.3">
      <c r="A1156" s="17"/>
      <c r="B1156" s="17"/>
      <c r="C1156" s="17"/>
      <c r="D1156" s="18" t="s">
        <v>639</v>
      </c>
      <c r="E1156" s="15">
        <v>1</v>
      </c>
      <c r="F1156" s="12">
        <f>SUM(G1153:G1155)</f>
        <v>2310.96</v>
      </c>
      <c r="G1156" s="12">
        <f>ROUND(F1156*E1156,2)</f>
        <v>2310.96</v>
      </c>
    </row>
    <row r="1157" spans="1:7" ht="1.05" customHeight="1" x14ac:dyDescent="0.3">
      <c r="A1157" s="20"/>
      <c r="B1157" s="20"/>
      <c r="C1157" s="20"/>
      <c r="D1157" s="21"/>
      <c r="E1157" s="20"/>
      <c r="F1157" s="20"/>
      <c r="G1157" s="20"/>
    </row>
    <row r="1158" spans="1:7" x14ac:dyDescent="0.3">
      <c r="A1158" s="22" t="s">
        <v>640</v>
      </c>
      <c r="B1158" s="22" t="s">
        <v>11</v>
      </c>
      <c r="C1158" s="22" t="s">
        <v>12</v>
      </c>
      <c r="D1158" s="23" t="s">
        <v>407</v>
      </c>
      <c r="E1158" s="12">
        <f>E1166</f>
        <v>1</v>
      </c>
      <c r="F1158" s="12">
        <f>F1166</f>
        <v>12837.009999999998</v>
      </c>
      <c r="G1158" s="12">
        <f>G1166</f>
        <v>12837.01</v>
      </c>
    </row>
    <row r="1159" spans="1:7" ht="31.2" x14ac:dyDescent="0.3">
      <c r="A1159" s="13" t="s">
        <v>564</v>
      </c>
      <c r="B1159" s="13" t="s">
        <v>15</v>
      </c>
      <c r="C1159" s="13" t="s">
        <v>215</v>
      </c>
      <c r="D1159" s="14" t="s">
        <v>565</v>
      </c>
      <c r="E1159" s="15">
        <v>7</v>
      </c>
      <c r="F1159" s="15">
        <v>348.85</v>
      </c>
      <c r="G1159" s="16">
        <f>ROUND(E1159*F1159,2)</f>
        <v>2441.9499999999998</v>
      </c>
    </row>
    <row r="1160" spans="1:7" ht="31.2" x14ac:dyDescent="0.3">
      <c r="A1160" s="13" t="s">
        <v>566</v>
      </c>
      <c r="B1160" s="13" t="s">
        <v>15</v>
      </c>
      <c r="C1160" s="13" t="s">
        <v>215</v>
      </c>
      <c r="D1160" s="14" t="s">
        <v>567</v>
      </c>
      <c r="E1160" s="15">
        <v>7</v>
      </c>
      <c r="F1160" s="15">
        <v>365.25</v>
      </c>
      <c r="G1160" s="16">
        <f>ROUND(E1160*F1160,2)</f>
        <v>2556.75</v>
      </c>
    </row>
    <row r="1161" spans="1:7" x14ac:dyDescent="0.3">
      <c r="A1161" s="13" t="s">
        <v>568</v>
      </c>
      <c r="B1161" s="13" t="s">
        <v>15</v>
      </c>
      <c r="C1161" s="13" t="s">
        <v>215</v>
      </c>
      <c r="D1161" s="14" t="s">
        <v>569</v>
      </c>
      <c r="E1161" s="15">
        <v>7</v>
      </c>
      <c r="F1161" s="15">
        <v>442.68</v>
      </c>
      <c r="G1161" s="16">
        <f>ROUND(E1161*F1161,2)</f>
        <v>3098.76</v>
      </c>
    </row>
    <row r="1162" spans="1:7" ht="31.2" x14ac:dyDescent="0.3">
      <c r="A1162" s="13" t="s">
        <v>570</v>
      </c>
      <c r="B1162" s="13" t="s">
        <v>15</v>
      </c>
      <c r="C1162" s="13" t="s">
        <v>215</v>
      </c>
      <c r="D1162" s="14" t="s">
        <v>571</v>
      </c>
      <c r="E1162" s="15">
        <v>7</v>
      </c>
      <c r="F1162" s="15">
        <v>93.66</v>
      </c>
      <c r="G1162" s="16">
        <f>ROUND(E1162*F1162,2)</f>
        <v>655.62</v>
      </c>
    </row>
    <row r="1163" spans="1:7" ht="31.2" x14ac:dyDescent="0.3">
      <c r="A1163" s="13" t="s">
        <v>572</v>
      </c>
      <c r="B1163" s="13" t="s">
        <v>15</v>
      </c>
      <c r="C1163" s="13" t="s">
        <v>151</v>
      </c>
      <c r="D1163" s="14" t="s">
        <v>573</v>
      </c>
      <c r="E1163" s="15">
        <v>5</v>
      </c>
      <c r="F1163" s="15">
        <v>405.16</v>
      </c>
      <c r="G1163" s="16">
        <f>ROUND(E1163*F1163,2)</f>
        <v>2025.8</v>
      </c>
    </row>
    <row r="1164" spans="1:7" ht="31.2" x14ac:dyDescent="0.3">
      <c r="A1164" s="13" t="s">
        <v>574</v>
      </c>
      <c r="B1164" s="13" t="s">
        <v>15</v>
      </c>
      <c r="C1164" s="13" t="s">
        <v>151</v>
      </c>
      <c r="D1164" s="14" t="s">
        <v>575</v>
      </c>
      <c r="E1164" s="15">
        <v>2</v>
      </c>
      <c r="F1164" s="15">
        <v>295.79000000000002</v>
      </c>
      <c r="G1164" s="16">
        <f>ROUND(E1164*F1164,2)</f>
        <v>591.58000000000004</v>
      </c>
    </row>
    <row r="1165" spans="1:7" x14ac:dyDescent="0.3">
      <c r="A1165" s="13" t="s">
        <v>576</v>
      </c>
      <c r="B1165" s="13" t="s">
        <v>15</v>
      </c>
      <c r="C1165" s="13" t="s">
        <v>151</v>
      </c>
      <c r="D1165" s="14" t="s">
        <v>577</v>
      </c>
      <c r="E1165" s="15">
        <v>5</v>
      </c>
      <c r="F1165" s="15">
        <v>293.31</v>
      </c>
      <c r="G1165" s="16">
        <f>ROUND(E1165*F1165,2)</f>
        <v>1466.55</v>
      </c>
    </row>
    <row r="1166" spans="1:7" x14ac:dyDescent="0.3">
      <c r="A1166" s="17"/>
      <c r="B1166" s="17"/>
      <c r="C1166" s="17"/>
      <c r="D1166" s="18" t="s">
        <v>641</v>
      </c>
      <c r="E1166" s="15">
        <v>1</v>
      </c>
      <c r="F1166" s="12">
        <f>SUM(G1159:G1165)</f>
        <v>12837.009999999998</v>
      </c>
      <c r="G1166" s="12">
        <f>ROUND(F1166*E1166,2)</f>
        <v>12837.01</v>
      </c>
    </row>
    <row r="1167" spans="1:7" ht="1.05" customHeight="1" x14ac:dyDescent="0.3">
      <c r="A1167" s="20"/>
      <c r="B1167" s="20"/>
      <c r="C1167" s="20"/>
      <c r="D1167" s="21"/>
      <c r="E1167" s="20"/>
      <c r="F1167" s="20"/>
      <c r="G1167" s="20"/>
    </row>
    <row r="1168" spans="1:7" x14ac:dyDescent="0.3">
      <c r="A1168" s="22" t="s">
        <v>642</v>
      </c>
      <c r="B1168" s="22" t="s">
        <v>11</v>
      </c>
      <c r="C1168" s="22" t="s">
        <v>12</v>
      </c>
      <c r="D1168" s="23" t="s">
        <v>165</v>
      </c>
      <c r="E1168" s="12">
        <f>E1171</f>
        <v>1</v>
      </c>
      <c r="F1168" s="12">
        <f>F1171</f>
        <v>1726.15</v>
      </c>
      <c r="G1168" s="12">
        <f>G1171</f>
        <v>1726.15</v>
      </c>
    </row>
    <row r="1169" spans="1:7" x14ac:dyDescent="0.3">
      <c r="A1169" s="13" t="s">
        <v>582</v>
      </c>
      <c r="B1169" s="13" t="s">
        <v>15</v>
      </c>
      <c r="C1169" s="13" t="s">
        <v>151</v>
      </c>
      <c r="D1169" s="14" t="s">
        <v>583</v>
      </c>
      <c r="E1169" s="15">
        <v>5</v>
      </c>
      <c r="F1169" s="15">
        <v>74.39</v>
      </c>
      <c r="G1169" s="16">
        <f>ROUND(E1169*F1169,2)</f>
        <v>371.95</v>
      </c>
    </row>
    <row r="1170" spans="1:7" ht="31.2" x14ac:dyDescent="0.3">
      <c r="A1170" s="13" t="s">
        <v>584</v>
      </c>
      <c r="B1170" s="13" t="s">
        <v>15</v>
      </c>
      <c r="C1170" s="13" t="s">
        <v>215</v>
      </c>
      <c r="D1170" s="14" t="s">
        <v>585</v>
      </c>
      <c r="E1170" s="15">
        <v>5</v>
      </c>
      <c r="F1170" s="15">
        <v>270.83999999999997</v>
      </c>
      <c r="G1170" s="16">
        <f>ROUND(E1170*F1170,2)</f>
        <v>1354.2</v>
      </c>
    </row>
    <row r="1171" spans="1:7" x14ac:dyDescent="0.3">
      <c r="A1171" s="17"/>
      <c r="B1171" s="17"/>
      <c r="C1171" s="17"/>
      <c r="D1171" s="18" t="s">
        <v>643</v>
      </c>
      <c r="E1171" s="15">
        <v>1</v>
      </c>
      <c r="F1171" s="12">
        <f>SUM(G1169:G1170)</f>
        <v>1726.15</v>
      </c>
      <c r="G1171" s="12">
        <f>ROUND(F1171*E1171,2)</f>
        <v>1726.15</v>
      </c>
    </row>
    <row r="1172" spans="1:7" ht="1.05" customHeight="1" x14ac:dyDescent="0.3">
      <c r="A1172" s="20"/>
      <c r="B1172" s="20"/>
      <c r="C1172" s="20"/>
      <c r="D1172" s="21"/>
      <c r="E1172" s="20"/>
      <c r="F1172" s="20"/>
      <c r="G1172" s="20"/>
    </row>
    <row r="1173" spans="1:7" x14ac:dyDescent="0.3">
      <c r="A1173" s="17"/>
      <c r="B1173" s="17"/>
      <c r="C1173" s="17"/>
      <c r="D1173" s="18" t="s">
        <v>644</v>
      </c>
      <c r="E1173" s="15">
        <v>1</v>
      </c>
      <c r="F1173" s="12">
        <f>G1137+G1150+G1156+G1166+G1171</f>
        <v>24253.940000000002</v>
      </c>
      <c r="G1173" s="12">
        <f>ROUND(F1173*E1173,2)</f>
        <v>24253.94</v>
      </c>
    </row>
    <row r="1174" spans="1:7" ht="1.05" customHeight="1" x14ac:dyDescent="0.3">
      <c r="A1174" s="20"/>
      <c r="B1174" s="20"/>
      <c r="C1174" s="20"/>
      <c r="D1174" s="21"/>
      <c r="E1174" s="20"/>
      <c r="F1174" s="20"/>
      <c r="G1174" s="20"/>
    </row>
    <row r="1175" spans="1:7" x14ac:dyDescent="0.3">
      <c r="A1175" s="22" t="s">
        <v>645</v>
      </c>
      <c r="B1175" s="22" t="s">
        <v>11</v>
      </c>
      <c r="C1175" s="22" t="s">
        <v>12</v>
      </c>
      <c r="D1175" s="23" t="s">
        <v>285</v>
      </c>
      <c r="E1175" s="12">
        <f>E1189</f>
        <v>1</v>
      </c>
      <c r="F1175" s="12">
        <f>F1189</f>
        <v>14776.529999999999</v>
      </c>
      <c r="G1175" s="12">
        <f>G1189</f>
        <v>14776.53</v>
      </c>
    </row>
    <row r="1176" spans="1:7" x14ac:dyDescent="0.3">
      <c r="A1176" s="13" t="s">
        <v>589</v>
      </c>
      <c r="B1176" s="13" t="s">
        <v>15</v>
      </c>
      <c r="C1176" s="13" t="s">
        <v>215</v>
      </c>
      <c r="D1176" s="14" t="s">
        <v>590</v>
      </c>
      <c r="E1176" s="15">
        <v>5</v>
      </c>
      <c r="F1176" s="15">
        <v>51.04</v>
      </c>
      <c r="G1176" s="16">
        <f>ROUND(E1176*F1176,2)</f>
        <v>255.2</v>
      </c>
    </row>
    <row r="1177" spans="1:7" x14ac:dyDescent="0.3">
      <c r="A1177" s="13" t="s">
        <v>591</v>
      </c>
      <c r="B1177" s="13" t="s">
        <v>15</v>
      </c>
      <c r="C1177" s="13" t="s">
        <v>215</v>
      </c>
      <c r="D1177" s="14" t="s">
        <v>592</v>
      </c>
      <c r="E1177" s="15">
        <v>5</v>
      </c>
      <c r="F1177" s="15">
        <v>37.28</v>
      </c>
      <c r="G1177" s="16">
        <f>ROUND(E1177*F1177,2)</f>
        <v>186.4</v>
      </c>
    </row>
    <row r="1178" spans="1:7" x14ac:dyDescent="0.3">
      <c r="A1178" s="13" t="s">
        <v>593</v>
      </c>
      <c r="B1178" s="13" t="s">
        <v>15</v>
      </c>
      <c r="C1178" s="13" t="s">
        <v>215</v>
      </c>
      <c r="D1178" s="14" t="s">
        <v>594</v>
      </c>
      <c r="E1178" s="15">
        <v>5</v>
      </c>
      <c r="F1178" s="15">
        <v>30.48</v>
      </c>
      <c r="G1178" s="16">
        <f>ROUND(E1178*F1178,2)</f>
        <v>152.4</v>
      </c>
    </row>
    <row r="1179" spans="1:7" x14ac:dyDescent="0.3">
      <c r="A1179" s="13" t="s">
        <v>595</v>
      </c>
      <c r="B1179" s="13" t="s">
        <v>15</v>
      </c>
      <c r="C1179" s="13" t="s">
        <v>215</v>
      </c>
      <c r="D1179" s="14" t="s">
        <v>596</v>
      </c>
      <c r="E1179" s="15">
        <v>27</v>
      </c>
      <c r="F1179" s="15">
        <v>31.59</v>
      </c>
      <c r="G1179" s="16">
        <f>ROUND(E1179*F1179,2)</f>
        <v>852.93</v>
      </c>
    </row>
    <row r="1180" spans="1:7" x14ac:dyDescent="0.3">
      <c r="A1180" s="13" t="s">
        <v>296</v>
      </c>
      <c r="B1180" s="13" t="s">
        <v>15</v>
      </c>
      <c r="C1180" s="13" t="s">
        <v>215</v>
      </c>
      <c r="D1180" s="14" t="s">
        <v>297</v>
      </c>
      <c r="E1180" s="15">
        <v>53</v>
      </c>
      <c r="F1180" s="15">
        <v>50.07</v>
      </c>
      <c r="G1180" s="16">
        <f>ROUND(E1180*F1180,2)</f>
        <v>2653.71</v>
      </c>
    </row>
    <row r="1181" spans="1:7" x14ac:dyDescent="0.3">
      <c r="A1181" s="13" t="s">
        <v>298</v>
      </c>
      <c r="B1181" s="13" t="s">
        <v>15</v>
      </c>
      <c r="C1181" s="13" t="s">
        <v>215</v>
      </c>
      <c r="D1181" s="14" t="s">
        <v>299</v>
      </c>
      <c r="E1181" s="15">
        <v>0</v>
      </c>
      <c r="F1181" s="15">
        <v>42.74</v>
      </c>
      <c r="G1181" s="16">
        <f>ROUND(E1181*F1181,2)</f>
        <v>0</v>
      </c>
    </row>
    <row r="1182" spans="1:7" x14ac:dyDescent="0.3">
      <c r="A1182" s="13" t="s">
        <v>300</v>
      </c>
      <c r="B1182" s="13" t="s">
        <v>15</v>
      </c>
      <c r="C1182" s="13" t="s">
        <v>215</v>
      </c>
      <c r="D1182" s="14" t="s">
        <v>301</v>
      </c>
      <c r="E1182" s="15">
        <v>30</v>
      </c>
      <c r="F1182" s="15">
        <v>45.93</v>
      </c>
      <c r="G1182" s="16">
        <f>ROUND(E1182*F1182,2)</f>
        <v>1377.9</v>
      </c>
    </row>
    <row r="1183" spans="1:7" x14ac:dyDescent="0.3">
      <c r="A1183" s="13" t="s">
        <v>302</v>
      </c>
      <c r="B1183" s="13" t="s">
        <v>15</v>
      </c>
      <c r="C1183" s="13" t="s">
        <v>215</v>
      </c>
      <c r="D1183" s="14" t="s">
        <v>303</v>
      </c>
      <c r="E1183" s="15">
        <v>6</v>
      </c>
      <c r="F1183" s="15">
        <v>51.73</v>
      </c>
      <c r="G1183" s="16">
        <f>ROUND(E1183*F1183,2)</f>
        <v>310.38</v>
      </c>
    </row>
    <row r="1184" spans="1:7" x14ac:dyDescent="0.3">
      <c r="A1184" s="13" t="s">
        <v>304</v>
      </c>
      <c r="B1184" s="13" t="s">
        <v>15</v>
      </c>
      <c r="C1184" s="13" t="s">
        <v>215</v>
      </c>
      <c r="D1184" s="14" t="s">
        <v>305</v>
      </c>
      <c r="E1184" s="15">
        <v>2</v>
      </c>
      <c r="F1184" s="15">
        <v>53.67</v>
      </c>
      <c r="G1184" s="16">
        <f>ROUND(E1184*F1184,2)</f>
        <v>107.34</v>
      </c>
    </row>
    <row r="1185" spans="1:7" ht="31.2" x14ac:dyDescent="0.3">
      <c r="A1185" s="13" t="s">
        <v>306</v>
      </c>
      <c r="B1185" s="13" t="s">
        <v>15</v>
      </c>
      <c r="C1185" s="13" t="s">
        <v>215</v>
      </c>
      <c r="D1185" s="14" t="s">
        <v>307</v>
      </c>
      <c r="E1185" s="15">
        <v>90</v>
      </c>
      <c r="F1185" s="15">
        <v>61.18</v>
      </c>
      <c r="G1185" s="16">
        <f>ROUND(E1185*F1185,2)</f>
        <v>5506.2</v>
      </c>
    </row>
    <row r="1186" spans="1:7" ht="31.2" x14ac:dyDescent="0.3">
      <c r="A1186" s="13" t="s">
        <v>308</v>
      </c>
      <c r="B1186" s="13" t="s">
        <v>15</v>
      </c>
      <c r="C1186" s="13" t="s">
        <v>215</v>
      </c>
      <c r="D1186" s="14" t="s">
        <v>309</v>
      </c>
      <c r="E1186" s="15">
        <v>14</v>
      </c>
      <c r="F1186" s="15">
        <v>84.28</v>
      </c>
      <c r="G1186" s="16">
        <f>ROUND(E1186*F1186,2)</f>
        <v>1179.92</v>
      </c>
    </row>
    <row r="1187" spans="1:7" x14ac:dyDescent="0.3">
      <c r="A1187" s="13" t="s">
        <v>314</v>
      </c>
      <c r="B1187" s="13" t="s">
        <v>15</v>
      </c>
      <c r="C1187" s="13" t="s">
        <v>215</v>
      </c>
      <c r="D1187" s="14" t="s">
        <v>315</v>
      </c>
      <c r="E1187" s="15">
        <v>0</v>
      </c>
      <c r="F1187" s="15">
        <v>55.56</v>
      </c>
      <c r="G1187" s="16">
        <f>ROUND(E1187*F1187,2)</f>
        <v>0</v>
      </c>
    </row>
    <row r="1188" spans="1:7" x14ac:dyDescent="0.3">
      <c r="A1188" s="13" t="s">
        <v>415</v>
      </c>
      <c r="B1188" s="13" t="s">
        <v>15</v>
      </c>
      <c r="C1188" s="13" t="s">
        <v>215</v>
      </c>
      <c r="D1188" s="14" t="s">
        <v>416</v>
      </c>
      <c r="E1188" s="15">
        <v>5</v>
      </c>
      <c r="F1188" s="15">
        <v>438.83</v>
      </c>
      <c r="G1188" s="16">
        <f>ROUND(E1188*F1188,2)</f>
        <v>2194.15</v>
      </c>
    </row>
    <row r="1189" spans="1:7" x14ac:dyDescent="0.3">
      <c r="A1189" s="17"/>
      <c r="B1189" s="17"/>
      <c r="C1189" s="17"/>
      <c r="D1189" s="18" t="s">
        <v>646</v>
      </c>
      <c r="E1189" s="15">
        <v>1</v>
      </c>
      <c r="F1189" s="12">
        <f>SUM(G1176:G1188)</f>
        <v>14776.529999999999</v>
      </c>
      <c r="G1189" s="12">
        <f>ROUND(F1189*E1189,2)</f>
        <v>14776.53</v>
      </c>
    </row>
    <row r="1190" spans="1:7" ht="1.05" customHeight="1" x14ac:dyDescent="0.3">
      <c r="A1190" s="20"/>
      <c r="B1190" s="20"/>
      <c r="C1190" s="20"/>
      <c r="D1190" s="21"/>
      <c r="E1190" s="20"/>
      <c r="F1190" s="20"/>
      <c r="G1190" s="20"/>
    </row>
    <row r="1191" spans="1:7" x14ac:dyDescent="0.3">
      <c r="A1191" s="17"/>
      <c r="B1191" s="17"/>
      <c r="C1191" s="17"/>
      <c r="D1191" s="18" t="s">
        <v>653</v>
      </c>
      <c r="E1191" s="19">
        <v>1</v>
      </c>
      <c r="F1191" s="12">
        <f>G1057+G1062+G1073+G1078+G1082+G1087+G1095+G1099+G1106+G1112+G1121+G1173+G1189</f>
        <v>255369.78000000003</v>
      </c>
      <c r="G1191" s="12">
        <f>ROUND(F1191*E1191,2)</f>
        <v>255369.78</v>
      </c>
    </row>
    <row r="1192" spans="1:7" ht="1.05" customHeight="1" x14ac:dyDescent="0.3">
      <c r="A1192" s="20"/>
      <c r="B1192" s="20"/>
      <c r="C1192" s="20"/>
      <c r="D1192" s="21"/>
      <c r="E1192" s="20"/>
      <c r="F1192" s="20"/>
      <c r="G1192" s="20"/>
    </row>
    <row r="1193" spans="1:7" x14ac:dyDescent="0.3">
      <c r="A1193" s="9" t="s">
        <v>654</v>
      </c>
      <c r="B1193" s="9" t="s">
        <v>11</v>
      </c>
      <c r="C1193" s="9" t="s">
        <v>12</v>
      </c>
      <c r="D1193" s="10" t="s">
        <v>655</v>
      </c>
      <c r="E1193" s="11">
        <f>E1347</f>
        <v>1</v>
      </c>
      <c r="F1193" s="12">
        <f>F1347</f>
        <v>255369.78000000003</v>
      </c>
      <c r="G1193" s="12">
        <f>G1347</f>
        <v>255369.78</v>
      </c>
    </row>
    <row r="1194" spans="1:7" x14ac:dyDescent="0.3">
      <c r="A1194" s="22" t="s">
        <v>601</v>
      </c>
      <c r="B1194" s="22" t="s">
        <v>11</v>
      </c>
      <c r="C1194" s="22" t="s">
        <v>12</v>
      </c>
      <c r="D1194" s="23" t="s">
        <v>57</v>
      </c>
      <c r="E1194" s="12">
        <f>E1213</f>
        <v>1</v>
      </c>
      <c r="F1194" s="12">
        <f>F1213</f>
        <v>67661.09</v>
      </c>
      <c r="G1194" s="12">
        <f>G1213</f>
        <v>67661.09</v>
      </c>
    </row>
    <row r="1195" spans="1:7" x14ac:dyDescent="0.3">
      <c r="A1195" s="13" t="s">
        <v>81</v>
      </c>
      <c r="B1195" s="13" t="s">
        <v>15</v>
      </c>
      <c r="C1195" s="13" t="s">
        <v>60</v>
      </c>
      <c r="D1195" s="14" t="s">
        <v>82</v>
      </c>
      <c r="E1195" s="15">
        <v>8.18</v>
      </c>
      <c r="F1195" s="15">
        <v>572.66999999999996</v>
      </c>
      <c r="G1195" s="16">
        <f>ROUND(E1195*F1195,2)</f>
        <v>4684.4399999999996</v>
      </c>
    </row>
    <row r="1196" spans="1:7" x14ac:dyDescent="0.3">
      <c r="A1196" s="13" t="s">
        <v>83</v>
      </c>
      <c r="B1196" s="13" t="s">
        <v>15</v>
      </c>
      <c r="C1196" s="13" t="s">
        <v>60</v>
      </c>
      <c r="D1196" s="14" t="s">
        <v>84</v>
      </c>
      <c r="E1196" s="15">
        <v>4.0599999999999996</v>
      </c>
      <c r="F1196" s="15">
        <v>545.57000000000005</v>
      </c>
      <c r="G1196" s="16">
        <f>ROUND(E1196*F1196,2)</f>
        <v>2215.0100000000002</v>
      </c>
    </row>
    <row r="1197" spans="1:7" ht="31.2" x14ac:dyDescent="0.3">
      <c r="A1197" s="13" t="s">
        <v>97</v>
      </c>
      <c r="B1197" s="13" t="s">
        <v>15</v>
      </c>
      <c r="C1197" s="13" t="s">
        <v>60</v>
      </c>
      <c r="D1197" s="14" t="s">
        <v>98</v>
      </c>
      <c r="E1197" s="15">
        <v>0</v>
      </c>
      <c r="F1197" s="15">
        <v>1055.26</v>
      </c>
      <c r="G1197" s="16">
        <f>ROUND(E1197*F1197,2)</f>
        <v>0</v>
      </c>
    </row>
    <row r="1198" spans="1:7" ht="31.2" x14ac:dyDescent="0.3">
      <c r="A1198" s="13" t="s">
        <v>99</v>
      </c>
      <c r="B1198" s="13" t="s">
        <v>15</v>
      </c>
      <c r="C1198" s="13" t="s">
        <v>60</v>
      </c>
      <c r="D1198" s="14" t="s">
        <v>100</v>
      </c>
      <c r="E1198" s="15">
        <v>5.18</v>
      </c>
      <c r="F1198" s="15">
        <v>779.5</v>
      </c>
      <c r="G1198" s="16">
        <f>ROUND(E1198*F1198,2)</f>
        <v>4037.81</v>
      </c>
    </row>
    <row r="1199" spans="1:7" ht="31.2" x14ac:dyDescent="0.3">
      <c r="A1199" s="13" t="s">
        <v>101</v>
      </c>
      <c r="B1199" s="13" t="s">
        <v>15</v>
      </c>
      <c r="C1199" s="13" t="s">
        <v>60</v>
      </c>
      <c r="D1199" s="14" t="s">
        <v>102</v>
      </c>
      <c r="E1199" s="15">
        <v>6.48</v>
      </c>
      <c r="F1199" s="15">
        <v>1077.93</v>
      </c>
      <c r="G1199" s="16">
        <f>ROUND(E1199*F1199,2)</f>
        <v>6984.99</v>
      </c>
    </row>
    <row r="1200" spans="1:7" ht="31.2" x14ac:dyDescent="0.3">
      <c r="A1200" s="13" t="s">
        <v>602</v>
      </c>
      <c r="B1200" s="13" t="s">
        <v>15</v>
      </c>
      <c r="C1200" s="13" t="s">
        <v>60</v>
      </c>
      <c r="D1200" s="14" t="s">
        <v>603</v>
      </c>
      <c r="E1200" s="15">
        <v>4.8600000000000003</v>
      </c>
      <c r="F1200" s="15">
        <v>807.49</v>
      </c>
      <c r="G1200" s="16">
        <f>ROUND(E1200*F1200,2)</f>
        <v>3924.4</v>
      </c>
    </row>
    <row r="1201" spans="1:7" x14ac:dyDescent="0.3">
      <c r="A1201" s="13" t="s">
        <v>105</v>
      </c>
      <c r="B1201" s="13" t="s">
        <v>15</v>
      </c>
      <c r="C1201" s="13" t="s">
        <v>60</v>
      </c>
      <c r="D1201" s="14" t="s">
        <v>106</v>
      </c>
      <c r="E1201" s="15">
        <v>5.26</v>
      </c>
      <c r="F1201" s="15">
        <v>476.95</v>
      </c>
      <c r="G1201" s="16">
        <f>ROUND(E1201*F1201,2)</f>
        <v>2508.7600000000002</v>
      </c>
    </row>
    <row r="1202" spans="1:7" x14ac:dyDescent="0.3">
      <c r="A1202" s="13" t="s">
        <v>321</v>
      </c>
      <c r="B1202" s="13" t="s">
        <v>15</v>
      </c>
      <c r="C1202" s="13" t="s">
        <v>60</v>
      </c>
      <c r="D1202" s="14" t="s">
        <v>322</v>
      </c>
      <c r="E1202" s="15">
        <v>3.43</v>
      </c>
      <c r="F1202" s="15">
        <v>713.28</v>
      </c>
      <c r="G1202" s="16">
        <f>ROUND(E1202*F1202,2)</f>
        <v>2446.5500000000002</v>
      </c>
    </row>
    <row r="1203" spans="1:7" x14ac:dyDescent="0.3">
      <c r="A1203" s="13" t="s">
        <v>323</v>
      </c>
      <c r="B1203" s="13" t="s">
        <v>15</v>
      </c>
      <c r="C1203" s="13" t="s">
        <v>60</v>
      </c>
      <c r="D1203" s="14" t="s">
        <v>324</v>
      </c>
      <c r="E1203" s="15">
        <v>3.02</v>
      </c>
      <c r="F1203" s="15">
        <v>702.51</v>
      </c>
      <c r="G1203" s="16">
        <f>ROUND(E1203*F1203,2)</f>
        <v>2121.58</v>
      </c>
    </row>
    <row r="1204" spans="1:7" x14ac:dyDescent="0.3">
      <c r="A1204" s="13" t="s">
        <v>325</v>
      </c>
      <c r="B1204" s="13" t="s">
        <v>15</v>
      </c>
      <c r="C1204" s="13" t="s">
        <v>60</v>
      </c>
      <c r="D1204" s="14" t="s">
        <v>326</v>
      </c>
      <c r="E1204" s="15">
        <v>3.02</v>
      </c>
      <c r="F1204" s="15">
        <v>680.27</v>
      </c>
      <c r="G1204" s="16">
        <f>ROUND(E1204*F1204,2)</f>
        <v>2054.42</v>
      </c>
    </row>
    <row r="1205" spans="1:7" x14ac:dyDescent="0.3">
      <c r="A1205" s="13" t="s">
        <v>327</v>
      </c>
      <c r="B1205" s="13" t="s">
        <v>15</v>
      </c>
      <c r="C1205" s="13" t="s">
        <v>60</v>
      </c>
      <c r="D1205" s="14" t="s">
        <v>328</v>
      </c>
      <c r="E1205" s="15">
        <v>3.53</v>
      </c>
      <c r="F1205" s="15">
        <v>693.2</v>
      </c>
      <c r="G1205" s="16">
        <f>ROUND(E1205*F1205,2)</f>
        <v>2447</v>
      </c>
    </row>
    <row r="1206" spans="1:7" x14ac:dyDescent="0.3">
      <c r="A1206" s="13" t="s">
        <v>329</v>
      </c>
      <c r="B1206" s="13" t="s">
        <v>15</v>
      </c>
      <c r="C1206" s="13" t="s">
        <v>60</v>
      </c>
      <c r="D1206" s="14" t="s">
        <v>330</v>
      </c>
      <c r="E1206" s="15">
        <v>3.59</v>
      </c>
      <c r="F1206" s="15">
        <v>693.4</v>
      </c>
      <c r="G1206" s="16">
        <f>ROUND(E1206*F1206,2)</f>
        <v>2489.31</v>
      </c>
    </row>
    <row r="1207" spans="1:7" x14ac:dyDescent="0.3">
      <c r="A1207" s="13" t="s">
        <v>331</v>
      </c>
      <c r="B1207" s="13" t="s">
        <v>15</v>
      </c>
      <c r="C1207" s="13" t="s">
        <v>60</v>
      </c>
      <c r="D1207" s="14" t="s">
        <v>332</v>
      </c>
      <c r="E1207" s="15">
        <v>3.39</v>
      </c>
      <c r="F1207" s="15">
        <v>700.15</v>
      </c>
      <c r="G1207" s="16">
        <f>ROUND(E1207*F1207,2)</f>
        <v>2373.5100000000002</v>
      </c>
    </row>
    <row r="1208" spans="1:7" x14ac:dyDescent="0.3">
      <c r="A1208" s="13" t="s">
        <v>604</v>
      </c>
      <c r="B1208" s="13" t="s">
        <v>15</v>
      </c>
      <c r="C1208" s="13" t="s">
        <v>60</v>
      </c>
      <c r="D1208" s="14" t="s">
        <v>605</v>
      </c>
      <c r="E1208" s="15">
        <v>1.81</v>
      </c>
      <c r="F1208" s="15">
        <v>646.07000000000005</v>
      </c>
      <c r="G1208" s="16">
        <f>ROUND(E1208*F1208,2)</f>
        <v>1169.3900000000001</v>
      </c>
    </row>
    <row r="1209" spans="1:7" x14ac:dyDescent="0.3">
      <c r="A1209" s="13" t="s">
        <v>333</v>
      </c>
      <c r="B1209" s="13" t="s">
        <v>15</v>
      </c>
      <c r="C1209" s="13" t="s">
        <v>60</v>
      </c>
      <c r="D1209" s="14" t="s">
        <v>334</v>
      </c>
      <c r="E1209" s="15">
        <v>3.43</v>
      </c>
      <c r="F1209" s="15">
        <v>693.4</v>
      </c>
      <c r="G1209" s="16">
        <f>ROUND(E1209*F1209,2)</f>
        <v>2378.36</v>
      </c>
    </row>
    <row r="1210" spans="1:7" ht="31.2" x14ac:dyDescent="0.3">
      <c r="A1210" s="13" t="s">
        <v>432</v>
      </c>
      <c r="B1210" s="13" t="s">
        <v>15</v>
      </c>
      <c r="C1210" s="13" t="s">
        <v>60</v>
      </c>
      <c r="D1210" s="14" t="s">
        <v>433</v>
      </c>
      <c r="E1210" s="15">
        <v>0.47</v>
      </c>
      <c r="F1210" s="15">
        <v>700.07</v>
      </c>
      <c r="G1210" s="16">
        <f>ROUND(E1210*F1210,2)</f>
        <v>329.03</v>
      </c>
    </row>
    <row r="1211" spans="1:7" x14ac:dyDescent="0.3">
      <c r="A1211" s="13" t="s">
        <v>335</v>
      </c>
      <c r="B1211" s="13" t="s">
        <v>15</v>
      </c>
      <c r="C1211" s="13" t="s">
        <v>91</v>
      </c>
      <c r="D1211" s="14" t="s">
        <v>336</v>
      </c>
      <c r="E1211" s="15">
        <v>10</v>
      </c>
      <c r="F1211" s="15">
        <v>367.46</v>
      </c>
      <c r="G1211" s="16">
        <f>ROUND(E1211*F1211,2)</f>
        <v>3674.6</v>
      </c>
    </row>
    <row r="1212" spans="1:7" x14ac:dyDescent="0.3">
      <c r="A1212" s="13" t="s">
        <v>606</v>
      </c>
      <c r="B1212" s="13" t="s">
        <v>15</v>
      </c>
      <c r="C1212" s="13" t="s">
        <v>60</v>
      </c>
      <c r="D1212" s="14" t="s">
        <v>607</v>
      </c>
      <c r="E1212" s="15">
        <v>44.34</v>
      </c>
      <c r="F1212" s="15">
        <v>492.15</v>
      </c>
      <c r="G1212" s="16">
        <f>ROUND(E1212*F1212,2)</f>
        <v>21821.93</v>
      </c>
    </row>
    <row r="1213" spans="1:7" x14ac:dyDescent="0.3">
      <c r="A1213" s="17"/>
      <c r="B1213" s="17"/>
      <c r="C1213" s="17"/>
      <c r="D1213" s="18" t="s">
        <v>608</v>
      </c>
      <c r="E1213" s="15">
        <v>1</v>
      </c>
      <c r="F1213" s="12">
        <f>SUM(G1195:G1212)</f>
        <v>67661.09</v>
      </c>
      <c r="G1213" s="12">
        <f>ROUND(F1213*E1213,2)</f>
        <v>67661.09</v>
      </c>
    </row>
    <row r="1214" spans="1:7" ht="1.05" customHeight="1" x14ac:dyDescent="0.3">
      <c r="A1214" s="20"/>
      <c r="B1214" s="20"/>
      <c r="C1214" s="20"/>
      <c r="D1214" s="21"/>
      <c r="E1214" s="20"/>
      <c r="F1214" s="20"/>
      <c r="G1214" s="20"/>
    </row>
    <row r="1215" spans="1:7" x14ac:dyDescent="0.3">
      <c r="A1215" s="22" t="s">
        <v>609</v>
      </c>
      <c r="B1215" s="22" t="s">
        <v>11</v>
      </c>
      <c r="C1215" s="22" t="s">
        <v>12</v>
      </c>
      <c r="D1215" s="23" t="s">
        <v>109</v>
      </c>
      <c r="E1215" s="12">
        <f>E1218</f>
        <v>1</v>
      </c>
      <c r="F1215" s="12">
        <f>F1218</f>
        <v>19007.89</v>
      </c>
      <c r="G1215" s="12">
        <f>G1218</f>
        <v>19007.89</v>
      </c>
    </row>
    <row r="1216" spans="1:7" ht="31.2" x14ac:dyDescent="0.3">
      <c r="A1216" s="13" t="s">
        <v>110</v>
      </c>
      <c r="B1216" s="13" t="s">
        <v>15</v>
      </c>
      <c r="C1216" s="13" t="s">
        <v>112</v>
      </c>
      <c r="D1216" s="14" t="s">
        <v>111</v>
      </c>
      <c r="E1216" s="15">
        <v>669.05</v>
      </c>
      <c r="F1216" s="15">
        <v>27.41</v>
      </c>
      <c r="G1216" s="16">
        <f>ROUND(E1216*F1216,2)</f>
        <v>18338.66</v>
      </c>
    </row>
    <row r="1217" spans="1:7" ht="31.2" x14ac:dyDescent="0.3">
      <c r="A1217" s="13" t="s">
        <v>499</v>
      </c>
      <c r="B1217" s="13" t="s">
        <v>15</v>
      </c>
      <c r="C1217" s="13" t="s">
        <v>112</v>
      </c>
      <c r="D1217" s="14" t="s">
        <v>500</v>
      </c>
      <c r="E1217" s="15">
        <v>32.19</v>
      </c>
      <c r="F1217" s="15">
        <v>20.79</v>
      </c>
      <c r="G1217" s="16">
        <f>ROUND(E1217*F1217,2)</f>
        <v>669.23</v>
      </c>
    </row>
    <row r="1218" spans="1:7" x14ac:dyDescent="0.3">
      <c r="A1218" s="17"/>
      <c r="B1218" s="17"/>
      <c r="C1218" s="17"/>
      <c r="D1218" s="18" t="s">
        <v>610</v>
      </c>
      <c r="E1218" s="15">
        <v>1</v>
      </c>
      <c r="F1218" s="12">
        <f>SUM(G1216:G1217)</f>
        <v>19007.89</v>
      </c>
      <c r="G1218" s="12">
        <f>ROUND(F1218*E1218,2)</f>
        <v>19007.89</v>
      </c>
    </row>
    <row r="1219" spans="1:7" ht="1.05" customHeight="1" x14ac:dyDescent="0.3">
      <c r="A1219" s="20"/>
      <c r="B1219" s="20"/>
      <c r="C1219" s="20"/>
      <c r="D1219" s="21"/>
      <c r="E1219" s="20"/>
      <c r="F1219" s="20"/>
      <c r="G1219" s="20"/>
    </row>
    <row r="1220" spans="1:7" x14ac:dyDescent="0.3">
      <c r="A1220" s="22" t="s">
        <v>611</v>
      </c>
      <c r="B1220" s="22" t="s">
        <v>11</v>
      </c>
      <c r="C1220" s="22" t="s">
        <v>12</v>
      </c>
      <c r="D1220" s="23" t="s">
        <v>115</v>
      </c>
      <c r="E1220" s="12">
        <f>E1229</f>
        <v>1</v>
      </c>
      <c r="F1220" s="12">
        <f>F1229</f>
        <v>30062.339999999997</v>
      </c>
      <c r="G1220" s="12">
        <f>G1229</f>
        <v>30062.34</v>
      </c>
    </row>
    <row r="1221" spans="1:7" x14ac:dyDescent="0.3">
      <c r="A1221" s="13" t="s">
        <v>116</v>
      </c>
      <c r="B1221" s="13" t="s">
        <v>15</v>
      </c>
      <c r="C1221" s="13" t="s">
        <v>112</v>
      </c>
      <c r="D1221" s="14" t="s">
        <v>117</v>
      </c>
      <c r="E1221" s="15">
        <v>319.33999999999997</v>
      </c>
      <c r="F1221" s="15">
        <v>1.96</v>
      </c>
      <c r="G1221" s="16">
        <f>ROUND(E1221*F1221,2)</f>
        <v>625.91</v>
      </c>
    </row>
    <row r="1222" spans="1:7" ht="31.2" x14ac:dyDescent="0.3">
      <c r="A1222" s="13" t="s">
        <v>118</v>
      </c>
      <c r="B1222" s="13" t="s">
        <v>15</v>
      </c>
      <c r="C1222" s="13" t="s">
        <v>112</v>
      </c>
      <c r="D1222" s="14" t="s">
        <v>119</v>
      </c>
      <c r="E1222" s="15">
        <v>1274.56</v>
      </c>
      <c r="F1222" s="15">
        <v>8.4</v>
      </c>
      <c r="G1222" s="16">
        <f>ROUND(E1222*F1222,2)</f>
        <v>10706.3</v>
      </c>
    </row>
    <row r="1223" spans="1:7" x14ac:dyDescent="0.3">
      <c r="A1223" s="13" t="s">
        <v>503</v>
      </c>
      <c r="B1223" s="13" t="s">
        <v>15</v>
      </c>
      <c r="C1223" s="13" t="s">
        <v>112</v>
      </c>
      <c r="D1223" s="14" t="s">
        <v>504</v>
      </c>
      <c r="E1223" s="15">
        <v>1720.08</v>
      </c>
      <c r="F1223" s="15">
        <v>3.02</v>
      </c>
      <c r="G1223" s="16">
        <f>ROUND(E1223*F1223,2)</f>
        <v>5194.6400000000003</v>
      </c>
    </row>
    <row r="1224" spans="1:7" ht="31.2" x14ac:dyDescent="0.3">
      <c r="A1224" s="13" t="s">
        <v>120</v>
      </c>
      <c r="B1224" s="13" t="s">
        <v>15</v>
      </c>
      <c r="C1224" s="13" t="s">
        <v>112</v>
      </c>
      <c r="D1224" s="14" t="s">
        <v>121</v>
      </c>
      <c r="E1224" s="15">
        <v>206.66</v>
      </c>
      <c r="F1224" s="15">
        <v>8.4700000000000006</v>
      </c>
      <c r="G1224" s="16">
        <f>ROUND(E1224*F1224,2)</f>
        <v>1750.41</v>
      </c>
    </row>
    <row r="1225" spans="1:7" ht="31.2" x14ac:dyDescent="0.3">
      <c r="A1225" s="13" t="s">
        <v>122</v>
      </c>
      <c r="B1225" s="13" t="s">
        <v>15</v>
      </c>
      <c r="C1225" s="13" t="s">
        <v>112</v>
      </c>
      <c r="D1225" s="14" t="s">
        <v>123</v>
      </c>
      <c r="E1225" s="15">
        <v>445.52</v>
      </c>
      <c r="F1225" s="15">
        <v>11.87</v>
      </c>
      <c r="G1225" s="16">
        <f>ROUND(E1225*F1225,2)</f>
        <v>5288.32</v>
      </c>
    </row>
    <row r="1226" spans="1:7" ht="31.2" x14ac:dyDescent="0.3">
      <c r="A1226" s="13" t="s">
        <v>124</v>
      </c>
      <c r="B1226" s="13" t="s">
        <v>15</v>
      </c>
      <c r="C1226" s="13" t="s">
        <v>112</v>
      </c>
      <c r="D1226" s="14" t="s">
        <v>125</v>
      </c>
      <c r="E1226" s="15">
        <v>97.2</v>
      </c>
      <c r="F1226" s="15">
        <v>9.4600000000000009</v>
      </c>
      <c r="G1226" s="16">
        <f>ROUND(E1226*F1226,2)</f>
        <v>919.51</v>
      </c>
    </row>
    <row r="1227" spans="1:7" x14ac:dyDescent="0.3">
      <c r="A1227" s="13" t="s">
        <v>126</v>
      </c>
      <c r="B1227" s="13" t="s">
        <v>15</v>
      </c>
      <c r="C1227" s="13" t="s">
        <v>28</v>
      </c>
      <c r="D1227" s="14" t="s">
        <v>127</v>
      </c>
      <c r="E1227" s="15">
        <v>902.38</v>
      </c>
      <c r="F1227" s="15">
        <v>4.16</v>
      </c>
      <c r="G1227" s="16">
        <f>ROUND(E1227*F1227,2)</f>
        <v>3753.9</v>
      </c>
    </row>
    <row r="1228" spans="1:7" x14ac:dyDescent="0.3">
      <c r="A1228" s="13" t="s">
        <v>128</v>
      </c>
      <c r="B1228" s="13" t="s">
        <v>15</v>
      </c>
      <c r="C1228" s="13" t="s">
        <v>28</v>
      </c>
      <c r="D1228" s="14" t="s">
        <v>129</v>
      </c>
      <c r="E1228" s="15">
        <v>404.29</v>
      </c>
      <c r="F1228" s="15">
        <v>4.51</v>
      </c>
      <c r="G1228" s="16">
        <f>ROUND(E1228*F1228,2)</f>
        <v>1823.35</v>
      </c>
    </row>
    <row r="1229" spans="1:7" x14ac:dyDescent="0.3">
      <c r="A1229" s="17"/>
      <c r="B1229" s="17"/>
      <c r="C1229" s="17"/>
      <c r="D1229" s="18" t="s">
        <v>612</v>
      </c>
      <c r="E1229" s="15">
        <v>1</v>
      </c>
      <c r="F1229" s="12">
        <f>SUM(G1221:G1228)</f>
        <v>30062.339999999997</v>
      </c>
      <c r="G1229" s="12">
        <f>ROUND(F1229*E1229,2)</f>
        <v>30062.34</v>
      </c>
    </row>
    <row r="1230" spans="1:7" ht="1.05" customHeight="1" x14ac:dyDescent="0.3">
      <c r="A1230" s="20"/>
      <c r="B1230" s="20"/>
      <c r="C1230" s="20"/>
      <c r="D1230" s="21"/>
      <c r="E1230" s="20"/>
      <c r="F1230" s="20"/>
      <c r="G1230" s="20"/>
    </row>
    <row r="1231" spans="1:7" x14ac:dyDescent="0.3">
      <c r="A1231" s="22" t="s">
        <v>613</v>
      </c>
      <c r="B1231" s="22" t="s">
        <v>11</v>
      </c>
      <c r="C1231" s="22" t="s">
        <v>12</v>
      </c>
      <c r="D1231" s="23" t="s">
        <v>132</v>
      </c>
      <c r="E1231" s="12">
        <f>E1234</f>
        <v>1</v>
      </c>
      <c r="F1231" s="12">
        <f>F1234</f>
        <v>17162.07</v>
      </c>
      <c r="G1231" s="12">
        <f>G1234</f>
        <v>17162.07</v>
      </c>
    </row>
    <row r="1232" spans="1:7" ht="31.2" x14ac:dyDescent="0.3">
      <c r="A1232" s="13" t="s">
        <v>133</v>
      </c>
      <c r="B1232" s="13" t="s">
        <v>15</v>
      </c>
      <c r="C1232" s="13" t="s">
        <v>112</v>
      </c>
      <c r="D1232" s="14" t="s">
        <v>134</v>
      </c>
      <c r="E1232" s="15">
        <v>351.5</v>
      </c>
      <c r="F1232" s="15">
        <v>42.32</v>
      </c>
      <c r="G1232" s="16">
        <f>ROUND(E1232*F1232,2)</f>
        <v>14875.48</v>
      </c>
    </row>
    <row r="1233" spans="1:7" ht="31.2" x14ac:dyDescent="0.3">
      <c r="A1233" s="13" t="s">
        <v>135</v>
      </c>
      <c r="B1233" s="13" t="s">
        <v>15</v>
      </c>
      <c r="C1233" s="13" t="s">
        <v>28</v>
      </c>
      <c r="D1233" s="14" t="s">
        <v>136</v>
      </c>
      <c r="E1233" s="15">
        <v>394.92</v>
      </c>
      <c r="F1233" s="15">
        <v>5.79</v>
      </c>
      <c r="G1233" s="16">
        <f>ROUND(E1233*F1233,2)</f>
        <v>2286.59</v>
      </c>
    </row>
    <row r="1234" spans="1:7" x14ac:dyDescent="0.3">
      <c r="A1234" s="17"/>
      <c r="B1234" s="17"/>
      <c r="C1234" s="17"/>
      <c r="D1234" s="18" t="s">
        <v>614</v>
      </c>
      <c r="E1234" s="15">
        <v>1</v>
      </c>
      <c r="F1234" s="12">
        <f>SUM(G1232:G1233)</f>
        <v>17162.07</v>
      </c>
      <c r="G1234" s="12">
        <f>ROUND(F1234*E1234,2)</f>
        <v>17162.07</v>
      </c>
    </row>
    <row r="1235" spans="1:7" ht="1.05" customHeight="1" x14ac:dyDescent="0.3">
      <c r="A1235" s="20"/>
      <c r="B1235" s="20"/>
      <c r="C1235" s="20"/>
      <c r="D1235" s="21"/>
      <c r="E1235" s="20"/>
      <c r="F1235" s="20"/>
      <c r="G1235" s="20"/>
    </row>
    <row r="1236" spans="1:7" x14ac:dyDescent="0.3">
      <c r="A1236" s="22" t="s">
        <v>615</v>
      </c>
      <c r="B1236" s="22" t="s">
        <v>11</v>
      </c>
      <c r="C1236" s="22" t="s">
        <v>12</v>
      </c>
      <c r="D1236" s="23" t="s">
        <v>347</v>
      </c>
      <c r="E1236" s="12">
        <f>E1238</f>
        <v>1</v>
      </c>
      <c r="F1236" s="12">
        <f>F1238</f>
        <v>5980.03</v>
      </c>
      <c r="G1236" s="12">
        <f>G1238</f>
        <v>5980.03</v>
      </c>
    </row>
    <row r="1237" spans="1:7" ht="31.2" x14ac:dyDescent="0.3">
      <c r="A1237" s="13" t="s">
        <v>348</v>
      </c>
      <c r="B1237" s="13" t="s">
        <v>15</v>
      </c>
      <c r="C1237" s="13" t="s">
        <v>22</v>
      </c>
      <c r="D1237" s="14" t="s">
        <v>349</v>
      </c>
      <c r="E1237" s="15">
        <v>138.78</v>
      </c>
      <c r="F1237" s="15">
        <v>43.09</v>
      </c>
      <c r="G1237" s="16">
        <f>ROUND(E1237*F1237,2)</f>
        <v>5980.03</v>
      </c>
    </row>
    <row r="1238" spans="1:7" x14ac:dyDescent="0.3">
      <c r="A1238" s="17"/>
      <c r="B1238" s="17"/>
      <c r="C1238" s="17"/>
      <c r="D1238" s="18" t="s">
        <v>616</v>
      </c>
      <c r="E1238" s="15">
        <v>1</v>
      </c>
      <c r="F1238" s="12">
        <f>G1237</f>
        <v>5980.03</v>
      </c>
      <c r="G1238" s="12">
        <f>ROUND(F1238*E1238,2)</f>
        <v>5980.03</v>
      </c>
    </row>
    <row r="1239" spans="1:7" ht="1.05" customHeight="1" x14ac:dyDescent="0.3">
      <c r="A1239" s="20"/>
      <c r="B1239" s="20"/>
      <c r="C1239" s="20"/>
      <c r="D1239" s="21"/>
      <c r="E1239" s="20"/>
      <c r="F1239" s="20"/>
      <c r="G1239" s="20"/>
    </row>
    <row r="1240" spans="1:7" x14ac:dyDescent="0.3">
      <c r="A1240" s="22" t="s">
        <v>617</v>
      </c>
      <c r="B1240" s="22" t="s">
        <v>11</v>
      </c>
      <c r="C1240" s="22" t="s">
        <v>12</v>
      </c>
      <c r="D1240" s="23" t="s">
        <v>141</v>
      </c>
      <c r="E1240" s="12">
        <f>E1243</f>
        <v>1</v>
      </c>
      <c r="F1240" s="12">
        <f>F1243</f>
        <v>3149.3900000000003</v>
      </c>
      <c r="G1240" s="12">
        <f>G1243</f>
        <v>3149.39</v>
      </c>
    </row>
    <row r="1241" spans="1:7" ht="31.2" x14ac:dyDescent="0.3">
      <c r="A1241" s="13" t="s">
        <v>142</v>
      </c>
      <c r="B1241" s="13" t="s">
        <v>15</v>
      </c>
      <c r="C1241" s="13" t="s">
        <v>28</v>
      </c>
      <c r="D1241" s="14" t="s">
        <v>143</v>
      </c>
      <c r="E1241" s="15">
        <v>46.8</v>
      </c>
      <c r="F1241" s="15">
        <v>61.92</v>
      </c>
      <c r="G1241" s="16">
        <f>ROUND(E1241*F1241,2)</f>
        <v>2897.86</v>
      </c>
    </row>
    <row r="1242" spans="1:7" x14ac:dyDescent="0.3">
      <c r="A1242" s="13" t="s">
        <v>144</v>
      </c>
      <c r="B1242" s="13" t="s">
        <v>15</v>
      </c>
      <c r="C1242" s="13" t="s">
        <v>112</v>
      </c>
      <c r="D1242" s="14" t="s">
        <v>145</v>
      </c>
      <c r="E1242" s="15">
        <v>6.54</v>
      </c>
      <c r="F1242" s="15">
        <v>38.46</v>
      </c>
      <c r="G1242" s="16">
        <f>ROUND(E1242*F1242,2)</f>
        <v>251.53</v>
      </c>
    </row>
    <row r="1243" spans="1:7" x14ac:dyDescent="0.3">
      <c r="A1243" s="17"/>
      <c r="B1243" s="17"/>
      <c r="C1243" s="17"/>
      <c r="D1243" s="18" t="s">
        <v>618</v>
      </c>
      <c r="E1243" s="15">
        <v>1</v>
      </c>
      <c r="F1243" s="12">
        <f>SUM(G1241:G1242)</f>
        <v>3149.3900000000003</v>
      </c>
      <c r="G1243" s="12">
        <f>ROUND(F1243*E1243,2)</f>
        <v>3149.39</v>
      </c>
    </row>
    <row r="1244" spans="1:7" ht="1.05" customHeight="1" x14ac:dyDescent="0.3">
      <c r="A1244" s="20"/>
      <c r="B1244" s="20"/>
      <c r="C1244" s="20"/>
      <c r="D1244" s="21"/>
      <c r="E1244" s="20"/>
      <c r="F1244" s="20"/>
      <c r="G1244" s="20"/>
    </row>
    <row r="1245" spans="1:7" x14ac:dyDescent="0.3">
      <c r="A1245" s="22" t="s">
        <v>619</v>
      </c>
      <c r="B1245" s="22" t="s">
        <v>11</v>
      </c>
      <c r="C1245" s="22" t="s">
        <v>12</v>
      </c>
      <c r="D1245" s="23" t="s">
        <v>148</v>
      </c>
      <c r="E1245" s="12">
        <f>E1251</f>
        <v>1</v>
      </c>
      <c r="F1245" s="12">
        <f>F1251</f>
        <v>28504.5</v>
      </c>
      <c r="G1245" s="12">
        <f>G1251</f>
        <v>28504.5</v>
      </c>
    </row>
    <row r="1246" spans="1:7" ht="31.2" x14ac:dyDescent="0.3">
      <c r="A1246" s="13" t="s">
        <v>149</v>
      </c>
      <c r="B1246" s="13" t="s">
        <v>15</v>
      </c>
      <c r="C1246" s="13" t="s">
        <v>151</v>
      </c>
      <c r="D1246" s="14" t="s">
        <v>150</v>
      </c>
      <c r="E1246" s="15">
        <v>1</v>
      </c>
      <c r="F1246" s="15">
        <v>249.6</v>
      </c>
      <c r="G1246" s="16">
        <f>ROUND(E1246*F1246,2)</f>
        <v>249.6</v>
      </c>
    </row>
    <row r="1247" spans="1:7" ht="31.2" x14ac:dyDescent="0.3">
      <c r="A1247" s="13" t="s">
        <v>152</v>
      </c>
      <c r="B1247" s="13" t="s">
        <v>15</v>
      </c>
      <c r="C1247" s="13" t="s">
        <v>151</v>
      </c>
      <c r="D1247" s="14" t="s">
        <v>153</v>
      </c>
      <c r="E1247" s="15">
        <v>2</v>
      </c>
      <c r="F1247" s="15">
        <v>424.61</v>
      </c>
      <c r="G1247" s="16">
        <f>ROUND(E1247*F1247,2)</f>
        <v>849.22</v>
      </c>
    </row>
    <row r="1248" spans="1:7" ht="31.2" x14ac:dyDescent="0.3">
      <c r="A1248" s="13" t="s">
        <v>517</v>
      </c>
      <c r="B1248" s="13" t="s">
        <v>15</v>
      </c>
      <c r="C1248" s="13" t="s">
        <v>151</v>
      </c>
      <c r="D1248" s="14" t="s">
        <v>518</v>
      </c>
      <c r="E1248" s="15">
        <v>5</v>
      </c>
      <c r="F1248" s="15">
        <v>714</v>
      </c>
      <c r="G1248" s="16">
        <f>ROUND(E1248*F1248,2)</f>
        <v>3570</v>
      </c>
    </row>
    <row r="1249" spans="1:7" ht="31.2" x14ac:dyDescent="0.3">
      <c r="A1249" s="13" t="s">
        <v>519</v>
      </c>
      <c r="B1249" s="13" t="s">
        <v>15</v>
      </c>
      <c r="C1249" s="13" t="s">
        <v>151</v>
      </c>
      <c r="D1249" s="14" t="s">
        <v>520</v>
      </c>
      <c r="E1249" s="15">
        <v>21</v>
      </c>
      <c r="F1249" s="15">
        <v>538.34</v>
      </c>
      <c r="G1249" s="16">
        <f>ROUND(E1249*F1249,2)</f>
        <v>11305.14</v>
      </c>
    </row>
    <row r="1250" spans="1:7" ht="31.2" x14ac:dyDescent="0.3">
      <c r="A1250" s="13" t="s">
        <v>521</v>
      </c>
      <c r="B1250" s="13" t="s">
        <v>15</v>
      </c>
      <c r="C1250" s="13" t="s">
        <v>363</v>
      </c>
      <c r="D1250" s="14" t="s">
        <v>522</v>
      </c>
      <c r="E1250" s="15">
        <v>537.33000000000004</v>
      </c>
      <c r="F1250" s="15">
        <v>23.32</v>
      </c>
      <c r="G1250" s="16">
        <f>ROUND(E1250*F1250,2)</f>
        <v>12530.54</v>
      </c>
    </row>
    <row r="1251" spans="1:7" x14ac:dyDescent="0.3">
      <c r="A1251" s="17"/>
      <c r="B1251" s="17"/>
      <c r="C1251" s="17"/>
      <c r="D1251" s="18" t="s">
        <v>620</v>
      </c>
      <c r="E1251" s="15">
        <v>1</v>
      </c>
      <c r="F1251" s="12">
        <f>SUM(G1246:G1250)</f>
        <v>28504.5</v>
      </c>
      <c r="G1251" s="12">
        <f>ROUND(F1251*E1251,2)</f>
        <v>28504.5</v>
      </c>
    </row>
    <row r="1252" spans="1:7" ht="1.05" customHeight="1" x14ac:dyDescent="0.3">
      <c r="A1252" s="20"/>
      <c r="B1252" s="20"/>
      <c r="C1252" s="20"/>
      <c r="D1252" s="21"/>
      <c r="E1252" s="20"/>
      <c r="F1252" s="20"/>
      <c r="G1252" s="20"/>
    </row>
    <row r="1253" spans="1:7" x14ac:dyDescent="0.3">
      <c r="A1253" s="22" t="s">
        <v>621</v>
      </c>
      <c r="B1253" s="22" t="s">
        <v>11</v>
      </c>
      <c r="C1253" s="22" t="s">
        <v>12</v>
      </c>
      <c r="D1253" s="23" t="s">
        <v>360</v>
      </c>
      <c r="E1253" s="12">
        <f>E1255</f>
        <v>1</v>
      </c>
      <c r="F1253" s="12">
        <f>F1255</f>
        <v>5145.9799999999996</v>
      </c>
      <c r="G1253" s="12">
        <f>G1255</f>
        <v>5145.9799999999996</v>
      </c>
    </row>
    <row r="1254" spans="1:7" ht="31.2" x14ac:dyDescent="0.3">
      <c r="A1254" s="13" t="s">
        <v>361</v>
      </c>
      <c r="B1254" s="13" t="s">
        <v>15</v>
      </c>
      <c r="C1254" s="13" t="s">
        <v>363</v>
      </c>
      <c r="D1254" s="14" t="s">
        <v>362</v>
      </c>
      <c r="E1254" s="15">
        <v>578.85</v>
      </c>
      <c r="F1254" s="15">
        <v>8.89</v>
      </c>
      <c r="G1254" s="16">
        <f>ROUND(E1254*F1254,2)</f>
        <v>5145.9799999999996</v>
      </c>
    </row>
    <row r="1255" spans="1:7" x14ac:dyDescent="0.3">
      <c r="A1255" s="17"/>
      <c r="B1255" s="17"/>
      <c r="C1255" s="17"/>
      <c r="D1255" s="18" t="s">
        <v>622</v>
      </c>
      <c r="E1255" s="15">
        <v>1</v>
      </c>
      <c r="F1255" s="12">
        <f>G1254</f>
        <v>5145.9799999999996</v>
      </c>
      <c r="G1255" s="12">
        <f>ROUND(F1255*E1255,2)</f>
        <v>5145.9799999999996</v>
      </c>
    </row>
    <row r="1256" spans="1:7" ht="1.05" customHeight="1" x14ac:dyDescent="0.3">
      <c r="A1256" s="20"/>
      <c r="B1256" s="20"/>
      <c r="C1256" s="20"/>
      <c r="D1256" s="21"/>
      <c r="E1256" s="20"/>
      <c r="F1256" s="20"/>
      <c r="G1256" s="20"/>
    </row>
    <row r="1257" spans="1:7" x14ac:dyDescent="0.3">
      <c r="A1257" s="22" t="s">
        <v>623</v>
      </c>
      <c r="B1257" s="22" t="s">
        <v>11</v>
      </c>
      <c r="C1257" s="22" t="s">
        <v>12</v>
      </c>
      <c r="D1257" s="23" t="s">
        <v>156</v>
      </c>
      <c r="E1257" s="12">
        <f>E1262</f>
        <v>1</v>
      </c>
      <c r="F1257" s="12">
        <f>F1262</f>
        <v>19648.690000000002</v>
      </c>
      <c r="G1257" s="12">
        <f>G1262</f>
        <v>19648.689999999999</v>
      </c>
    </row>
    <row r="1258" spans="1:7" x14ac:dyDescent="0.3">
      <c r="A1258" s="13" t="s">
        <v>157</v>
      </c>
      <c r="B1258" s="13" t="s">
        <v>15</v>
      </c>
      <c r="C1258" s="13" t="s">
        <v>112</v>
      </c>
      <c r="D1258" s="14" t="s">
        <v>158</v>
      </c>
      <c r="E1258" s="15">
        <v>2084.58</v>
      </c>
      <c r="F1258" s="15">
        <v>4.0199999999999996</v>
      </c>
      <c r="G1258" s="16">
        <f>ROUND(E1258*F1258,2)</f>
        <v>8380.01</v>
      </c>
    </row>
    <row r="1259" spans="1:7" x14ac:dyDescent="0.3">
      <c r="A1259" s="13" t="s">
        <v>159</v>
      </c>
      <c r="B1259" s="13" t="s">
        <v>15</v>
      </c>
      <c r="C1259" s="13" t="s">
        <v>112</v>
      </c>
      <c r="D1259" s="14" t="s">
        <v>160</v>
      </c>
      <c r="E1259" s="15">
        <v>1432.4</v>
      </c>
      <c r="F1259" s="15">
        <v>4.37</v>
      </c>
      <c r="G1259" s="16">
        <f>ROUND(E1259*F1259,2)</f>
        <v>6259.59</v>
      </c>
    </row>
    <row r="1260" spans="1:7" x14ac:dyDescent="0.3">
      <c r="A1260" s="13" t="s">
        <v>527</v>
      </c>
      <c r="B1260" s="13" t="s">
        <v>15</v>
      </c>
      <c r="C1260" s="13" t="s">
        <v>112</v>
      </c>
      <c r="D1260" s="14" t="s">
        <v>528</v>
      </c>
      <c r="E1260" s="15">
        <v>206.66</v>
      </c>
      <c r="F1260" s="15">
        <v>8.35</v>
      </c>
      <c r="G1260" s="16">
        <f>ROUND(E1260*F1260,2)</f>
        <v>1725.61</v>
      </c>
    </row>
    <row r="1261" spans="1:7" x14ac:dyDescent="0.3">
      <c r="A1261" s="13" t="s">
        <v>161</v>
      </c>
      <c r="B1261" s="13" t="s">
        <v>15</v>
      </c>
      <c r="C1261" s="13" t="s">
        <v>112</v>
      </c>
      <c r="D1261" s="14" t="s">
        <v>162</v>
      </c>
      <c r="E1261" s="15">
        <v>445.52</v>
      </c>
      <c r="F1261" s="15">
        <v>7.37</v>
      </c>
      <c r="G1261" s="16">
        <f>ROUND(E1261*F1261,2)</f>
        <v>3283.48</v>
      </c>
    </row>
    <row r="1262" spans="1:7" x14ac:dyDescent="0.3">
      <c r="A1262" s="17"/>
      <c r="B1262" s="17"/>
      <c r="C1262" s="17"/>
      <c r="D1262" s="18" t="s">
        <v>624</v>
      </c>
      <c r="E1262" s="15">
        <v>1</v>
      </c>
      <c r="F1262" s="12">
        <f>SUM(G1258:G1261)</f>
        <v>19648.690000000002</v>
      </c>
      <c r="G1262" s="12">
        <f>ROUND(F1262*E1262,2)</f>
        <v>19648.689999999999</v>
      </c>
    </row>
    <row r="1263" spans="1:7" ht="1.05" customHeight="1" x14ac:dyDescent="0.3">
      <c r="A1263" s="20"/>
      <c r="B1263" s="20"/>
      <c r="C1263" s="20"/>
      <c r="D1263" s="21"/>
      <c r="E1263" s="20"/>
      <c r="F1263" s="20"/>
      <c r="G1263" s="20"/>
    </row>
    <row r="1264" spans="1:7" x14ac:dyDescent="0.3">
      <c r="A1264" s="22" t="s">
        <v>625</v>
      </c>
      <c r="B1264" s="22" t="s">
        <v>11</v>
      </c>
      <c r="C1264" s="22" t="s">
        <v>12</v>
      </c>
      <c r="D1264" s="23" t="s">
        <v>531</v>
      </c>
      <c r="E1264" s="12">
        <f>E1268</f>
        <v>1</v>
      </c>
      <c r="F1264" s="12">
        <f>F1268</f>
        <v>9989.7900000000009</v>
      </c>
      <c r="G1264" s="12">
        <f>G1268</f>
        <v>9989.7900000000009</v>
      </c>
    </row>
    <row r="1265" spans="1:7" ht="31.2" x14ac:dyDescent="0.3">
      <c r="A1265" s="13" t="s">
        <v>532</v>
      </c>
      <c r="B1265" s="13" t="s">
        <v>15</v>
      </c>
      <c r="C1265" s="13" t="s">
        <v>534</v>
      </c>
      <c r="D1265" s="14" t="s">
        <v>533</v>
      </c>
      <c r="E1265" s="15">
        <v>40.51</v>
      </c>
      <c r="F1265" s="15">
        <v>53.17</v>
      </c>
      <c r="G1265" s="16">
        <f>ROUND(E1265*F1265,2)</f>
        <v>2153.92</v>
      </c>
    </row>
    <row r="1266" spans="1:7" x14ac:dyDescent="0.3">
      <c r="A1266" s="13" t="s">
        <v>535</v>
      </c>
      <c r="B1266" s="13" t="s">
        <v>15</v>
      </c>
      <c r="C1266" s="13" t="s">
        <v>534</v>
      </c>
      <c r="D1266" s="14" t="s">
        <v>536</v>
      </c>
      <c r="E1266" s="15">
        <v>48.38</v>
      </c>
      <c r="F1266" s="15">
        <v>71.430000000000007</v>
      </c>
      <c r="G1266" s="16">
        <f>ROUND(E1266*F1266,2)</f>
        <v>3455.78</v>
      </c>
    </row>
    <row r="1267" spans="1:7" x14ac:dyDescent="0.3">
      <c r="A1267" s="13" t="s">
        <v>537</v>
      </c>
      <c r="B1267" s="13" t="s">
        <v>15</v>
      </c>
      <c r="C1267" s="13" t="s">
        <v>534</v>
      </c>
      <c r="D1267" s="14" t="s">
        <v>538</v>
      </c>
      <c r="E1267" s="15">
        <v>61.32</v>
      </c>
      <c r="F1267" s="15">
        <v>71.430000000000007</v>
      </c>
      <c r="G1267" s="16">
        <f>ROUND(E1267*F1267,2)</f>
        <v>4380.09</v>
      </c>
    </row>
    <row r="1268" spans="1:7" x14ac:dyDescent="0.3">
      <c r="A1268" s="17"/>
      <c r="B1268" s="17"/>
      <c r="C1268" s="17"/>
      <c r="D1268" s="18" t="s">
        <v>626</v>
      </c>
      <c r="E1268" s="15">
        <v>1</v>
      </c>
      <c r="F1268" s="12">
        <f>SUM(G1265:G1267)</f>
        <v>9989.7900000000009</v>
      </c>
      <c r="G1268" s="12">
        <f>ROUND(F1268*E1268,2)</f>
        <v>9989.7900000000009</v>
      </c>
    </row>
    <row r="1269" spans="1:7" ht="1.05" customHeight="1" x14ac:dyDescent="0.3">
      <c r="A1269" s="20"/>
      <c r="B1269" s="20"/>
      <c r="C1269" s="20"/>
      <c r="D1269" s="21"/>
      <c r="E1269" s="20"/>
      <c r="F1269" s="20"/>
      <c r="G1269" s="20"/>
    </row>
    <row r="1270" spans="1:7" x14ac:dyDescent="0.3">
      <c r="A1270" s="22" t="s">
        <v>627</v>
      </c>
      <c r="B1270" s="22" t="s">
        <v>11</v>
      </c>
      <c r="C1270" s="22" t="s">
        <v>12</v>
      </c>
      <c r="D1270" s="23" t="s">
        <v>165</v>
      </c>
      <c r="E1270" s="12">
        <f>E1277</f>
        <v>1</v>
      </c>
      <c r="F1270" s="12">
        <f>F1277</f>
        <v>10027.540000000001</v>
      </c>
      <c r="G1270" s="12">
        <f>G1277</f>
        <v>10027.540000000001</v>
      </c>
    </row>
    <row r="1271" spans="1:7" x14ac:dyDescent="0.3">
      <c r="A1271" s="13" t="s">
        <v>172</v>
      </c>
      <c r="B1271" s="13" t="s">
        <v>15</v>
      </c>
      <c r="C1271" s="13" t="s">
        <v>28</v>
      </c>
      <c r="D1271" s="14" t="s">
        <v>173</v>
      </c>
      <c r="E1271" s="15">
        <v>10</v>
      </c>
      <c r="F1271" s="15">
        <v>122.02</v>
      </c>
      <c r="G1271" s="16">
        <f>ROUND(E1271*F1271,2)</f>
        <v>1220.2</v>
      </c>
    </row>
    <row r="1272" spans="1:7" x14ac:dyDescent="0.3">
      <c r="A1272" s="13" t="s">
        <v>541</v>
      </c>
      <c r="B1272" s="13" t="s">
        <v>15</v>
      </c>
      <c r="C1272" s="13" t="s">
        <v>22</v>
      </c>
      <c r="D1272" s="14" t="s">
        <v>542</v>
      </c>
      <c r="E1272" s="15">
        <v>24.88</v>
      </c>
      <c r="F1272" s="15">
        <v>212.06</v>
      </c>
      <c r="G1272" s="16">
        <f>ROUND(E1272*F1272,2)</f>
        <v>5276.05</v>
      </c>
    </row>
    <row r="1273" spans="1:7" x14ac:dyDescent="0.3">
      <c r="A1273" s="13" t="s">
        <v>543</v>
      </c>
      <c r="B1273" s="13" t="s">
        <v>15</v>
      </c>
      <c r="C1273" s="13" t="s">
        <v>91</v>
      </c>
      <c r="D1273" s="14" t="s">
        <v>544</v>
      </c>
      <c r="E1273" s="15">
        <v>2.46</v>
      </c>
      <c r="F1273" s="15">
        <v>113.44</v>
      </c>
      <c r="G1273" s="16">
        <f>ROUND(E1273*F1273,2)</f>
        <v>279.06</v>
      </c>
    </row>
    <row r="1274" spans="1:7" ht="31.2" x14ac:dyDescent="0.3">
      <c r="A1274" s="13" t="s">
        <v>545</v>
      </c>
      <c r="B1274" s="13" t="s">
        <v>15</v>
      </c>
      <c r="C1274" s="13" t="s">
        <v>22</v>
      </c>
      <c r="D1274" s="14" t="s">
        <v>546</v>
      </c>
      <c r="E1274" s="15">
        <v>23.85</v>
      </c>
      <c r="F1274" s="15">
        <v>44.13</v>
      </c>
      <c r="G1274" s="16">
        <f>ROUND(E1274*F1274,2)</f>
        <v>1052.5</v>
      </c>
    </row>
    <row r="1275" spans="1:7" x14ac:dyDescent="0.3">
      <c r="A1275" s="13" t="s">
        <v>628</v>
      </c>
      <c r="B1275" s="13" t="s">
        <v>15</v>
      </c>
      <c r="C1275" s="13" t="s">
        <v>22</v>
      </c>
      <c r="D1275" s="14" t="s">
        <v>629</v>
      </c>
      <c r="E1275" s="15">
        <v>22.75</v>
      </c>
      <c r="F1275" s="15">
        <v>49.72</v>
      </c>
      <c r="G1275" s="16">
        <f>ROUND(E1275*F1275,2)</f>
        <v>1131.1300000000001</v>
      </c>
    </row>
    <row r="1276" spans="1:7" x14ac:dyDescent="0.3">
      <c r="A1276" s="13" t="s">
        <v>630</v>
      </c>
      <c r="B1276" s="13" t="s">
        <v>15</v>
      </c>
      <c r="C1276" s="13" t="s">
        <v>28</v>
      </c>
      <c r="D1276" s="14" t="s">
        <v>631</v>
      </c>
      <c r="E1276" s="15">
        <v>26</v>
      </c>
      <c r="F1276" s="15">
        <v>41.1</v>
      </c>
      <c r="G1276" s="16">
        <f>ROUND(E1276*F1276,2)</f>
        <v>1068.5999999999999</v>
      </c>
    </row>
    <row r="1277" spans="1:7" x14ac:dyDescent="0.3">
      <c r="A1277" s="17"/>
      <c r="B1277" s="17"/>
      <c r="C1277" s="17"/>
      <c r="D1277" s="18" t="s">
        <v>632</v>
      </c>
      <c r="E1277" s="15">
        <v>1</v>
      </c>
      <c r="F1277" s="12">
        <f>SUM(G1271:G1276)</f>
        <v>10027.540000000001</v>
      </c>
      <c r="G1277" s="12">
        <f>ROUND(F1277*E1277,2)</f>
        <v>10027.540000000001</v>
      </c>
    </row>
    <row r="1278" spans="1:7" ht="1.05" customHeight="1" x14ac:dyDescent="0.3">
      <c r="A1278" s="20"/>
      <c r="B1278" s="20"/>
      <c r="C1278" s="20"/>
      <c r="D1278" s="21"/>
      <c r="E1278" s="20"/>
      <c r="F1278" s="20"/>
      <c r="G1278" s="20"/>
    </row>
    <row r="1279" spans="1:7" x14ac:dyDescent="0.3">
      <c r="A1279" s="22" t="s">
        <v>633</v>
      </c>
      <c r="B1279" s="22" t="s">
        <v>11</v>
      </c>
      <c r="C1279" s="22" t="s">
        <v>12</v>
      </c>
      <c r="D1279" s="23" t="s">
        <v>176</v>
      </c>
      <c r="E1279" s="12">
        <f>E1329</f>
        <v>1</v>
      </c>
      <c r="F1279" s="12">
        <f>F1329</f>
        <v>24253.940000000002</v>
      </c>
      <c r="G1279" s="12">
        <f>G1329</f>
        <v>24253.94</v>
      </c>
    </row>
    <row r="1280" spans="1:7" ht="31.2" x14ac:dyDescent="0.3">
      <c r="A1280" s="22" t="s">
        <v>634</v>
      </c>
      <c r="B1280" s="22" t="s">
        <v>11</v>
      </c>
      <c r="C1280" s="22" t="s">
        <v>12</v>
      </c>
      <c r="D1280" s="23" t="s">
        <v>229</v>
      </c>
      <c r="E1280" s="12">
        <f>E1293</f>
        <v>1</v>
      </c>
      <c r="F1280" s="12">
        <f>F1293</f>
        <v>3348</v>
      </c>
      <c r="G1280" s="12">
        <f>G1293</f>
        <v>3348</v>
      </c>
    </row>
    <row r="1281" spans="1:7" x14ac:dyDescent="0.3">
      <c r="A1281" s="13" t="s">
        <v>230</v>
      </c>
      <c r="B1281" s="13" t="s">
        <v>15</v>
      </c>
      <c r="C1281" s="13" t="s">
        <v>28</v>
      </c>
      <c r="D1281" s="14" t="s">
        <v>231</v>
      </c>
      <c r="E1281" s="15">
        <v>258.08999999999997</v>
      </c>
      <c r="F1281" s="15">
        <v>1.9</v>
      </c>
      <c r="G1281" s="16">
        <f>ROUND(E1281*F1281,2)</f>
        <v>490.37</v>
      </c>
    </row>
    <row r="1282" spans="1:7" x14ac:dyDescent="0.3">
      <c r="A1282" s="13" t="s">
        <v>232</v>
      </c>
      <c r="B1282" s="13" t="s">
        <v>15</v>
      </c>
      <c r="C1282" s="13" t="s">
        <v>28</v>
      </c>
      <c r="D1282" s="14" t="s">
        <v>233</v>
      </c>
      <c r="E1282" s="15">
        <v>258.08999999999997</v>
      </c>
      <c r="F1282" s="15">
        <v>4.3499999999999996</v>
      </c>
      <c r="G1282" s="16">
        <f>ROUND(E1282*F1282,2)</f>
        <v>1122.69</v>
      </c>
    </row>
    <row r="1283" spans="1:7" x14ac:dyDescent="0.3">
      <c r="A1283" s="13" t="s">
        <v>550</v>
      </c>
      <c r="B1283" s="13" t="s">
        <v>15</v>
      </c>
      <c r="C1283" s="13" t="s">
        <v>28</v>
      </c>
      <c r="D1283" s="14" t="s">
        <v>551</v>
      </c>
      <c r="E1283" s="15">
        <v>179.16</v>
      </c>
      <c r="F1283" s="15">
        <v>2.98</v>
      </c>
      <c r="G1283" s="16">
        <f>ROUND(E1283*F1283,2)</f>
        <v>533.9</v>
      </c>
    </row>
    <row r="1284" spans="1:7" x14ac:dyDescent="0.3">
      <c r="A1284" s="13" t="s">
        <v>234</v>
      </c>
      <c r="B1284" s="13" t="s">
        <v>15</v>
      </c>
      <c r="C1284" s="13" t="s">
        <v>28</v>
      </c>
      <c r="D1284" s="14" t="s">
        <v>235</v>
      </c>
      <c r="E1284" s="15">
        <v>56.18</v>
      </c>
      <c r="F1284" s="15">
        <v>3.07</v>
      </c>
      <c r="G1284" s="16">
        <f>ROUND(E1284*F1284,2)</f>
        <v>172.47</v>
      </c>
    </row>
    <row r="1285" spans="1:7" x14ac:dyDescent="0.3">
      <c r="A1285" s="13" t="s">
        <v>236</v>
      </c>
      <c r="B1285" s="13" t="s">
        <v>15</v>
      </c>
      <c r="C1285" s="13" t="s">
        <v>28</v>
      </c>
      <c r="D1285" s="14" t="s">
        <v>237</v>
      </c>
      <c r="E1285" s="15">
        <v>0</v>
      </c>
      <c r="F1285" s="15">
        <v>4.22</v>
      </c>
      <c r="G1285" s="16">
        <f>ROUND(E1285*F1285,2)</f>
        <v>0</v>
      </c>
    </row>
    <row r="1286" spans="1:7" x14ac:dyDescent="0.3">
      <c r="A1286" s="13" t="s">
        <v>238</v>
      </c>
      <c r="B1286" s="13" t="s">
        <v>15</v>
      </c>
      <c r="C1286" s="13" t="s">
        <v>28</v>
      </c>
      <c r="D1286" s="14" t="s">
        <v>239</v>
      </c>
      <c r="E1286" s="15">
        <v>0</v>
      </c>
      <c r="F1286" s="15">
        <v>13.9</v>
      </c>
      <c r="G1286" s="16">
        <f>ROUND(E1286*F1286,2)</f>
        <v>0</v>
      </c>
    </row>
    <row r="1287" spans="1:7" x14ac:dyDescent="0.3">
      <c r="A1287" s="13" t="s">
        <v>240</v>
      </c>
      <c r="B1287" s="13" t="s">
        <v>15</v>
      </c>
      <c r="C1287" s="13" t="s">
        <v>28</v>
      </c>
      <c r="D1287" s="14" t="s">
        <v>241</v>
      </c>
      <c r="E1287" s="15">
        <v>0</v>
      </c>
      <c r="F1287" s="15">
        <v>15.59</v>
      </c>
      <c r="G1287" s="16">
        <f>ROUND(E1287*F1287,2)</f>
        <v>0</v>
      </c>
    </row>
    <row r="1288" spans="1:7" ht="31.2" x14ac:dyDescent="0.3">
      <c r="A1288" s="13" t="s">
        <v>242</v>
      </c>
      <c r="B1288" s="13" t="s">
        <v>15</v>
      </c>
      <c r="C1288" s="13" t="s">
        <v>16</v>
      </c>
      <c r="D1288" s="14" t="s">
        <v>243</v>
      </c>
      <c r="E1288" s="15">
        <v>1</v>
      </c>
      <c r="F1288" s="15">
        <v>793.65</v>
      </c>
      <c r="G1288" s="16">
        <f>ROUND(E1288*F1288,2)</f>
        <v>793.65</v>
      </c>
    </row>
    <row r="1289" spans="1:7" x14ac:dyDescent="0.3">
      <c r="A1289" s="13" t="s">
        <v>244</v>
      </c>
      <c r="B1289" s="13" t="s">
        <v>15</v>
      </c>
      <c r="C1289" s="13" t="s">
        <v>215</v>
      </c>
      <c r="D1289" s="14" t="s">
        <v>245</v>
      </c>
      <c r="E1289" s="15">
        <v>0</v>
      </c>
      <c r="F1289" s="15">
        <v>13.5</v>
      </c>
      <c r="G1289" s="16">
        <f>ROUND(E1289*F1289,2)</f>
        <v>0</v>
      </c>
    </row>
    <row r="1290" spans="1:7" x14ac:dyDescent="0.3">
      <c r="A1290" s="13" t="s">
        <v>552</v>
      </c>
      <c r="B1290" s="13" t="s">
        <v>15</v>
      </c>
      <c r="C1290" s="13" t="s">
        <v>215</v>
      </c>
      <c r="D1290" s="14" t="s">
        <v>553</v>
      </c>
      <c r="E1290" s="15">
        <v>1</v>
      </c>
      <c r="F1290" s="15">
        <v>23.11</v>
      </c>
      <c r="G1290" s="16">
        <f>ROUND(E1290*F1290,2)</f>
        <v>23.11</v>
      </c>
    </row>
    <row r="1291" spans="1:7" x14ac:dyDescent="0.3">
      <c r="A1291" s="13" t="s">
        <v>554</v>
      </c>
      <c r="B1291" s="13" t="s">
        <v>15</v>
      </c>
      <c r="C1291" s="13" t="s">
        <v>215</v>
      </c>
      <c r="D1291" s="14" t="s">
        <v>555</v>
      </c>
      <c r="E1291" s="15">
        <v>5</v>
      </c>
      <c r="F1291" s="15">
        <v>30.9</v>
      </c>
      <c r="G1291" s="16">
        <f>ROUND(E1291*F1291,2)</f>
        <v>154.5</v>
      </c>
    </row>
    <row r="1292" spans="1:7" x14ac:dyDescent="0.3">
      <c r="A1292" s="13" t="s">
        <v>246</v>
      </c>
      <c r="B1292" s="13" t="s">
        <v>15</v>
      </c>
      <c r="C1292" s="13" t="s">
        <v>215</v>
      </c>
      <c r="D1292" s="14" t="s">
        <v>247</v>
      </c>
      <c r="E1292" s="15">
        <v>1</v>
      </c>
      <c r="F1292" s="15">
        <v>57.31</v>
      </c>
      <c r="G1292" s="16">
        <f>ROUND(E1292*F1292,2)</f>
        <v>57.31</v>
      </c>
    </row>
    <row r="1293" spans="1:7" x14ac:dyDescent="0.3">
      <c r="A1293" s="17"/>
      <c r="B1293" s="17"/>
      <c r="C1293" s="17"/>
      <c r="D1293" s="18" t="s">
        <v>635</v>
      </c>
      <c r="E1293" s="15">
        <v>1</v>
      </c>
      <c r="F1293" s="12">
        <f>SUM(G1281:G1292)</f>
        <v>3348</v>
      </c>
      <c r="G1293" s="12">
        <f>ROUND(F1293*E1293,2)</f>
        <v>3348</v>
      </c>
    </row>
    <row r="1294" spans="1:7" ht="1.05" customHeight="1" x14ac:dyDescent="0.3">
      <c r="A1294" s="20"/>
      <c r="B1294" s="20"/>
      <c r="C1294" s="20"/>
      <c r="D1294" s="21"/>
      <c r="E1294" s="20"/>
      <c r="F1294" s="20"/>
      <c r="G1294" s="20"/>
    </row>
    <row r="1295" spans="1:7" ht="31.2" x14ac:dyDescent="0.3">
      <c r="A1295" s="22" t="s">
        <v>636</v>
      </c>
      <c r="B1295" s="22" t="s">
        <v>11</v>
      </c>
      <c r="C1295" s="22" t="s">
        <v>12</v>
      </c>
      <c r="D1295" s="23" t="s">
        <v>250</v>
      </c>
      <c r="E1295" s="12">
        <f>E1306</f>
        <v>1</v>
      </c>
      <c r="F1295" s="12">
        <f>F1306</f>
        <v>4031.82</v>
      </c>
      <c r="G1295" s="12">
        <f>G1306</f>
        <v>4031.82</v>
      </c>
    </row>
    <row r="1296" spans="1:7" x14ac:dyDescent="0.3">
      <c r="A1296" s="13" t="s">
        <v>230</v>
      </c>
      <c r="B1296" s="13" t="s">
        <v>15</v>
      </c>
      <c r="C1296" s="13" t="s">
        <v>28</v>
      </c>
      <c r="D1296" s="14" t="s">
        <v>231</v>
      </c>
      <c r="E1296" s="15">
        <v>208.67</v>
      </c>
      <c r="F1296" s="15">
        <v>1.9</v>
      </c>
      <c r="G1296" s="16">
        <f>ROUND(E1296*F1296,2)</f>
        <v>396.47</v>
      </c>
    </row>
    <row r="1297" spans="1:7" x14ac:dyDescent="0.3">
      <c r="A1297" s="13" t="s">
        <v>558</v>
      </c>
      <c r="B1297" s="13" t="s">
        <v>15</v>
      </c>
      <c r="C1297" s="13" t="s">
        <v>28</v>
      </c>
      <c r="D1297" s="14" t="s">
        <v>559</v>
      </c>
      <c r="E1297" s="15">
        <v>29.68</v>
      </c>
      <c r="F1297" s="15">
        <v>9.15</v>
      </c>
      <c r="G1297" s="16">
        <f>ROUND(E1297*F1297,2)</f>
        <v>271.57</v>
      </c>
    </row>
    <row r="1298" spans="1:7" x14ac:dyDescent="0.3">
      <c r="A1298" s="13" t="s">
        <v>393</v>
      </c>
      <c r="B1298" s="13" t="s">
        <v>15</v>
      </c>
      <c r="C1298" s="13" t="s">
        <v>28</v>
      </c>
      <c r="D1298" s="14" t="s">
        <v>394</v>
      </c>
      <c r="E1298" s="15">
        <v>10.68</v>
      </c>
      <c r="F1298" s="15">
        <v>10.02</v>
      </c>
      <c r="G1298" s="16">
        <f>ROUND(E1298*F1298,2)</f>
        <v>107.01</v>
      </c>
    </row>
    <row r="1299" spans="1:7" x14ac:dyDescent="0.3">
      <c r="A1299" s="13" t="s">
        <v>395</v>
      </c>
      <c r="B1299" s="13" t="s">
        <v>15</v>
      </c>
      <c r="C1299" s="13" t="s">
        <v>28</v>
      </c>
      <c r="D1299" s="14" t="s">
        <v>396</v>
      </c>
      <c r="E1299" s="15">
        <v>29.85</v>
      </c>
      <c r="F1299" s="15">
        <v>11.7</v>
      </c>
      <c r="G1299" s="16">
        <f>ROUND(E1299*F1299,2)</f>
        <v>349.25</v>
      </c>
    </row>
    <row r="1300" spans="1:7" x14ac:dyDescent="0.3">
      <c r="A1300" s="13" t="s">
        <v>397</v>
      </c>
      <c r="B1300" s="13" t="s">
        <v>15</v>
      </c>
      <c r="C1300" s="13" t="s">
        <v>28</v>
      </c>
      <c r="D1300" s="14" t="s">
        <v>398</v>
      </c>
      <c r="E1300" s="15">
        <v>11.71</v>
      </c>
      <c r="F1300" s="15">
        <v>16.88</v>
      </c>
      <c r="G1300" s="16">
        <f>ROUND(E1300*F1300,2)</f>
        <v>197.66</v>
      </c>
    </row>
    <row r="1301" spans="1:7" ht="31.2" x14ac:dyDescent="0.3">
      <c r="A1301" s="13" t="s">
        <v>261</v>
      </c>
      <c r="B1301" s="13" t="s">
        <v>15</v>
      </c>
      <c r="C1301" s="13" t="s">
        <v>16</v>
      </c>
      <c r="D1301" s="14" t="s">
        <v>262</v>
      </c>
      <c r="E1301" s="15">
        <v>0.75</v>
      </c>
      <c r="F1301" s="15">
        <v>1031.75</v>
      </c>
      <c r="G1301" s="16">
        <f>ROUND(E1301*F1301,2)</f>
        <v>773.81</v>
      </c>
    </row>
    <row r="1302" spans="1:7" x14ac:dyDescent="0.3">
      <c r="A1302" s="13" t="s">
        <v>399</v>
      </c>
      <c r="B1302" s="13" t="s">
        <v>15</v>
      </c>
      <c r="C1302" s="13" t="s">
        <v>215</v>
      </c>
      <c r="D1302" s="14" t="s">
        <v>400</v>
      </c>
      <c r="E1302" s="15">
        <v>6</v>
      </c>
      <c r="F1302" s="15">
        <v>30.14</v>
      </c>
      <c r="G1302" s="16">
        <f>ROUND(E1302*F1302,2)</f>
        <v>180.84</v>
      </c>
    </row>
    <row r="1303" spans="1:7" ht="31.2" x14ac:dyDescent="0.3">
      <c r="A1303" s="13" t="s">
        <v>265</v>
      </c>
      <c r="B1303" s="13" t="s">
        <v>15</v>
      </c>
      <c r="C1303" s="13" t="s">
        <v>215</v>
      </c>
      <c r="D1303" s="14" t="s">
        <v>266</v>
      </c>
      <c r="E1303" s="15">
        <v>23</v>
      </c>
      <c r="F1303" s="15">
        <v>32.25</v>
      </c>
      <c r="G1303" s="16">
        <f>ROUND(E1303*F1303,2)</f>
        <v>741.75</v>
      </c>
    </row>
    <row r="1304" spans="1:7" ht="31.2" x14ac:dyDescent="0.3">
      <c r="A1304" s="13" t="s">
        <v>267</v>
      </c>
      <c r="B1304" s="13" t="s">
        <v>15</v>
      </c>
      <c r="C1304" s="13" t="s">
        <v>215</v>
      </c>
      <c r="D1304" s="14" t="s">
        <v>268</v>
      </c>
      <c r="E1304" s="15">
        <v>10</v>
      </c>
      <c r="F1304" s="15">
        <v>44.38</v>
      </c>
      <c r="G1304" s="16">
        <f>ROUND(E1304*F1304,2)</f>
        <v>443.8</v>
      </c>
    </row>
    <row r="1305" spans="1:7" x14ac:dyDescent="0.3">
      <c r="A1305" s="13" t="s">
        <v>401</v>
      </c>
      <c r="B1305" s="13" t="s">
        <v>15</v>
      </c>
      <c r="C1305" s="13" t="s">
        <v>215</v>
      </c>
      <c r="D1305" s="14" t="s">
        <v>402</v>
      </c>
      <c r="E1305" s="15">
        <v>7</v>
      </c>
      <c r="F1305" s="15">
        <v>81.38</v>
      </c>
      <c r="G1305" s="16">
        <f>ROUND(E1305*F1305,2)</f>
        <v>569.66</v>
      </c>
    </row>
    <row r="1306" spans="1:7" x14ac:dyDescent="0.3">
      <c r="A1306" s="17"/>
      <c r="B1306" s="17"/>
      <c r="C1306" s="17"/>
      <c r="D1306" s="18" t="s">
        <v>637</v>
      </c>
      <c r="E1306" s="15">
        <v>1</v>
      </c>
      <c r="F1306" s="12">
        <f>SUM(G1296:G1305)</f>
        <v>4031.82</v>
      </c>
      <c r="G1306" s="12">
        <f>ROUND(F1306*E1306,2)</f>
        <v>4031.82</v>
      </c>
    </row>
    <row r="1307" spans="1:7" ht="1.05" customHeight="1" x14ac:dyDescent="0.3">
      <c r="A1307" s="20"/>
      <c r="B1307" s="20"/>
      <c r="C1307" s="20"/>
      <c r="D1307" s="21"/>
      <c r="E1307" s="20"/>
      <c r="F1307" s="20"/>
      <c r="G1307" s="20"/>
    </row>
    <row r="1308" spans="1:7" x14ac:dyDescent="0.3">
      <c r="A1308" s="22" t="s">
        <v>638</v>
      </c>
      <c r="B1308" s="22" t="s">
        <v>11</v>
      </c>
      <c r="C1308" s="22" t="s">
        <v>12</v>
      </c>
      <c r="D1308" s="23" t="s">
        <v>275</v>
      </c>
      <c r="E1308" s="12">
        <f>E1312</f>
        <v>1</v>
      </c>
      <c r="F1308" s="12">
        <f>F1312</f>
        <v>2310.96</v>
      </c>
      <c r="G1308" s="12">
        <f>G1312</f>
        <v>2310.96</v>
      </c>
    </row>
    <row r="1309" spans="1:7" ht="31.2" x14ac:dyDescent="0.3">
      <c r="A1309" s="13" t="s">
        <v>276</v>
      </c>
      <c r="B1309" s="13" t="s">
        <v>15</v>
      </c>
      <c r="C1309" s="13" t="s">
        <v>28</v>
      </c>
      <c r="D1309" s="14" t="s">
        <v>277</v>
      </c>
      <c r="E1309" s="15">
        <v>3.25</v>
      </c>
      <c r="F1309" s="15">
        <v>27.3</v>
      </c>
      <c r="G1309" s="16">
        <f>ROUND(E1309*F1309,2)</f>
        <v>88.73</v>
      </c>
    </row>
    <row r="1310" spans="1:7" x14ac:dyDescent="0.3">
      <c r="A1310" s="13" t="s">
        <v>278</v>
      </c>
      <c r="B1310" s="13" t="s">
        <v>15</v>
      </c>
      <c r="C1310" s="13" t="s">
        <v>215</v>
      </c>
      <c r="D1310" s="14" t="s">
        <v>279</v>
      </c>
      <c r="E1310" s="15">
        <v>1</v>
      </c>
      <c r="F1310" s="15">
        <v>1666.67</v>
      </c>
      <c r="G1310" s="16">
        <f>ROUND(E1310*F1310,2)</f>
        <v>1666.67</v>
      </c>
    </row>
    <row r="1311" spans="1:7" ht="31.2" x14ac:dyDescent="0.3">
      <c r="A1311" s="13" t="s">
        <v>280</v>
      </c>
      <c r="B1311" s="13" t="s">
        <v>15</v>
      </c>
      <c r="C1311" s="13" t="s">
        <v>215</v>
      </c>
      <c r="D1311" s="14" t="s">
        <v>281</v>
      </c>
      <c r="E1311" s="15">
        <v>1</v>
      </c>
      <c r="F1311" s="15">
        <v>555.55999999999995</v>
      </c>
      <c r="G1311" s="16">
        <f>ROUND(E1311*F1311,2)</f>
        <v>555.55999999999995</v>
      </c>
    </row>
    <row r="1312" spans="1:7" x14ac:dyDescent="0.3">
      <c r="A1312" s="17"/>
      <c r="B1312" s="17"/>
      <c r="C1312" s="17"/>
      <c r="D1312" s="18" t="s">
        <v>639</v>
      </c>
      <c r="E1312" s="15">
        <v>1</v>
      </c>
      <c r="F1312" s="12">
        <f>SUM(G1309:G1311)</f>
        <v>2310.96</v>
      </c>
      <c r="G1312" s="12">
        <f>ROUND(F1312*E1312,2)</f>
        <v>2310.96</v>
      </c>
    </row>
    <row r="1313" spans="1:7" ht="1.05" customHeight="1" x14ac:dyDescent="0.3">
      <c r="A1313" s="20"/>
      <c r="B1313" s="20"/>
      <c r="C1313" s="20"/>
      <c r="D1313" s="21"/>
      <c r="E1313" s="20"/>
      <c r="F1313" s="20"/>
      <c r="G1313" s="20"/>
    </row>
    <row r="1314" spans="1:7" x14ac:dyDescent="0.3">
      <c r="A1314" s="22" t="s">
        <v>640</v>
      </c>
      <c r="B1314" s="22" t="s">
        <v>11</v>
      </c>
      <c r="C1314" s="22" t="s">
        <v>12</v>
      </c>
      <c r="D1314" s="23" t="s">
        <v>407</v>
      </c>
      <c r="E1314" s="12">
        <f>E1322</f>
        <v>1</v>
      </c>
      <c r="F1314" s="12">
        <f>F1322</f>
        <v>12837.009999999998</v>
      </c>
      <c r="G1314" s="12">
        <f>G1322</f>
        <v>12837.01</v>
      </c>
    </row>
    <row r="1315" spans="1:7" ht="31.2" x14ac:dyDescent="0.3">
      <c r="A1315" s="13" t="s">
        <v>564</v>
      </c>
      <c r="B1315" s="13" t="s">
        <v>15</v>
      </c>
      <c r="C1315" s="13" t="s">
        <v>215</v>
      </c>
      <c r="D1315" s="14" t="s">
        <v>565</v>
      </c>
      <c r="E1315" s="15">
        <v>7</v>
      </c>
      <c r="F1315" s="15">
        <v>348.85</v>
      </c>
      <c r="G1315" s="16">
        <f>ROUND(E1315*F1315,2)</f>
        <v>2441.9499999999998</v>
      </c>
    </row>
    <row r="1316" spans="1:7" ht="31.2" x14ac:dyDescent="0.3">
      <c r="A1316" s="13" t="s">
        <v>566</v>
      </c>
      <c r="B1316" s="13" t="s">
        <v>15</v>
      </c>
      <c r="C1316" s="13" t="s">
        <v>215</v>
      </c>
      <c r="D1316" s="14" t="s">
        <v>567</v>
      </c>
      <c r="E1316" s="15">
        <v>7</v>
      </c>
      <c r="F1316" s="15">
        <v>365.25</v>
      </c>
      <c r="G1316" s="16">
        <f>ROUND(E1316*F1316,2)</f>
        <v>2556.75</v>
      </c>
    </row>
    <row r="1317" spans="1:7" x14ac:dyDescent="0.3">
      <c r="A1317" s="13" t="s">
        <v>568</v>
      </c>
      <c r="B1317" s="13" t="s">
        <v>15</v>
      </c>
      <c r="C1317" s="13" t="s">
        <v>215</v>
      </c>
      <c r="D1317" s="14" t="s">
        <v>569</v>
      </c>
      <c r="E1317" s="15">
        <v>7</v>
      </c>
      <c r="F1317" s="15">
        <v>442.68</v>
      </c>
      <c r="G1317" s="16">
        <f>ROUND(E1317*F1317,2)</f>
        <v>3098.76</v>
      </c>
    </row>
    <row r="1318" spans="1:7" ht="31.2" x14ac:dyDescent="0.3">
      <c r="A1318" s="13" t="s">
        <v>570</v>
      </c>
      <c r="B1318" s="13" t="s">
        <v>15</v>
      </c>
      <c r="C1318" s="13" t="s">
        <v>215</v>
      </c>
      <c r="D1318" s="14" t="s">
        <v>571</v>
      </c>
      <c r="E1318" s="15">
        <v>7</v>
      </c>
      <c r="F1318" s="15">
        <v>93.66</v>
      </c>
      <c r="G1318" s="16">
        <f>ROUND(E1318*F1318,2)</f>
        <v>655.62</v>
      </c>
    </row>
    <row r="1319" spans="1:7" ht="31.2" x14ac:dyDescent="0.3">
      <c r="A1319" s="13" t="s">
        <v>572</v>
      </c>
      <c r="B1319" s="13" t="s">
        <v>15</v>
      </c>
      <c r="C1319" s="13" t="s">
        <v>151</v>
      </c>
      <c r="D1319" s="14" t="s">
        <v>573</v>
      </c>
      <c r="E1319" s="15">
        <v>5</v>
      </c>
      <c r="F1319" s="15">
        <v>405.16</v>
      </c>
      <c r="G1319" s="16">
        <f>ROUND(E1319*F1319,2)</f>
        <v>2025.8</v>
      </c>
    </row>
    <row r="1320" spans="1:7" ht="31.2" x14ac:dyDescent="0.3">
      <c r="A1320" s="13" t="s">
        <v>574</v>
      </c>
      <c r="B1320" s="13" t="s">
        <v>15</v>
      </c>
      <c r="C1320" s="13" t="s">
        <v>151</v>
      </c>
      <c r="D1320" s="14" t="s">
        <v>575</v>
      </c>
      <c r="E1320" s="15">
        <v>2</v>
      </c>
      <c r="F1320" s="15">
        <v>295.79000000000002</v>
      </c>
      <c r="G1320" s="16">
        <f>ROUND(E1320*F1320,2)</f>
        <v>591.58000000000004</v>
      </c>
    </row>
    <row r="1321" spans="1:7" x14ac:dyDescent="0.3">
      <c r="A1321" s="13" t="s">
        <v>576</v>
      </c>
      <c r="B1321" s="13" t="s">
        <v>15</v>
      </c>
      <c r="C1321" s="13" t="s">
        <v>151</v>
      </c>
      <c r="D1321" s="14" t="s">
        <v>577</v>
      </c>
      <c r="E1321" s="15">
        <v>5</v>
      </c>
      <c r="F1321" s="15">
        <v>293.31</v>
      </c>
      <c r="G1321" s="16">
        <f>ROUND(E1321*F1321,2)</f>
        <v>1466.55</v>
      </c>
    </row>
    <row r="1322" spans="1:7" x14ac:dyDescent="0.3">
      <c r="A1322" s="17"/>
      <c r="B1322" s="17"/>
      <c r="C1322" s="17"/>
      <c r="D1322" s="18" t="s">
        <v>641</v>
      </c>
      <c r="E1322" s="15">
        <v>1</v>
      </c>
      <c r="F1322" s="12">
        <f>SUM(G1315:G1321)</f>
        <v>12837.009999999998</v>
      </c>
      <c r="G1322" s="12">
        <f>ROUND(F1322*E1322,2)</f>
        <v>12837.01</v>
      </c>
    </row>
    <row r="1323" spans="1:7" ht="1.05" customHeight="1" x14ac:dyDescent="0.3">
      <c r="A1323" s="20"/>
      <c r="B1323" s="20"/>
      <c r="C1323" s="20"/>
      <c r="D1323" s="21"/>
      <c r="E1323" s="20"/>
      <c r="F1323" s="20"/>
      <c r="G1323" s="20"/>
    </row>
    <row r="1324" spans="1:7" x14ac:dyDescent="0.3">
      <c r="A1324" s="22" t="s">
        <v>642</v>
      </c>
      <c r="B1324" s="22" t="s">
        <v>11</v>
      </c>
      <c r="C1324" s="22" t="s">
        <v>12</v>
      </c>
      <c r="D1324" s="23" t="s">
        <v>165</v>
      </c>
      <c r="E1324" s="12">
        <f>E1327</f>
        <v>1</v>
      </c>
      <c r="F1324" s="12">
        <f>F1327</f>
        <v>1726.15</v>
      </c>
      <c r="G1324" s="12">
        <f>G1327</f>
        <v>1726.15</v>
      </c>
    </row>
    <row r="1325" spans="1:7" x14ac:dyDescent="0.3">
      <c r="A1325" s="13" t="s">
        <v>582</v>
      </c>
      <c r="B1325" s="13" t="s">
        <v>15</v>
      </c>
      <c r="C1325" s="13" t="s">
        <v>151</v>
      </c>
      <c r="D1325" s="14" t="s">
        <v>583</v>
      </c>
      <c r="E1325" s="15">
        <v>5</v>
      </c>
      <c r="F1325" s="15">
        <v>74.39</v>
      </c>
      <c r="G1325" s="16">
        <f>ROUND(E1325*F1325,2)</f>
        <v>371.95</v>
      </c>
    </row>
    <row r="1326" spans="1:7" ht="31.2" x14ac:dyDescent="0.3">
      <c r="A1326" s="13" t="s">
        <v>584</v>
      </c>
      <c r="B1326" s="13" t="s">
        <v>15</v>
      </c>
      <c r="C1326" s="13" t="s">
        <v>215</v>
      </c>
      <c r="D1326" s="14" t="s">
        <v>585</v>
      </c>
      <c r="E1326" s="15">
        <v>5</v>
      </c>
      <c r="F1326" s="15">
        <v>270.83999999999997</v>
      </c>
      <c r="G1326" s="16">
        <f>ROUND(E1326*F1326,2)</f>
        <v>1354.2</v>
      </c>
    </row>
    <row r="1327" spans="1:7" x14ac:dyDescent="0.3">
      <c r="A1327" s="17"/>
      <c r="B1327" s="17"/>
      <c r="C1327" s="17"/>
      <c r="D1327" s="18" t="s">
        <v>643</v>
      </c>
      <c r="E1327" s="15">
        <v>1</v>
      </c>
      <c r="F1327" s="12">
        <f>SUM(G1325:G1326)</f>
        <v>1726.15</v>
      </c>
      <c r="G1327" s="12">
        <f>ROUND(F1327*E1327,2)</f>
        <v>1726.15</v>
      </c>
    </row>
    <row r="1328" spans="1:7" ht="1.05" customHeight="1" x14ac:dyDescent="0.3">
      <c r="A1328" s="20"/>
      <c r="B1328" s="20"/>
      <c r="C1328" s="20"/>
      <c r="D1328" s="21"/>
      <c r="E1328" s="20"/>
      <c r="F1328" s="20"/>
      <c r="G1328" s="20"/>
    </row>
    <row r="1329" spans="1:7" x14ac:dyDescent="0.3">
      <c r="A1329" s="17"/>
      <c r="B1329" s="17"/>
      <c r="C1329" s="17"/>
      <c r="D1329" s="18" t="s">
        <v>644</v>
      </c>
      <c r="E1329" s="15">
        <v>1</v>
      </c>
      <c r="F1329" s="12">
        <f>G1293+G1306+G1312+G1322+G1327</f>
        <v>24253.940000000002</v>
      </c>
      <c r="G1329" s="12">
        <f>ROUND(F1329*E1329,2)</f>
        <v>24253.94</v>
      </c>
    </row>
    <row r="1330" spans="1:7" ht="1.05" customHeight="1" x14ac:dyDescent="0.3">
      <c r="A1330" s="20"/>
      <c r="B1330" s="20"/>
      <c r="C1330" s="20"/>
      <c r="D1330" s="21"/>
      <c r="E1330" s="20"/>
      <c r="F1330" s="20"/>
      <c r="G1330" s="20"/>
    </row>
    <row r="1331" spans="1:7" x14ac:dyDescent="0.3">
      <c r="A1331" s="22" t="s">
        <v>645</v>
      </c>
      <c r="B1331" s="22" t="s">
        <v>11</v>
      </c>
      <c r="C1331" s="22" t="s">
        <v>12</v>
      </c>
      <c r="D1331" s="23" t="s">
        <v>285</v>
      </c>
      <c r="E1331" s="12">
        <f>E1345</f>
        <v>1</v>
      </c>
      <c r="F1331" s="12">
        <f>F1345</f>
        <v>14776.529999999999</v>
      </c>
      <c r="G1331" s="12">
        <f>G1345</f>
        <v>14776.53</v>
      </c>
    </row>
    <row r="1332" spans="1:7" x14ac:dyDescent="0.3">
      <c r="A1332" s="13" t="s">
        <v>589</v>
      </c>
      <c r="B1332" s="13" t="s">
        <v>15</v>
      </c>
      <c r="C1332" s="13" t="s">
        <v>215</v>
      </c>
      <c r="D1332" s="14" t="s">
        <v>590</v>
      </c>
      <c r="E1332" s="15">
        <v>5</v>
      </c>
      <c r="F1332" s="15">
        <v>51.04</v>
      </c>
      <c r="G1332" s="16">
        <f>ROUND(E1332*F1332,2)</f>
        <v>255.2</v>
      </c>
    </row>
    <row r="1333" spans="1:7" x14ac:dyDescent="0.3">
      <c r="A1333" s="13" t="s">
        <v>591</v>
      </c>
      <c r="B1333" s="13" t="s">
        <v>15</v>
      </c>
      <c r="C1333" s="13" t="s">
        <v>215</v>
      </c>
      <c r="D1333" s="14" t="s">
        <v>592</v>
      </c>
      <c r="E1333" s="15">
        <v>5</v>
      </c>
      <c r="F1333" s="15">
        <v>37.28</v>
      </c>
      <c r="G1333" s="16">
        <f>ROUND(E1333*F1333,2)</f>
        <v>186.4</v>
      </c>
    </row>
    <row r="1334" spans="1:7" x14ac:dyDescent="0.3">
      <c r="A1334" s="13" t="s">
        <v>593</v>
      </c>
      <c r="B1334" s="13" t="s">
        <v>15</v>
      </c>
      <c r="C1334" s="13" t="s">
        <v>215</v>
      </c>
      <c r="D1334" s="14" t="s">
        <v>594</v>
      </c>
      <c r="E1334" s="15">
        <v>5</v>
      </c>
      <c r="F1334" s="15">
        <v>30.48</v>
      </c>
      <c r="G1334" s="16">
        <f>ROUND(E1334*F1334,2)</f>
        <v>152.4</v>
      </c>
    </row>
    <row r="1335" spans="1:7" x14ac:dyDescent="0.3">
      <c r="A1335" s="13" t="s">
        <v>595</v>
      </c>
      <c r="B1335" s="13" t="s">
        <v>15</v>
      </c>
      <c r="C1335" s="13" t="s">
        <v>215</v>
      </c>
      <c r="D1335" s="14" t="s">
        <v>596</v>
      </c>
      <c r="E1335" s="15">
        <v>27</v>
      </c>
      <c r="F1335" s="15">
        <v>31.59</v>
      </c>
      <c r="G1335" s="16">
        <f>ROUND(E1335*F1335,2)</f>
        <v>852.93</v>
      </c>
    </row>
    <row r="1336" spans="1:7" x14ac:dyDescent="0.3">
      <c r="A1336" s="13" t="s">
        <v>296</v>
      </c>
      <c r="B1336" s="13" t="s">
        <v>15</v>
      </c>
      <c r="C1336" s="13" t="s">
        <v>215</v>
      </c>
      <c r="D1336" s="14" t="s">
        <v>297</v>
      </c>
      <c r="E1336" s="15">
        <v>53</v>
      </c>
      <c r="F1336" s="15">
        <v>50.07</v>
      </c>
      <c r="G1336" s="16">
        <f>ROUND(E1336*F1336,2)</f>
        <v>2653.71</v>
      </c>
    </row>
    <row r="1337" spans="1:7" x14ac:dyDescent="0.3">
      <c r="A1337" s="13" t="s">
        <v>298</v>
      </c>
      <c r="B1337" s="13" t="s">
        <v>15</v>
      </c>
      <c r="C1337" s="13" t="s">
        <v>215</v>
      </c>
      <c r="D1337" s="14" t="s">
        <v>299</v>
      </c>
      <c r="E1337" s="15">
        <v>0</v>
      </c>
      <c r="F1337" s="15">
        <v>42.74</v>
      </c>
      <c r="G1337" s="16">
        <f>ROUND(E1337*F1337,2)</f>
        <v>0</v>
      </c>
    </row>
    <row r="1338" spans="1:7" x14ac:dyDescent="0.3">
      <c r="A1338" s="13" t="s">
        <v>300</v>
      </c>
      <c r="B1338" s="13" t="s">
        <v>15</v>
      </c>
      <c r="C1338" s="13" t="s">
        <v>215</v>
      </c>
      <c r="D1338" s="14" t="s">
        <v>301</v>
      </c>
      <c r="E1338" s="15">
        <v>30</v>
      </c>
      <c r="F1338" s="15">
        <v>45.93</v>
      </c>
      <c r="G1338" s="16">
        <f>ROUND(E1338*F1338,2)</f>
        <v>1377.9</v>
      </c>
    </row>
    <row r="1339" spans="1:7" x14ac:dyDescent="0.3">
      <c r="A1339" s="13" t="s">
        <v>302</v>
      </c>
      <c r="B1339" s="13" t="s">
        <v>15</v>
      </c>
      <c r="C1339" s="13" t="s">
        <v>215</v>
      </c>
      <c r="D1339" s="14" t="s">
        <v>303</v>
      </c>
      <c r="E1339" s="15">
        <v>6</v>
      </c>
      <c r="F1339" s="15">
        <v>51.73</v>
      </c>
      <c r="G1339" s="16">
        <f>ROUND(E1339*F1339,2)</f>
        <v>310.38</v>
      </c>
    </row>
    <row r="1340" spans="1:7" x14ac:dyDescent="0.3">
      <c r="A1340" s="13" t="s">
        <v>304</v>
      </c>
      <c r="B1340" s="13" t="s">
        <v>15</v>
      </c>
      <c r="C1340" s="13" t="s">
        <v>215</v>
      </c>
      <c r="D1340" s="14" t="s">
        <v>305</v>
      </c>
      <c r="E1340" s="15">
        <v>2</v>
      </c>
      <c r="F1340" s="15">
        <v>53.67</v>
      </c>
      <c r="G1340" s="16">
        <f>ROUND(E1340*F1340,2)</f>
        <v>107.34</v>
      </c>
    </row>
    <row r="1341" spans="1:7" ht="31.2" x14ac:dyDescent="0.3">
      <c r="A1341" s="13" t="s">
        <v>306</v>
      </c>
      <c r="B1341" s="13" t="s">
        <v>15</v>
      </c>
      <c r="C1341" s="13" t="s">
        <v>215</v>
      </c>
      <c r="D1341" s="14" t="s">
        <v>307</v>
      </c>
      <c r="E1341" s="15">
        <v>90</v>
      </c>
      <c r="F1341" s="15">
        <v>61.18</v>
      </c>
      <c r="G1341" s="16">
        <f>ROUND(E1341*F1341,2)</f>
        <v>5506.2</v>
      </c>
    </row>
    <row r="1342" spans="1:7" ht="31.2" x14ac:dyDescent="0.3">
      <c r="A1342" s="13" t="s">
        <v>308</v>
      </c>
      <c r="B1342" s="13" t="s">
        <v>15</v>
      </c>
      <c r="C1342" s="13" t="s">
        <v>215</v>
      </c>
      <c r="D1342" s="14" t="s">
        <v>309</v>
      </c>
      <c r="E1342" s="15">
        <v>14</v>
      </c>
      <c r="F1342" s="15">
        <v>84.28</v>
      </c>
      <c r="G1342" s="16">
        <f>ROUND(E1342*F1342,2)</f>
        <v>1179.92</v>
      </c>
    </row>
    <row r="1343" spans="1:7" x14ac:dyDescent="0.3">
      <c r="A1343" s="13" t="s">
        <v>314</v>
      </c>
      <c r="B1343" s="13" t="s">
        <v>15</v>
      </c>
      <c r="C1343" s="13" t="s">
        <v>215</v>
      </c>
      <c r="D1343" s="14" t="s">
        <v>315</v>
      </c>
      <c r="E1343" s="15">
        <v>0</v>
      </c>
      <c r="F1343" s="15">
        <v>55.56</v>
      </c>
      <c r="G1343" s="16">
        <f>ROUND(E1343*F1343,2)</f>
        <v>0</v>
      </c>
    </row>
    <row r="1344" spans="1:7" x14ac:dyDescent="0.3">
      <c r="A1344" s="13" t="s">
        <v>415</v>
      </c>
      <c r="B1344" s="13" t="s">
        <v>15</v>
      </c>
      <c r="C1344" s="13" t="s">
        <v>215</v>
      </c>
      <c r="D1344" s="14" t="s">
        <v>416</v>
      </c>
      <c r="E1344" s="15">
        <v>5</v>
      </c>
      <c r="F1344" s="15">
        <v>438.83</v>
      </c>
      <c r="G1344" s="16">
        <f>ROUND(E1344*F1344,2)</f>
        <v>2194.15</v>
      </c>
    </row>
    <row r="1345" spans="1:7" x14ac:dyDescent="0.3">
      <c r="A1345" s="17"/>
      <c r="B1345" s="17"/>
      <c r="C1345" s="17"/>
      <c r="D1345" s="18" t="s">
        <v>646</v>
      </c>
      <c r="E1345" s="15">
        <v>1</v>
      </c>
      <c r="F1345" s="12">
        <f>SUM(G1332:G1344)</f>
        <v>14776.529999999999</v>
      </c>
      <c r="G1345" s="12">
        <f>ROUND(F1345*E1345,2)</f>
        <v>14776.53</v>
      </c>
    </row>
    <row r="1346" spans="1:7" ht="1.05" customHeight="1" x14ac:dyDescent="0.3">
      <c r="A1346" s="20"/>
      <c r="B1346" s="20"/>
      <c r="C1346" s="20"/>
      <c r="D1346" s="21"/>
      <c r="E1346" s="20"/>
      <c r="F1346" s="20"/>
      <c r="G1346" s="20"/>
    </row>
    <row r="1347" spans="1:7" x14ac:dyDescent="0.3">
      <c r="A1347" s="17"/>
      <c r="B1347" s="17"/>
      <c r="C1347" s="17"/>
      <c r="D1347" s="18" t="s">
        <v>656</v>
      </c>
      <c r="E1347" s="19">
        <v>1</v>
      </c>
      <c r="F1347" s="12">
        <f>G1213+G1218+G1229+G1234+G1238+G1243+G1251+G1255+G1262+G1268+G1277+G1329+G1345</f>
        <v>255369.78000000003</v>
      </c>
      <c r="G1347" s="12">
        <f>ROUND(F1347*E1347,2)</f>
        <v>255369.78</v>
      </c>
    </row>
    <row r="1348" spans="1:7" ht="1.05" customHeight="1" x14ac:dyDescent="0.3">
      <c r="A1348" s="20"/>
      <c r="B1348" s="20"/>
      <c r="C1348" s="20"/>
      <c r="D1348" s="21"/>
      <c r="E1348" s="20"/>
      <c r="F1348" s="20"/>
      <c r="G1348" s="20"/>
    </row>
    <row r="1349" spans="1:7" x14ac:dyDescent="0.3">
      <c r="A1349" s="9" t="s">
        <v>657</v>
      </c>
      <c r="B1349" s="9" t="s">
        <v>11</v>
      </c>
      <c r="C1349" s="9" t="s">
        <v>12</v>
      </c>
      <c r="D1349" s="10" t="s">
        <v>658</v>
      </c>
      <c r="E1349" s="11">
        <f>E1503</f>
        <v>1</v>
      </c>
      <c r="F1349" s="12">
        <f>F1503</f>
        <v>250975.13999999998</v>
      </c>
      <c r="G1349" s="12">
        <f>G1503</f>
        <v>250975.14</v>
      </c>
    </row>
    <row r="1350" spans="1:7" x14ac:dyDescent="0.3">
      <c r="A1350" s="22" t="s">
        <v>659</v>
      </c>
      <c r="B1350" s="22" t="s">
        <v>11</v>
      </c>
      <c r="C1350" s="22" t="s">
        <v>12</v>
      </c>
      <c r="D1350" s="23" t="s">
        <v>57</v>
      </c>
      <c r="E1350" s="12">
        <f>E1369</f>
        <v>1</v>
      </c>
      <c r="F1350" s="12">
        <f>F1369</f>
        <v>65542.62999999999</v>
      </c>
      <c r="G1350" s="12">
        <f>G1369</f>
        <v>65542.63</v>
      </c>
    </row>
    <row r="1351" spans="1:7" x14ac:dyDescent="0.3">
      <c r="A1351" s="13" t="s">
        <v>81</v>
      </c>
      <c r="B1351" s="13" t="s">
        <v>15</v>
      </c>
      <c r="C1351" s="13" t="s">
        <v>60</v>
      </c>
      <c r="D1351" s="14" t="s">
        <v>82</v>
      </c>
      <c r="E1351" s="15">
        <v>8.18</v>
      </c>
      <c r="F1351" s="15">
        <v>572.66999999999996</v>
      </c>
      <c r="G1351" s="16">
        <f>ROUND(E1351*F1351,2)</f>
        <v>4684.4399999999996</v>
      </c>
    </row>
    <row r="1352" spans="1:7" x14ac:dyDescent="0.3">
      <c r="A1352" s="13" t="s">
        <v>83</v>
      </c>
      <c r="B1352" s="13" t="s">
        <v>15</v>
      </c>
      <c r="C1352" s="13" t="s">
        <v>60</v>
      </c>
      <c r="D1352" s="14" t="s">
        <v>84</v>
      </c>
      <c r="E1352" s="15">
        <v>4.0599999999999996</v>
      </c>
      <c r="F1352" s="15">
        <v>545.57000000000005</v>
      </c>
      <c r="G1352" s="16">
        <f>ROUND(E1352*F1352,2)</f>
        <v>2215.0100000000002</v>
      </c>
    </row>
    <row r="1353" spans="1:7" ht="31.2" x14ac:dyDescent="0.3">
      <c r="A1353" s="13" t="s">
        <v>97</v>
      </c>
      <c r="B1353" s="13" t="s">
        <v>15</v>
      </c>
      <c r="C1353" s="13" t="s">
        <v>60</v>
      </c>
      <c r="D1353" s="14" t="s">
        <v>98</v>
      </c>
      <c r="E1353" s="15">
        <v>0</v>
      </c>
      <c r="F1353" s="15">
        <v>1055.26</v>
      </c>
      <c r="G1353" s="16">
        <f>ROUND(E1353*F1353,2)</f>
        <v>0</v>
      </c>
    </row>
    <row r="1354" spans="1:7" ht="31.2" x14ac:dyDescent="0.3">
      <c r="A1354" s="13" t="s">
        <v>99</v>
      </c>
      <c r="B1354" s="13" t="s">
        <v>15</v>
      </c>
      <c r="C1354" s="13" t="s">
        <v>60</v>
      </c>
      <c r="D1354" s="14" t="s">
        <v>100</v>
      </c>
      <c r="E1354" s="15">
        <v>5.18</v>
      </c>
      <c r="F1354" s="15">
        <v>779.5</v>
      </c>
      <c r="G1354" s="16">
        <f>ROUND(E1354*F1354,2)</f>
        <v>4037.81</v>
      </c>
    </row>
    <row r="1355" spans="1:7" ht="31.2" x14ac:dyDescent="0.3">
      <c r="A1355" s="13" t="s">
        <v>660</v>
      </c>
      <c r="B1355" s="13" t="s">
        <v>15</v>
      </c>
      <c r="C1355" s="13" t="s">
        <v>60</v>
      </c>
      <c r="D1355" s="14" t="s">
        <v>661</v>
      </c>
      <c r="E1355" s="15">
        <v>6.48</v>
      </c>
      <c r="F1355" s="15">
        <v>858.05</v>
      </c>
      <c r="G1355" s="16">
        <f>ROUND(E1355*F1355,2)</f>
        <v>5560.16</v>
      </c>
    </row>
    <row r="1356" spans="1:7" ht="31.2" x14ac:dyDescent="0.3">
      <c r="A1356" s="13" t="s">
        <v>662</v>
      </c>
      <c r="B1356" s="13" t="s">
        <v>15</v>
      </c>
      <c r="C1356" s="13" t="s">
        <v>60</v>
      </c>
      <c r="D1356" s="14" t="s">
        <v>663</v>
      </c>
      <c r="E1356" s="15">
        <v>4.8600000000000003</v>
      </c>
      <c r="F1356" s="15">
        <v>714.24</v>
      </c>
      <c r="G1356" s="16">
        <f>ROUND(E1356*F1356,2)</f>
        <v>3471.21</v>
      </c>
    </row>
    <row r="1357" spans="1:7" x14ac:dyDescent="0.3">
      <c r="A1357" s="13" t="s">
        <v>105</v>
      </c>
      <c r="B1357" s="13" t="s">
        <v>15</v>
      </c>
      <c r="C1357" s="13" t="s">
        <v>60</v>
      </c>
      <c r="D1357" s="14" t="s">
        <v>106</v>
      </c>
      <c r="E1357" s="15">
        <v>5.26</v>
      </c>
      <c r="F1357" s="15">
        <v>476.95</v>
      </c>
      <c r="G1357" s="16">
        <f>ROUND(E1357*F1357,2)</f>
        <v>2508.7600000000002</v>
      </c>
    </row>
    <row r="1358" spans="1:7" x14ac:dyDescent="0.3">
      <c r="A1358" s="13" t="s">
        <v>321</v>
      </c>
      <c r="B1358" s="13" t="s">
        <v>15</v>
      </c>
      <c r="C1358" s="13" t="s">
        <v>60</v>
      </c>
      <c r="D1358" s="14" t="s">
        <v>322</v>
      </c>
      <c r="E1358" s="15">
        <v>3.43</v>
      </c>
      <c r="F1358" s="15">
        <v>713.28</v>
      </c>
      <c r="G1358" s="16">
        <f>ROUND(E1358*F1358,2)</f>
        <v>2446.5500000000002</v>
      </c>
    </row>
    <row r="1359" spans="1:7" x14ac:dyDescent="0.3">
      <c r="A1359" s="13" t="s">
        <v>323</v>
      </c>
      <c r="B1359" s="13" t="s">
        <v>15</v>
      </c>
      <c r="C1359" s="13" t="s">
        <v>60</v>
      </c>
      <c r="D1359" s="14" t="s">
        <v>324</v>
      </c>
      <c r="E1359" s="15">
        <v>3.02</v>
      </c>
      <c r="F1359" s="15">
        <v>702.51</v>
      </c>
      <c r="G1359" s="16">
        <f>ROUND(E1359*F1359,2)</f>
        <v>2121.58</v>
      </c>
    </row>
    <row r="1360" spans="1:7" x14ac:dyDescent="0.3">
      <c r="A1360" s="13" t="s">
        <v>325</v>
      </c>
      <c r="B1360" s="13" t="s">
        <v>15</v>
      </c>
      <c r="C1360" s="13" t="s">
        <v>60</v>
      </c>
      <c r="D1360" s="14" t="s">
        <v>326</v>
      </c>
      <c r="E1360" s="15">
        <v>3.02</v>
      </c>
      <c r="F1360" s="15">
        <v>680.27</v>
      </c>
      <c r="G1360" s="16">
        <f>ROUND(E1360*F1360,2)</f>
        <v>2054.42</v>
      </c>
    </row>
    <row r="1361" spans="1:7" x14ac:dyDescent="0.3">
      <c r="A1361" s="13" t="s">
        <v>327</v>
      </c>
      <c r="B1361" s="13" t="s">
        <v>15</v>
      </c>
      <c r="C1361" s="13" t="s">
        <v>60</v>
      </c>
      <c r="D1361" s="14" t="s">
        <v>328</v>
      </c>
      <c r="E1361" s="15">
        <v>3.53</v>
      </c>
      <c r="F1361" s="15">
        <v>693.2</v>
      </c>
      <c r="G1361" s="16">
        <f>ROUND(E1361*F1361,2)</f>
        <v>2447</v>
      </c>
    </row>
    <row r="1362" spans="1:7" x14ac:dyDescent="0.3">
      <c r="A1362" s="13" t="s">
        <v>329</v>
      </c>
      <c r="B1362" s="13" t="s">
        <v>15</v>
      </c>
      <c r="C1362" s="13" t="s">
        <v>60</v>
      </c>
      <c r="D1362" s="14" t="s">
        <v>330</v>
      </c>
      <c r="E1362" s="15">
        <v>3.59</v>
      </c>
      <c r="F1362" s="15">
        <v>693.4</v>
      </c>
      <c r="G1362" s="16">
        <f>ROUND(E1362*F1362,2)</f>
        <v>2489.31</v>
      </c>
    </row>
    <row r="1363" spans="1:7" x14ac:dyDescent="0.3">
      <c r="A1363" s="13" t="s">
        <v>331</v>
      </c>
      <c r="B1363" s="13" t="s">
        <v>15</v>
      </c>
      <c r="C1363" s="13" t="s">
        <v>60</v>
      </c>
      <c r="D1363" s="14" t="s">
        <v>332</v>
      </c>
      <c r="E1363" s="15">
        <v>3.39</v>
      </c>
      <c r="F1363" s="15">
        <v>700.15</v>
      </c>
      <c r="G1363" s="16">
        <f>ROUND(E1363*F1363,2)</f>
        <v>2373.5100000000002</v>
      </c>
    </row>
    <row r="1364" spans="1:7" x14ac:dyDescent="0.3">
      <c r="A1364" s="13" t="s">
        <v>604</v>
      </c>
      <c r="B1364" s="13" t="s">
        <v>15</v>
      </c>
      <c r="C1364" s="13" t="s">
        <v>60</v>
      </c>
      <c r="D1364" s="14" t="s">
        <v>605</v>
      </c>
      <c r="E1364" s="15">
        <v>1.81</v>
      </c>
      <c r="F1364" s="15">
        <v>646.07000000000005</v>
      </c>
      <c r="G1364" s="16">
        <f>ROUND(E1364*F1364,2)</f>
        <v>1169.3900000000001</v>
      </c>
    </row>
    <row r="1365" spans="1:7" x14ac:dyDescent="0.3">
      <c r="A1365" s="13" t="s">
        <v>333</v>
      </c>
      <c r="B1365" s="13" t="s">
        <v>15</v>
      </c>
      <c r="C1365" s="13" t="s">
        <v>60</v>
      </c>
      <c r="D1365" s="14" t="s">
        <v>334</v>
      </c>
      <c r="E1365" s="15">
        <v>2.17</v>
      </c>
      <c r="F1365" s="15">
        <v>693.4</v>
      </c>
      <c r="G1365" s="16">
        <f>ROUND(E1365*F1365,2)</f>
        <v>1504.68</v>
      </c>
    </row>
    <row r="1366" spans="1:7" ht="31.2" x14ac:dyDescent="0.3">
      <c r="A1366" s="13" t="s">
        <v>432</v>
      </c>
      <c r="B1366" s="13" t="s">
        <v>15</v>
      </c>
      <c r="C1366" s="13" t="s">
        <v>60</v>
      </c>
      <c r="D1366" s="14" t="s">
        <v>433</v>
      </c>
      <c r="E1366" s="15">
        <v>0.47</v>
      </c>
      <c r="F1366" s="15">
        <v>700.07</v>
      </c>
      <c r="G1366" s="16">
        <f>ROUND(E1366*F1366,2)</f>
        <v>329.03</v>
      </c>
    </row>
    <row r="1367" spans="1:7" x14ac:dyDescent="0.3">
      <c r="A1367" s="13" t="s">
        <v>335</v>
      </c>
      <c r="B1367" s="13" t="s">
        <v>15</v>
      </c>
      <c r="C1367" s="13" t="s">
        <v>91</v>
      </c>
      <c r="D1367" s="14" t="s">
        <v>336</v>
      </c>
      <c r="E1367" s="15">
        <v>10.25</v>
      </c>
      <c r="F1367" s="15">
        <v>367.46</v>
      </c>
      <c r="G1367" s="16">
        <f>ROUND(E1367*F1367,2)</f>
        <v>3766.47</v>
      </c>
    </row>
    <row r="1368" spans="1:7" x14ac:dyDescent="0.3">
      <c r="A1368" s="13" t="s">
        <v>606</v>
      </c>
      <c r="B1368" s="13" t="s">
        <v>15</v>
      </c>
      <c r="C1368" s="13" t="s">
        <v>60</v>
      </c>
      <c r="D1368" s="14" t="s">
        <v>607</v>
      </c>
      <c r="E1368" s="15">
        <v>45.44</v>
      </c>
      <c r="F1368" s="15">
        <v>492.15</v>
      </c>
      <c r="G1368" s="16">
        <f>ROUND(E1368*F1368,2)</f>
        <v>22363.3</v>
      </c>
    </row>
    <row r="1369" spans="1:7" x14ac:dyDescent="0.3">
      <c r="A1369" s="17"/>
      <c r="B1369" s="17"/>
      <c r="C1369" s="17"/>
      <c r="D1369" s="18" t="s">
        <v>664</v>
      </c>
      <c r="E1369" s="15">
        <v>1</v>
      </c>
      <c r="F1369" s="12">
        <f>SUM(G1351:G1368)</f>
        <v>65542.62999999999</v>
      </c>
      <c r="G1369" s="12">
        <f>ROUND(F1369*E1369,2)</f>
        <v>65542.63</v>
      </c>
    </row>
    <row r="1370" spans="1:7" ht="1.05" customHeight="1" x14ac:dyDescent="0.3">
      <c r="A1370" s="20"/>
      <c r="B1370" s="20"/>
      <c r="C1370" s="20"/>
      <c r="D1370" s="21"/>
      <c r="E1370" s="20"/>
      <c r="F1370" s="20"/>
      <c r="G1370" s="20"/>
    </row>
    <row r="1371" spans="1:7" x14ac:dyDescent="0.3">
      <c r="A1371" s="22" t="s">
        <v>665</v>
      </c>
      <c r="B1371" s="22" t="s">
        <v>11</v>
      </c>
      <c r="C1371" s="22" t="s">
        <v>12</v>
      </c>
      <c r="D1371" s="23" t="s">
        <v>109</v>
      </c>
      <c r="E1371" s="12">
        <f>E1374</f>
        <v>1</v>
      </c>
      <c r="F1371" s="12">
        <f>F1374</f>
        <v>19577.670000000002</v>
      </c>
      <c r="G1371" s="12">
        <f>G1374</f>
        <v>19577.669999999998</v>
      </c>
    </row>
    <row r="1372" spans="1:7" ht="31.2" x14ac:dyDescent="0.3">
      <c r="A1372" s="13" t="s">
        <v>110</v>
      </c>
      <c r="B1372" s="13" t="s">
        <v>15</v>
      </c>
      <c r="C1372" s="13" t="s">
        <v>112</v>
      </c>
      <c r="D1372" s="14" t="s">
        <v>111</v>
      </c>
      <c r="E1372" s="15">
        <v>691.18</v>
      </c>
      <c r="F1372" s="15">
        <v>27.41</v>
      </c>
      <c r="G1372" s="16">
        <f>ROUND(E1372*F1372,2)</f>
        <v>18945.240000000002</v>
      </c>
    </row>
    <row r="1373" spans="1:7" ht="31.2" x14ac:dyDescent="0.3">
      <c r="A1373" s="13" t="s">
        <v>499</v>
      </c>
      <c r="B1373" s="13" t="s">
        <v>15</v>
      </c>
      <c r="C1373" s="13" t="s">
        <v>112</v>
      </c>
      <c r="D1373" s="14" t="s">
        <v>500</v>
      </c>
      <c r="E1373" s="15">
        <v>30.42</v>
      </c>
      <c r="F1373" s="15">
        <v>20.79</v>
      </c>
      <c r="G1373" s="16">
        <f>ROUND(E1373*F1373,2)</f>
        <v>632.42999999999995</v>
      </c>
    </row>
    <row r="1374" spans="1:7" x14ac:dyDescent="0.3">
      <c r="A1374" s="17"/>
      <c r="B1374" s="17"/>
      <c r="C1374" s="17"/>
      <c r="D1374" s="18" t="s">
        <v>666</v>
      </c>
      <c r="E1374" s="15">
        <v>1</v>
      </c>
      <c r="F1374" s="12">
        <f>SUM(G1372:G1373)</f>
        <v>19577.670000000002</v>
      </c>
      <c r="G1374" s="12">
        <f>ROUND(F1374*E1374,2)</f>
        <v>19577.669999999998</v>
      </c>
    </row>
    <row r="1375" spans="1:7" ht="1.05" customHeight="1" x14ac:dyDescent="0.3">
      <c r="A1375" s="20"/>
      <c r="B1375" s="20"/>
      <c r="C1375" s="20"/>
      <c r="D1375" s="21"/>
      <c r="E1375" s="20"/>
      <c r="F1375" s="20"/>
      <c r="G1375" s="20"/>
    </row>
    <row r="1376" spans="1:7" x14ac:dyDescent="0.3">
      <c r="A1376" s="22" t="s">
        <v>667</v>
      </c>
      <c r="B1376" s="22" t="s">
        <v>11</v>
      </c>
      <c r="C1376" s="22" t="s">
        <v>12</v>
      </c>
      <c r="D1376" s="23" t="s">
        <v>115</v>
      </c>
      <c r="E1376" s="12">
        <f>E1385</f>
        <v>1</v>
      </c>
      <c r="F1376" s="12">
        <f>F1385</f>
        <v>30748.529999999995</v>
      </c>
      <c r="G1376" s="12">
        <f>G1385</f>
        <v>30748.53</v>
      </c>
    </row>
    <row r="1377" spans="1:7" x14ac:dyDescent="0.3">
      <c r="A1377" s="13" t="s">
        <v>116</v>
      </c>
      <c r="B1377" s="13" t="s">
        <v>15</v>
      </c>
      <c r="C1377" s="13" t="s">
        <v>112</v>
      </c>
      <c r="D1377" s="14" t="s">
        <v>117</v>
      </c>
      <c r="E1377" s="15">
        <v>321.01</v>
      </c>
      <c r="F1377" s="15">
        <v>1.96</v>
      </c>
      <c r="G1377" s="16">
        <f>ROUND(E1377*F1377,2)</f>
        <v>629.17999999999995</v>
      </c>
    </row>
    <row r="1378" spans="1:7" ht="31.2" x14ac:dyDescent="0.3">
      <c r="A1378" s="13" t="s">
        <v>118</v>
      </c>
      <c r="B1378" s="13" t="s">
        <v>15</v>
      </c>
      <c r="C1378" s="13" t="s">
        <v>112</v>
      </c>
      <c r="D1378" s="14" t="s">
        <v>119</v>
      </c>
      <c r="E1378" s="15">
        <v>1293.1500000000001</v>
      </c>
      <c r="F1378" s="15">
        <v>8.4</v>
      </c>
      <c r="G1378" s="16">
        <f>ROUND(E1378*F1378,2)</f>
        <v>10862.46</v>
      </c>
    </row>
    <row r="1379" spans="1:7" x14ac:dyDescent="0.3">
      <c r="A1379" s="13" t="s">
        <v>503</v>
      </c>
      <c r="B1379" s="13" t="s">
        <v>15</v>
      </c>
      <c r="C1379" s="13" t="s">
        <v>112</v>
      </c>
      <c r="D1379" s="14" t="s">
        <v>504</v>
      </c>
      <c r="E1379" s="15">
        <v>1749.33</v>
      </c>
      <c r="F1379" s="15">
        <v>3.02</v>
      </c>
      <c r="G1379" s="16">
        <f>ROUND(E1379*F1379,2)</f>
        <v>5282.98</v>
      </c>
    </row>
    <row r="1380" spans="1:7" ht="31.2" x14ac:dyDescent="0.3">
      <c r="A1380" s="13" t="s">
        <v>120</v>
      </c>
      <c r="B1380" s="13" t="s">
        <v>15</v>
      </c>
      <c r="C1380" s="13" t="s">
        <v>112</v>
      </c>
      <c r="D1380" s="14" t="s">
        <v>121</v>
      </c>
      <c r="E1380" s="15">
        <v>228.79</v>
      </c>
      <c r="F1380" s="15">
        <v>8.4700000000000006</v>
      </c>
      <c r="G1380" s="16">
        <f>ROUND(E1380*F1380,2)</f>
        <v>1937.85</v>
      </c>
    </row>
    <row r="1381" spans="1:7" ht="31.2" x14ac:dyDescent="0.3">
      <c r="A1381" s="13" t="s">
        <v>122</v>
      </c>
      <c r="B1381" s="13" t="s">
        <v>15</v>
      </c>
      <c r="C1381" s="13" t="s">
        <v>112</v>
      </c>
      <c r="D1381" s="14" t="s">
        <v>123</v>
      </c>
      <c r="E1381" s="15">
        <v>456.18</v>
      </c>
      <c r="F1381" s="15">
        <v>11.87</v>
      </c>
      <c r="G1381" s="16">
        <f>ROUND(E1381*F1381,2)</f>
        <v>5414.86</v>
      </c>
    </row>
    <row r="1382" spans="1:7" ht="31.2" x14ac:dyDescent="0.3">
      <c r="A1382" s="13" t="s">
        <v>124</v>
      </c>
      <c r="B1382" s="13" t="s">
        <v>15</v>
      </c>
      <c r="C1382" s="13" t="s">
        <v>112</v>
      </c>
      <c r="D1382" s="14" t="s">
        <v>125</v>
      </c>
      <c r="E1382" s="15">
        <v>97.2</v>
      </c>
      <c r="F1382" s="15">
        <v>9.4600000000000009</v>
      </c>
      <c r="G1382" s="16">
        <f>ROUND(E1382*F1382,2)</f>
        <v>919.51</v>
      </c>
    </row>
    <row r="1383" spans="1:7" x14ac:dyDescent="0.3">
      <c r="A1383" s="13" t="s">
        <v>126</v>
      </c>
      <c r="B1383" s="13" t="s">
        <v>15</v>
      </c>
      <c r="C1383" s="13" t="s">
        <v>28</v>
      </c>
      <c r="D1383" s="14" t="s">
        <v>127</v>
      </c>
      <c r="E1383" s="15">
        <v>921.78</v>
      </c>
      <c r="F1383" s="15">
        <v>4.16</v>
      </c>
      <c r="G1383" s="16">
        <f>ROUND(E1383*F1383,2)</f>
        <v>3834.6</v>
      </c>
    </row>
    <row r="1384" spans="1:7" x14ac:dyDescent="0.3">
      <c r="A1384" s="13" t="s">
        <v>128</v>
      </c>
      <c r="B1384" s="13" t="s">
        <v>15</v>
      </c>
      <c r="C1384" s="13" t="s">
        <v>28</v>
      </c>
      <c r="D1384" s="14" t="s">
        <v>129</v>
      </c>
      <c r="E1384" s="15">
        <v>413.99</v>
      </c>
      <c r="F1384" s="15">
        <v>4.51</v>
      </c>
      <c r="G1384" s="16">
        <f>ROUND(E1384*F1384,2)</f>
        <v>1867.09</v>
      </c>
    </row>
    <row r="1385" spans="1:7" x14ac:dyDescent="0.3">
      <c r="A1385" s="17"/>
      <c r="B1385" s="17"/>
      <c r="C1385" s="17"/>
      <c r="D1385" s="18" t="s">
        <v>668</v>
      </c>
      <c r="E1385" s="15">
        <v>1</v>
      </c>
      <c r="F1385" s="12">
        <f>SUM(G1377:G1384)</f>
        <v>30748.529999999995</v>
      </c>
      <c r="G1385" s="12">
        <f>ROUND(F1385*E1385,2)</f>
        <v>30748.53</v>
      </c>
    </row>
    <row r="1386" spans="1:7" ht="1.05" customHeight="1" x14ac:dyDescent="0.3">
      <c r="A1386" s="20"/>
      <c r="B1386" s="20"/>
      <c r="C1386" s="20"/>
      <c r="D1386" s="21"/>
      <c r="E1386" s="20"/>
      <c r="F1386" s="20"/>
      <c r="G1386" s="20"/>
    </row>
    <row r="1387" spans="1:7" x14ac:dyDescent="0.3">
      <c r="A1387" s="22" t="s">
        <v>669</v>
      </c>
      <c r="B1387" s="22" t="s">
        <v>11</v>
      </c>
      <c r="C1387" s="22" t="s">
        <v>12</v>
      </c>
      <c r="D1387" s="23" t="s">
        <v>132</v>
      </c>
      <c r="E1387" s="12">
        <f>E1390</f>
        <v>1</v>
      </c>
      <c r="F1387" s="12">
        <f>F1390</f>
        <v>17180.560000000001</v>
      </c>
      <c r="G1387" s="12">
        <f>G1390</f>
        <v>17180.560000000001</v>
      </c>
    </row>
    <row r="1388" spans="1:7" ht="31.2" x14ac:dyDescent="0.3">
      <c r="A1388" s="13" t="s">
        <v>133</v>
      </c>
      <c r="B1388" s="13" t="s">
        <v>15</v>
      </c>
      <c r="C1388" s="13" t="s">
        <v>112</v>
      </c>
      <c r="D1388" s="14" t="s">
        <v>134</v>
      </c>
      <c r="E1388" s="15">
        <v>351.32</v>
      </c>
      <c r="F1388" s="15">
        <v>42.32</v>
      </c>
      <c r="G1388" s="16">
        <f>ROUND(E1388*F1388,2)</f>
        <v>14867.86</v>
      </c>
    </row>
    <row r="1389" spans="1:7" ht="31.2" x14ac:dyDescent="0.3">
      <c r="A1389" s="13" t="s">
        <v>135</v>
      </c>
      <c r="B1389" s="13" t="s">
        <v>15</v>
      </c>
      <c r="C1389" s="13" t="s">
        <v>28</v>
      </c>
      <c r="D1389" s="14" t="s">
        <v>136</v>
      </c>
      <c r="E1389" s="15">
        <v>399.43</v>
      </c>
      <c r="F1389" s="15">
        <v>5.79</v>
      </c>
      <c r="G1389" s="16">
        <f>ROUND(E1389*F1389,2)</f>
        <v>2312.6999999999998</v>
      </c>
    </row>
    <row r="1390" spans="1:7" x14ac:dyDescent="0.3">
      <c r="A1390" s="17"/>
      <c r="B1390" s="17"/>
      <c r="C1390" s="17"/>
      <c r="D1390" s="18" t="s">
        <v>670</v>
      </c>
      <c r="E1390" s="15">
        <v>1</v>
      </c>
      <c r="F1390" s="12">
        <f>SUM(G1388:G1389)</f>
        <v>17180.560000000001</v>
      </c>
      <c r="G1390" s="12">
        <f>ROUND(F1390*E1390,2)</f>
        <v>17180.560000000001</v>
      </c>
    </row>
    <row r="1391" spans="1:7" ht="1.05" customHeight="1" x14ac:dyDescent="0.3">
      <c r="A1391" s="20"/>
      <c r="B1391" s="20"/>
      <c r="C1391" s="20"/>
      <c r="D1391" s="21"/>
      <c r="E1391" s="20"/>
      <c r="F1391" s="20"/>
      <c r="G1391" s="20"/>
    </row>
    <row r="1392" spans="1:7" x14ac:dyDescent="0.3">
      <c r="A1392" s="22" t="s">
        <v>671</v>
      </c>
      <c r="B1392" s="22" t="s">
        <v>11</v>
      </c>
      <c r="C1392" s="22" t="s">
        <v>12</v>
      </c>
      <c r="D1392" s="23" t="s">
        <v>347</v>
      </c>
      <c r="E1392" s="12">
        <f>E1394</f>
        <v>1</v>
      </c>
      <c r="F1392" s="12">
        <f>F1394</f>
        <v>5947.28</v>
      </c>
      <c r="G1392" s="12">
        <f>G1394</f>
        <v>5947.28</v>
      </c>
    </row>
    <row r="1393" spans="1:7" ht="31.2" x14ac:dyDescent="0.3">
      <c r="A1393" s="13" t="s">
        <v>348</v>
      </c>
      <c r="B1393" s="13" t="s">
        <v>15</v>
      </c>
      <c r="C1393" s="13" t="s">
        <v>22</v>
      </c>
      <c r="D1393" s="14" t="s">
        <v>349</v>
      </c>
      <c r="E1393" s="15">
        <v>138.02000000000001</v>
      </c>
      <c r="F1393" s="15">
        <v>43.09</v>
      </c>
      <c r="G1393" s="16">
        <f>ROUND(E1393*F1393,2)</f>
        <v>5947.28</v>
      </c>
    </row>
    <row r="1394" spans="1:7" x14ac:dyDescent="0.3">
      <c r="A1394" s="17"/>
      <c r="B1394" s="17"/>
      <c r="C1394" s="17"/>
      <c r="D1394" s="18" t="s">
        <v>672</v>
      </c>
      <c r="E1394" s="15">
        <v>1</v>
      </c>
      <c r="F1394" s="12">
        <f>G1393</f>
        <v>5947.28</v>
      </c>
      <c r="G1394" s="12">
        <f>ROUND(F1394*E1394,2)</f>
        <v>5947.28</v>
      </c>
    </row>
    <row r="1395" spans="1:7" ht="1.05" customHeight="1" x14ac:dyDescent="0.3">
      <c r="A1395" s="20"/>
      <c r="B1395" s="20"/>
      <c r="C1395" s="20"/>
      <c r="D1395" s="21"/>
      <c r="E1395" s="20"/>
      <c r="F1395" s="20"/>
      <c r="G1395" s="20"/>
    </row>
    <row r="1396" spans="1:7" x14ac:dyDescent="0.3">
      <c r="A1396" s="22" t="s">
        <v>673</v>
      </c>
      <c r="B1396" s="22" t="s">
        <v>11</v>
      </c>
      <c r="C1396" s="22" t="s">
        <v>12</v>
      </c>
      <c r="D1396" s="23" t="s">
        <v>141</v>
      </c>
      <c r="E1396" s="12">
        <f>E1399</f>
        <v>1</v>
      </c>
      <c r="F1396" s="12">
        <f>F1399</f>
        <v>3149.3900000000003</v>
      </c>
      <c r="G1396" s="12">
        <f>G1399</f>
        <v>3149.39</v>
      </c>
    </row>
    <row r="1397" spans="1:7" ht="31.2" x14ac:dyDescent="0.3">
      <c r="A1397" s="13" t="s">
        <v>142</v>
      </c>
      <c r="B1397" s="13" t="s">
        <v>15</v>
      </c>
      <c r="C1397" s="13" t="s">
        <v>28</v>
      </c>
      <c r="D1397" s="14" t="s">
        <v>143</v>
      </c>
      <c r="E1397" s="15">
        <v>46.8</v>
      </c>
      <c r="F1397" s="15">
        <v>61.92</v>
      </c>
      <c r="G1397" s="16">
        <f>ROUND(E1397*F1397,2)</f>
        <v>2897.86</v>
      </c>
    </row>
    <row r="1398" spans="1:7" x14ac:dyDescent="0.3">
      <c r="A1398" s="13" t="s">
        <v>144</v>
      </c>
      <c r="B1398" s="13" t="s">
        <v>15</v>
      </c>
      <c r="C1398" s="13" t="s">
        <v>112</v>
      </c>
      <c r="D1398" s="14" t="s">
        <v>145</v>
      </c>
      <c r="E1398" s="15">
        <v>6.54</v>
      </c>
      <c r="F1398" s="15">
        <v>38.46</v>
      </c>
      <c r="G1398" s="16">
        <f>ROUND(E1398*F1398,2)</f>
        <v>251.53</v>
      </c>
    </row>
    <row r="1399" spans="1:7" x14ac:dyDescent="0.3">
      <c r="A1399" s="17"/>
      <c r="B1399" s="17"/>
      <c r="C1399" s="17"/>
      <c r="D1399" s="18" t="s">
        <v>674</v>
      </c>
      <c r="E1399" s="15">
        <v>1</v>
      </c>
      <c r="F1399" s="12">
        <f>SUM(G1397:G1398)</f>
        <v>3149.3900000000003</v>
      </c>
      <c r="G1399" s="12">
        <f>ROUND(F1399*E1399,2)</f>
        <v>3149.39</v>
      </c>
    </row>
    <row r="1400" spans="1:7" ht="1.05" customHeight="1" x14ac:dyDescent="0.3">
      <c r="A1400" s="20"/>
      <c r="B1400" s="20"/>
      <c r="C1400" s="20"/>
      <c r="D1400" s="21"/>
      <c r="E1400" s="20"/>
      <c r="F1400" s="20"/>
      <c r="G1400" s="20"/>
    </row>
    <row r="1401" spans="1:7" x14ac:dyDescent="0.3">
      <c r="A1401" s="22" t="s">
        <v>675</v>
      </c>
      <c r="B1401" s="22" t="s">
        <v>11</v>
      </c>
      <c r="C1401" s="22" t="s">
        <v>12</v>
      </c>
      <c r="D1401" s="23" t="s">
        <v>148</v>
      </c>
      <c r="E1401" s="12">
        <f>E1407</f>
        <v>1</v>
      </c>
      <c r="F1401" s="12">
        <f>F1407</f>
        <v>27012.5</v>
      </c>
      <c r="G1401" s="12">
        <f>G1407</f>
        <v>27012.5</v>
      </c>
    </row>
    <row r="1402" spans="1:7" ht="31.2" x14ac:dyDescent="0.3">
      <c r="A1402" s="13" t="s">
        <v>149</v>
      </c>
      <c r="B1402" s="13" t="s">
        <v>15</v>
      </c>
      <c r="C1402" s="13" t="s">
        <v>151</v>
      </c>
      <c r="D1402" s="14" t="s">
        <v>150</v>
      </c>
      <c r="E1402" s="15">
        <v>2</v>
      </c>
      <c r="F1402" s="15">
        <v>249.6</v>
      </c>
      <c r="G1402" s="16">
        <f>ROUND(E1402*F1402,2)</f>
        <v>499.2</v>
      </c>
    </row>
    <row r="1403" spans="1:7" ht="31.2" x14ac:dyDescent="0.3">
      <c r="A1403" s="13" t="s">
        <v>152</v>
      </c>
      <c r="B1403" s="13" t="s">
        <v>15</v>
      </c>
      <c r="C1403" s="13" t="s">
        <v>151</v>
      </c>
      <c r="D1403" s="14" t="s">
        <v>153</v>
      </c>
      <c r="E1403" s="15">
        <v>2</v>
      </c>
      <c r="F1403" s="15">
        <v>424.61</v>
      </c>
      <c r="G1403" s="16">
        <f>ROUND(E1403*F1403,2)</f>
        <v>849.22</v>
      </c>
    </row>
    <row r="1404" spans="1:7" ht="31.2" x14ac:dyDescent="0.3">
      <c r="A1404" s="13" t="s">
        <v>517</v>
      </c>
      <c r="B1404" s="13" t="s">
        <v>15</v>
      </c>
      <c r="C1404" s="13" t="s">
        <v>151</v>
      </c>
      <c r="D1404" s="14" t="s">
        <v>518</v>
      </c>
      <c r="E1404" s="15">
        <v>4</v>
      </c>
      <c r="F1404" s="15">
        <v>714</v>
      </c>
      <c r="G1404" s="16">
        <f>ROUND(E1404*F1404,2)</f>
        <v>2856</v>
      </c>
    </row>
    <row r="1405" spans="1:7" ht="31.2" x14ac:dyDescent="0.3">
      <c r="A1405" s="13" t="s">
        <v>519</v>
      </c>
      <c r="B1405" s="13" t="s">
        <v>15</v>
      </c>
      <c r="C1405" s="13" t="s">
        <v>151</v>
      </c>
      <c r="D1405" s="14" t="s">
        <v>520</v>
      </c>
      <c r="E1405" s="15">
        <v>22</v>
      </c>
      <c r="F1405" s="15">
        <v>538.34</v>
      </c>
      <c r="G1405" s="16">
        <f>ROUND(E1405*F1405,2)</f>
        <v>11843.48</v>
      </c>
    </row>
    <row r="1406" spans="1:7" ht="31.2" x14ac:dyDescent="0.3">
      <c r="A1406" s="13" t="s">
        <v>521</v>
      </c>
      <c r="B1406" s="13" t="s">
        <v>15</v>
      </c>
      <c r="C1406" s="13" t="s">
        <v>363</v>
      </c>
      <c r="D1406" s="14" t="s">
        <v>522</v>
      </c>
      <c r="E1406" s="15">
        <v>470.18</v>
      </c>
      <c r="F1406" s="15">
        <v>23.32</v>
      </c>
      <c r="G1406" s="16">
        <f>ROUND(E1406*F1406,2)</f>
        <v>10964.6</v>
      </c>
    </row>
    <row r="1407" spans="1:7" x14ac:dyDescent="0.3">
      <c r="A1407" s="17"/>
      <c r="B1407" s="17"/>
      <c r="C1407" s="17"/>
      <c r="D1407" s="18" t="s">
        <v>676</v>
      </c>
      <c r="E1407" s="15">
        <v>1</v>
      </c>
      <c r="F1407" s="12">
        <f>SUM(G1402:G1406)</f>
        <v>27012.5</v>
      </c>
      <c r="G1407" s="12">
        <f>ROUND(F1407*E1407,2)</f>
        <v>27012.5</v>
      </c>
    </row>
    <row r="1408" spans="1:7" ht="1.05" customHeight="1" x14ac:dyDescent="0.3">
      <c r="A1408" s="20"/>
      <c r="B1408" s="20"/>
      <c r="C1408" s="20"/>
      <c r="D1408" s="21"/>
      <c r="E1408" s="20"/>
      <c r="F1408" s="20"/>
      <c r="G1408" s="20"/>
    </row>
    <row r="1409" spans="1:7" x14ac:dyDescent="0.3">
      <c r="A1409" s="22" t="s">
        <v>677</v>
      </c>
      <c r="B1409" s="22" t="s">
        <v>11</v>
      </c>
      <c r="C1409" s="22" t="s">
        <v>12</v>
      </c>
      <c r="D1409" s="23" t="s">
        <v>360</v>
      </c>
      <c r="E1409" s="12">
        <f>E1411</f>
        <v>1</v>
      </c>
      <c r="F1409" s="12">
        <f>F1411</f>
        <v>4676.05</v>
      </c>
      <c r="G1409" s="12">
        <f>G1411</f>
        <v>4676.05</v>
      </c>
    </row>
    <row r="1410" spans="1:7" ht="31.2" x14ac:dyDescent="0.3">
      <c r="A1410" s="13" t="s">
        <v>361</v>
      </c>
      <c r="B1410" s="13" t="s">
        <v>15</v>
      </c>
      <c r="C1410" s="13" t="s">
        <v>363</v>
      </c>
      <c r="D1410" s="14" t="s">
        <v>362</v>
      </c>
      <c r="E1410" s="15">
        <v>525.99</v>
      </c>
      <c r="F1410" s="15">
        <v>8.89</v>
      </c>
      <c r="G1410" s="16">
        <f>ROUND(E1410*F1410,2)</f>
        <v>4676.05</v>
      </c>
    </row>
    <row r="1411" spans="1:7" x14ac:dyDescent="0.3">
      <c r="A1411" s="17"/>
      <c r="B1411" s="17"/>
      <c r="C1411" s="17"/>
      <c r="D1411" s="18" t="s">
        <v>678</v>
      </c>
      <c r="E1411" s="15">
        <v>1</v>
      </c>
      <c r="F1411" s="12">
        <f>G1410</f>
        <v>4676.05</v>
      </c>
      <c r="G1411" s="12">
        <f>ROUND(F1411*E1411,2)</f>
        <v>4676.05</v>
      </c>
    </row>
    <row r="1412" spans="1:7" ht="1.05" customHeight="1" x14ac:dyDescent="0.3">
      <c r="A1412" s="20"/>
      <c r="B1412" s="20"/>
      <c r="C1412" s="20"/>
      <c r="D1412" s="21"/>
      <c r="E1412" s="20"/>
      <c r="F1412" s="20"/>
      <c r="G1412" s="20"/>
    </row>
    <row r="1413" spans="1:7" x14ac:dyDescent="0.3">
      <c r="A1413" s="22" t="s">
        <v>679</v>
      </c>
      <c r="B1413" s="22" t="s">
        <v>11</v>
      </c>
      <c r="C1413" s="22" t="s">
        <v>12</v>
      </c>
      <c r="D1413" s="23" t="s">
        <v>156</v>
      </c>
      <c r="E1413" s="12">
        <f>E1418</f>
        <v>1</v>
      </c>
      <c r="F1413" s="12">
        <f>F1418</f>
        <v>20212.09</v>
      </c>
      <c r="G1413" s="12">
        <f>G1418</f>
        <v>20212.09</v>
      </c>
    </row>
    <row r="1414" spans="1:7" x14ac:dyDescent="0.3">
      <c r="A1414" s="13" t="s">
        <v>157</v>
      </c>
      <c r="B1414" s="13" t="s">
        <v>15</v>
      </c>
      <c r="C1414" s="13" t="s">
        <v>112</v>
      </c>
      <c r="D1414" s="14" t="s">
        <v>158</v>
      </c>
      <c r="E1414" s="15">
        <v>2137.42</v>
      </c>
      <c r="F1414" s="15">
        <v>4.0199999999999996</v>
      </c>
      <c r="G1414" s="16">
        <f>ROUND(E1414*F1414,2)</f>
        <v>8592.43</v>
      </c>
    </row>
    <row r="1415" spans="1:7" x14ac:dyDescent="0.3">
      <c r="A1415" s="13" t="s">
        <v>159</v>
      </c>
      <c r="B1415" s="13" t="s">
        <v>15</v>
      </c>
      <c r="C1415" s="13" t="s">
        <v>112</v>
      </c>
      <c r="D1415" s="14" t="s">
        <v>160</v>
      </c>
      <c r="E1415" s="15">
        <v>1452.45</v>
      </c>
      <c r="F1415" s="15">
        <v>4.37</v>
      </c>
      <c r="G1415" s="16">
        <f>ROUND(E1415*F1415,2)</f>
        <v>6347.21</v>
      </c>
    </row>
    <row r="1416" spans="1:7" x14ac:dyDescent="0.3">
      <c r="A1416" s="13" t="s">
        <v>527</v>
      </c>
      <c r="B1416" s="13" t="s">
        <v>15</v>
      </c>
      <c r="C1416" s="13" t="s">
        <v>112</v>
      </c>
      <c r="D1416" s="14" t="s">
        <v>528</v>
      </c>
      <c r="E1416" s="15">
        <v>228.79</v>
      </c>
      <c r="F1416" s="15">
        <v>8.35</v>
      </c>
      <c r="G1416" s="16">
        <f>ROUND(E1416*F1416,2)</f>
        <v>1910.4</v>
      </c>
    </row>
    <row r="1417" spans="1:7" x14ac:dyDescent="0.3">
      <c r="A1417" s="13" t="s">
        <v>161</v>
      </c>
      <c r="B1417" s="13" t="s">
        <v>15</v>
      </c>
      <c r="C1417" s="13" t="s">
        <v>112</v>
      </c>
      <c r="D1417" s="14" t="s">
        <v>162</v>
      </c>
      <c r="E1417" s="15">
        <v>456.18</v>
      </c>
      <c r="F1417" s="15">
        <v>7.37</v>
      </c>
      <c r="G1417" s="16">
        <f>ROUND(E1417*F1417,2)</f>
        <v>3362.05</v>
      </c>
    </row>
    <row r="1418" spans="1:7" x14ac:dyDescent="0.3">
      <c r="A1418" s="17"/>
      <c r="B1418" s="17"/>
      <c r="C1418" s="17"/>
      <c r="D1418" s="18" t="s">
        <v>680</v>
      </c>
      <c r="E1418" s="15">
        <v>1</v>
      </c>
      <c r="F1418" s="12">
        <f>SUM(G1414:G1417)</f>
        <v>20212.09</v>
      </c>
      <c r="G1418" s="12">
        <f>ROUND(F1418*E1418,2)</f>
        <v>20212.09</v>
      </c>
    </row>
    <row r="1419" spans="1:7" ht="1.05" customHeight="1" x14ac:dyDescent="0.3">
      <c r="A1419" s="20"/>
      <c r="B1419" s="20"/>
      <c r="C1419" s="20"/>
      <c r="D1419" s="21"/>
      <c r="E1419" s="20"/>
      <c r="F1419" s="20"/>
      <c r="G1419" s="20"/>
    </row>
    <row r="1420" spans="1:7" x14ac:dyDescent="0.3">
      <c r="A1420" s="22" t="s">
        <v>681</v>
      </c>
      <c r="B1420" s="22" t="s">
        <v>11</v>
      </c>
      <c r="C1420" s="22" t="s">
        <v>12</v>
      </c>
      <c r="D1420" s="23" t="s">
        <v>531</v>
      </c>
      <c r="E1420" s="12">
        <f>E1424</f>
        <v>1</v>
      </c>
      <c r="F1420" s="12">
        <f>F1424</f>
        <v>9191.83</v>
      </c>
      <c r="G1420" s="12">
        <f>G1424</f>
        <v>9191.83</v>
      </c>
    </row>
    <row r="1421" spans="1:7" ht="31.2" x14ac:dyDescent="0.3">
      <c r="A1421" s="13" t="s">
        <v>532</v>
      </c>
      <c r="B1421" s="13" t="s">
        <v>15</v>
      </c>
      <c r="C1421" s="13" t="s">
        <v>534</v>
      </c>
      <c r="D1421" s="14" t="s">
        <v>533</v>
      </c>
      <c r="E1421" s="15">
        <v>38.049999999999997</v>
      </c>
      <c r="F1421" s="15">
        <v>53.17</v>
      </c>
      <c r="G1421" s="16">
        <f>ROUND(E1421*F1421,2)</f>
        <v>2023.12</v>
      </c>
    </row>
    <row r="1422" spans="1:7" x14ac:dyDescent="0.3">
      <c r="A1422" s="13" t="s">
        <v>535</v>
      </c>
      <c r="B1422" s="13" t="s">
        <v>15</v>
      </c>
      <c r="C1422" s="13" t="s">
        <v>534</v>
      </c>
      <c r="D1422" s="14" t="s">
        <v>536</v>
      </c>
      <c r="E1422" s="15">
        <v>44.94</v>
      </c>
      <c r="F1422" s="15">
        <v>71.430000000000007</v>
      </c>
      <c r="G1422" s="16">
        <f>ROUND(E1422*F1422,2)</f>
        <v>3210.06</v>
      </c>
    </row>
    <row r="1423" spans="1:7" x14ac:dyDescent="0.3">
      <c r="A1423" s="13" t="s">
        <v>537</v>
      </c>
      <c r="B1423" s="13" t="s">
        <v>15</v>
      </c>
      <c r="C1423" s="13" t="s">
        <v>534</v>
      </c>
      <c r="D1423" s="14" t="s">
        <v>538</v>
      </c>
      <c r="E1423" s="15">
        <v>55.42</v>
      </c>
      <c r="F1423" s="15">
        <v>71.430000000000007</v>
      </c>
      <c r="G1423" s="16">
        <f>ROUND(E1423*F1423,2)</f>
        <v>3958.65</v>
      </c>
    </row>
    <row r="1424" spans="1:7" x14ac:dyDescent="0.3">
      <c r="A1424" s="17"/>
      <c r="B1424" s="17"/>
      <c r="C1424" s="17"/>
      <c r="D1424" s="18" t="s">
        <v>682</v>
      </c>
      <c r="E1424" s="15">
        <v>1</v>
      </c>
      <c r="F1424" s="12">
        <f>SUM(G1421:G1423)</f>
        <v>9191.83</v>
      </c>
      <c r="G1424" s="12">
        <f>ROUND(F1424*E1424,2)</f>
        <v>9191.83</v>
      </c>
    </row>
    <row r="1425" spans="1:7" ht="1.05" customHeight="1" x14ac:dyDescent="0.3">
      <c r="A1425" s="20"/>
      <c r="B1425" s="20"/>
      <c r="C1425" s="20"/>
      <c r="D1425" s="21"/>
      <c r="E1425" s="20"/>
      <c r="F1425" s="20"/>
      <c r="G1425" s="20"/>
    </row>
    <row r="1426" spans="1:7" x14ac:dyDescent="0.3">
      <c r="A1426" s="22" t="s">
        <v>683</v>
      </c>
      <c r="B1426" s="22" t="s">
        <v>11</v>
      </c>
      <c r="C1426" s="22" t="s">
        <v>12</v>
      </c>
      <c r="D1426" s="23" t="s">
        <v>165</v>
      </c>
      <c r="E1426" s="12">
        <f>E1433</f>
        <v>1</v>
      </c>
      <c r="F1426" s="12">
        <f>F1433</f>
        <v>9975.9100000000017</v>
      </c>
      <c r="G1426" s="12">
        <f>G1433</f>
        <v>9975.91</v>
      </c>
    </row>
    <row r="1427" spans="1:7" x14ac:dyDescent="0.3">
      <c r="A1427" s="13" t="s">
        <v>172</v>
      </c>
      <c r="B1427" s="13" t="s">
        <v>15</v>
      </c>
      <c r="C1427" s="13" t="s">
        <v>28</v>
      </c>
      <c r="D1427" s="14" t="s">
        <v>173</v>
      </c>
      <c r="E1427" s="15">
        <v>10</v>
      </c>
      <c r="F1427" s="15">
        <v>122.02</v>
      </c>
      <c r="G1427" s="16">
        <f>ROUND(E1427*F1427,2)</f>
        <v>1220.2</v>
      </c>
    </row>
    <row r="1428" spans="1:7" x14ac:dyDescent="0.3">
      <c r="A1428" s="13" t="s">
        <v>541</v>
      </c>
      <c r="B1428" s="13" t="s">
        <v>15</v>
      </c>
      <c r="C1428" s="13" t="s">
        <v>22</v>
      </c>
      <c r="D1428" s="14" t="s">
        <v>542</v>
      </c>
      <c r="E1428" s="15">
        <v>24.88</v>
      </c>
      <c r="F1428" s="15">
        <v>212.06</v>
      </c>
      <c r="G1428" s="16">
        <f>ROUND(E1428*F1428,2)</f>
        <v>5276.05</v>
      </c>
    </row>
    <row r="1429" spans="1:7" x14ac:dyDescent="0.3">
      <c r="A1429" s="13" t="s">
        <v>543</v>
      </c>
      <c r="B1429" s="13" t="s">
        <v>15</v>
      </c>
      <c r="C1429" s="13" t="s">
        <v>91</v>
      </c>
      <c r="D1429" s="14" t="s">
        <v>544</v>
      </c>
      <c r="E1429" s="15">
        <v>2.46</v>
      </c>
      <c r="F1429" s="15">
        <v>113.44</v>
      </c>
      <c r="G1429" s="16">
        <f>ROUND(E1429*F1429,2)</f>
        <v>279.06</v>
      </c>
    </row>
    <row r="1430" spans="1:7" ht="31.2" x14ac:dyDescent="0.3">
      <c r="A1430" s="13" t="s">
        <v>545</v>
      </c>
      <c r="B1430" s="13" t="s">
        <v>15</v>
      </c>
      <c r="C1430" s="13" t="s">
        <v>22</v>
      </c>
      <c r="D1430" s="14" t="s">
        <v>546</v>
      </c>
      <c r="E1430" s="15">
        <v>22.68</v>
      </c>
      <c r="F1430" s="15">
        <v>44.13</v>
      </c>
      <c r="G1430" s="16">
        <f>ROUND(E1430*F1430,2)</f>
        <v>1000.87</v>
      </c>
    </row>
    <row r="1431" spans="1:7" x14ac:dyDescent="0.3">
      <c r="A1431" s="13" t="s">
        <v>628</v>
      </c>
      <c r="B1431" s="13" t="s">
        <v>15</v>
      </c>
      <c r="C1431" s="13" t="s">
        <v>22</v>
      </c>
      <c r="D1431" s="14" t="s">
        <v>629</v>
      </c>
      <c r="E1431" s="15">
        <v>22.75</v>
      </c>
      <c r="F1431" s="15">
        <v>49.72</v>
      </c>
      <c r="G1431" s="16">
        <f>ROUND(E1431*F1431,2)</f>
        <v>1131.1300000000001</v>
      </c>
    </row>
    <row r="1432" spans="1:7" x14ac:dyDescent="0.3">
      <c r="A1432" s="13" t="s">
        <v>630</v>
      </c>
      <c r="B1432" s="13" t="s">
        <v>15</v>
      </c>
      <c r="C1432" s="13" t="s">
        <v>28</v>
      </c>
      <c r="D1432" s="14" t="s">
        <v>631</v>
      </c>
      <c r="E1432" s="15">
        <v>26</v>
      </c>
      <c r="F1432" s="15">
        <v>41.1</v>
      </c>
      <c r="G1432" s="16">
        <f>ROUND(E1432*F1432,2)</f>
        <v>1068.5999999999999</v>
      </c>
    </row>
    <row r="1433" spans="1:7" x14ac:dyDescent="0.3">
      <c r="A1433" s="17"/>
      <c r="B1433" s="17"/>
      <c r="C1433" s="17"/>
      <c r="D1433" s="18" t="s">
        <v>684</v>
      </c>
      <c r="E1433" s="15">
        <v>1</v>
      </c>
      <c r="F1433" s="12">
        <f>SUM(G1427:G1432)</f>
        <v>9975.9100000000017</v>
      </c>
      <c r="G1433" s="12">
        <f>ROUND(F1433*E1433,2)</f>
        <v>9975.91</v>
      </c>
    </row>
    <row r="1434" spans="1:7" ht="1.05" customHeight="1" x14ac:dyDescent="0.3">
      <c r="A1434" s="20"/>
      <c r="B1434" s="20"/>
      <c r="C1434" s="20"/>
      <c r="D1434" s="21"/>
      <c r="E1434" s="20"/>
      <c r="F1434" s="20"/>
      <c r="G1434" s="20"/>
    </row>
    <row r="1435" spans="1:7" x14ac:dyDescent="0.3">
      <c r="A1435" s="22" t="s">
        <v>685</v>
      </c>
      <c r="B1435" s="22" t="s">
        <v>11</v>
      </c>
      <c r="C1435" s="22" t="s">
        <v>12</v>
      </c>
      <c r="D1435" s="23" t="s">
        <v>176</v>
      </c>
      <c r="E1435" s="12">
        <f>E1485</f>
        <v>1</v>
      </c>
      <c r="F1435" s="12">
        <f>F1485</f>
        <v>23569.119999999999</v>
      </c>
      <c r="G1435" s="12">
        <f>G1485</f>
        <v>23569.119999999999</v>
      </c>
    </row>
    <row r="1436" spans="1:7" ht="31.2" x14ac:dyDescent="0.3">
      <c r="A1436" s="22" t="s">
        <v>686</v>
      </c>
      <c r="B1436" s="22" t="s">
        <v>11</v>
      </c>
      <c r="C1436" s="22" t="s">
        <v>12</v>
      </c>
      <c r="D1436" s="23" t="s">
        <v>229</v>
      </c>
      <c r="E1436" s="12">
        <f>E1449</f>
        <v>1</v>
      </c>
      <c r="F1436" s="12">
        <f>F1449</f>
        <v>3305.2500000000005</v>
      </c>
      <c r="G1436" s="12">
        <f>G1449</f>
        <v>3305.25</v>
      </c>
    </row>
    <row r="1437" spans="1:7" x14ac:dyDescent="0.3">
      <c r="A1437" s="13" t="s">
        <v>230</v>
      </c>
      <c r="B1437" s="13" t="s">
        <v>15</v>
      </c>
      <c r="C1437" s="13" t="s">
        <v>28</v>
      </c>
      <c r="D1437" s="14" t="s">
        <v>231</v>
      </c>
      <c r="E1437" s="15">
        <v>253.4</v>
      </c>
      <c r="F1437" s="15">
        <v>1.9</v>
      </c>
      <c r="G1437" s="16">
        <f>ROUND(E1437*F1437,2)</f>
        <v>481.46</v>
      </c>
    </row>
    <row r="1438" spans="1:7" x14ac:dyDescent="0.3">
      <c r="A1438" s="13" t="s">
        <v>232</v>
      </c>
      <c r="B1438" s="13" t="s">
        <v>15</v>
      </c>
      <c r="C1438" s="13" t="s">
        <v>28</v>
      </c>
      <c r="D1438" s="14" t="s">
        <v>233</v>
      </c>
      <c r="E1438" s="15">
        <v>253.4</v>
      </c>
      <c r="F1438" s="15">
        <v>4.3499999999999996</v>
      </c>
      <c r="G1438" s="16">
        <f>ROUND(E1438*F1438,2)</f>
        <v>1102.29</v>
      </c>
    </row>
    <row r="1439" spans="1:7" x14ac:dyDescent="0.3">
      <c r="A1439" s="13" t="s">
        <v>550</v>
      </c>
      <c r="B1439" s="13" t="s">
        <v>15</v>
      </c>
      <c r="C1439" s="13" t="s">
        <v>28</v>
      </c>
      <c r="D1439" s="14" t="s">
        <v>551</v>
      </c>
      <c r="E1439" s="15">
        <v>168.5</v>
      </c>
      <c r="F1439" s="15">
        <v>2.98</v>
      </c>
      <c r="G1439" s="16">
        <f>ROUND(E1439*F1439,2)</f>
        <v>502.13</v>
      </c>
    </row>
    <row r="1440" spans="1:7" x14ac:dyDescent="0.3">
      <c r="A1440" s="13" t="s">
        <v>234</v>
      </c>
      <c r="B1440" s="13" t="s">
        <v>15</v>
      </c>
      <c r="C1440" s="13" t="s">
        <v>28</v>
      </c>
      <c r="D1440" s="14" t="s">
        <v>235</v>
      </c>
      <c r="E1440" s="15">
        <v>62.15</v>
      </c>
      <c r="F1440" s="15">
        <v>3.07</v>
      </c>
      <c r="G1440" s="16">
        <f>ROUND(E1440*F1440,2)</f>
        <v>190.8</v>
      </c>
    </row>
    <row r="1441" spans="1:7" x14ac:dyDescent="0.3">
      <c r="A1441" s="13" t="s">
        <v>236</v>
      </c>
      <c r="B1441" s="13" t="s">
        <v>15</v>
      </c>
      <c r="C1441" s="13" t="s">
        <v>28</v>
      </c>
      <c r="D1441" s="14" t="s">
        <v>237</v>
      </c>
      <c r="E1441" s="15">
        <v>0</v>
      </c>
      <c r="F1441" s="15">
        <v>4.22</v>
      </c>
      <c r="G1441" s="16">
        <f>ROUND(E1441*F1441,2)</f>
        <v>0</v>
      </c>
    </row>
    <row r="1442" spans="1:7" x14ac:dyDescent="0.3">
      <c r="A1442" s="13" t="s">
        <v>238</v>
      </c>
      <c r="B1442" s="13" t="s">
        <v>15</v>
      </c>
      <c r="C1442" s="13" t="s">
        <v>28</v>
      </c>
      <c r="D1442" s="14" t="s">
        <v>239</v>
      </c>
      <c r="E1442" s="15">
        <v>0</v>
      </c>
      <c r="F1442" s="15">
        <v>13.9</v>
      </c>
      <c r="G1442" s="16">
        <f>ROUND(E1442*F1442,2)</f>
        <v>0</v>
      </c>
    </row>
    <row r="1443" spans="1:7" x14ac:dyDescent="0.3">
      <c r="A1443" s="13" t="s">
        <v>240</v>
      </c>
      <c r="B1443" s="13" t="s">
        <v>15</v>
      </c>
      <c r="C1443" s="13" t="s">
        <v>28</v>
      </c>
      <c r="D1443" s="14" t="s">
        <v>241</v>
      </c>
      <c r="E1443" s="15">
        <v>0</v>
      </c>
      <c r="F1443" s="15">
        <v>15.59</v>
      </c>
      <c r="G1443" s="16">
        <f>ROUND(E1443*F1443,2)</f>
        <v>0</v>
      </c>
    </row>
    <row r="1444" spans="1:7" ht="31.2" x14ac:dyDescent="0.3">
      <c r="A1444" s="13" t="s">
        <v>242</v>
      </c>
      <c r="B1444" s="13" t="s">
        <v>15</v>
      </c>
      <c r="C1444" s="13" t="s">
        <v>16</v>
      </c>
      <c r="D1444" s="14" t="s">
        <v>243</v>
      </c>
      <c r="E1444" s="15">
        <v>1</v>
      </c>
      <c r="F1444" s="15">
        <v>793.65</v>
      </c>
      <c r="G1444" s="16">
        <f>ROUND(E1444*F1444,2)</f>
        <v>793.65</v>
      </c>
    </row>
    <row r="1445" spans="1:7" x14ac:dyDescent="0.3">
      <c r="A1445" s="13" t="s">
        <v>244</v>
      </c>
      <c r="B1445" s="13" t="s">
        <v>15</v>
      </c>
      <c r="C1445" s="13" t="s">
        <v>215</v>
      </c>
      <c r="D1445" s="14" t="s">
        <v>245</v>
      </c>
      <c r="E1445" s="15">
        <v>0</v>
      </c>
      <c r="F1445" s="15">
        <v>13.5</v>
      </c>
      <c r="G1445" s="16">
        <f>ROUND(E1445*F1445,2)</f>
        <v>0</v>
      </c>
    </row>
    <row r="1446" spans="1:7" x14ac:dyDescent="0.3">
      <c r="A1446" s="13" t="s">
        <v>552</v>
      </c>
      <c r="B1446" s="13" t="s">
        <v>15</v>
      </c>
      <c r="C1446" s="13" t="s">
        <v>215</v>
      </c>
      <c r="D1446" s="14" t="s">
        <v>553</v>
      </c>
      <c r="E1446" s="15">
        <v>1</v>
      </c>
      <c r="F1446" s="15">
        <v>23.11</v>
      </c>
      <c r="G1446" s="16">
        <f>ROUND(E1446*F1446,2)</f>
        <v>23.11</v>
      </c>
    </row>
    <row r="1447" spans="1:7" x14ac:dyDescent="0.3">
      <c r="A1447" s="13" t="s">
        <v>554</v>
      </c>
      <c r="B1447" s="13" t="s">
        <v>15</v>
      </c>
      <c r="C1447" s="13" t="s">
        <v>215</v>
      </c>
      <c r="D1447" s="14" t="s">
        <v>555</v>
      </c>
      <c r="E1447" s="15">
        <v>5</v>
      </c>
      <c r="F1447" s="15">
        <v>30.9</v>
      </c>
      <c r="G1447" s="16">
        <f>ROUND(E1447*F1447,2)</f>
        <v>154.5</v>
      </c>
    </row>
    <row r="1448" spans="1:7" x14ac:dyDescent="0.3">
      <c r="A1448" s="13" t="s">
        <v>246</v>
      </c>
      <c r="B1448" s="13" t="s">
        <v>15</v>
      </c>
      <c r="C1448" s="13" t="s">
        <v>215</v>
      </c>
      <c r="D1448" s="14" t="s">
        <v>247</v>
      </c>
      <c r="E1448" s="15">
        <v>1</v>
      </c>
      <c r="F1448" s="15">
        <v>57.31</v>
      </c>
      <c r="G1448" s="16">
        <f>ROUND(E1448*F1448,2)</f>
        <v>57.31</v>
      </c>
    </row>
    <row r="1449" spans="1:7" x14ac:dyDescent="0.3">
      <c r="A1449" s="17"/>
      <c r="B1449" s="17"/>
      <c r="C1449" s="17"/>
      <c r="D1449" s="18" t="s">
        <v>687</v>
      </c>
      <c r="E1449" s="15">
        <v>1</v>
      </c>
      <c r="F1449" s="12">
        <f>SUM(G1437:G1448)</f>
        <v>3305.2500000000005</v>
      </c>
      <c r="G1449" s="12">
        <f>ROUND(F1449*E1449,2)</f>
        <v>3305.25</v>
      </c>
    </row>
    <row r="1450" spans="1:7" ht="1.05" customHeight="1" x14ac:dyDescent="0.3">
      <c r="A1450" s="20"/>
      <c r="B1450" s="20"/>
      <c r="C1450" s="20"/>
      <c r="D1450" s="21"/>
      <c r="E1450" s="20"/>
      <c r="F1450" s="20"/>
      <c r="G1450" s="20"/>
    </row>
    <row r="1451" spans="1:7" ht="31.2" x14ac:dyDescent="0.3">
      <c r="A1451" s="22" t="s">
        <v>688</v>
      </c>
      <c r="B1451" s="22" t="s">
        <v>11</v>
      </c>
      <c r="C1451" s="22" t="s">
        <v>12</v>
      </c>
      <c r="D1451" s="23" t="s">
        <v>250</v>
      </c>
      <c r="E1451" s="12">
        <f>E1462</f>
        <v>1</v>
      </c>
      <c r="F1451" s="12">
        <f>F1462</f>
        <v>3916.55</v>
      </c>
      <c r="G1451" s="12">
        <f>G1462</f>
        <v>3916.55</v>
      </c>
    </row>
    <row r="1452" spans="1:7" x14ac:dyDescent="0.3">
      <c r="A1452" s="13" t="s">
        <v>230</v>
      </c>
      <c r="B1452" s="13" t="s">
        <v>15</v>
      </c>
      <c r="C1452" s="13" t="s">
        <v>28</v>
      </c>
      <c r="D1452" s="14" t="s">
        <v>231</v>
      </c>
      <c r="E1452" s="15">
        <v>198.92</v>
      </c>
      <c r="F1452" s="15">
        <v>1.9</v>
      </c>
      <c r="G1452" s="16">
        <f>ROUND(E1452*F1452,2)</f>
        <v>377.95</v>
      </c>
    </row>
    <row r="1453" spans="1:7" x14ac:dyDescent="0.3">
      <c r="A1453" s="13" t="s">
        <v>558</v>
      </c>
      <c r="B1453" s="13" t="s">
        <v>15</v>
      </c>
      <c r="C1453" s="13" t="s">
        <v>28</v>
      </c>
      <c r="D1453" s="14" t="s">
        <v>559</v>
      </c>
      <c r="E1453" s="15">
        <v>29.68</v>
      </c>
      <c r="F1453" s="15">
        <v>9.15</v>
      </c>
      <c r="G1453" s="16">
        <f>ROUND(E1453*F1453,2)</f>
        <v>271.57</v>
      </c>
    </row>
    <row r="1454" spans="1:7" x14ac:dyDescent="0.3">
      <c r="A1454" s="13" t="s">
        <v>393</v>
      </c>
      <c r="B1454" s="13" t="s">
        <v>15</v>
      </c>
      <c r="C1454" s="13" t="s">
        <v>28</v>
      </c>
      <c r="D1454" s="14" t="s">
        <v>394</v>
      </c>
      <c r="E1454" s="15">
        <v>10.68</v>
      </c>
      <c r="F1454" s="15">
        <v>10.02</v>
      </c>
      <c r="G1454" s="16">
        <f>ROUND(E1454*F1454,2)</f>
        <v>107.01</v>
      </c>
    </row>
    <row r="1455" spans="1:7" x14ac:dyDescent="0.3">
      <c r="A1455" s="13" t="s">
        <v>395</v>
      </c>
      <c r="B1455" s="13" t="s">
        <v>15</v>
      </c>
      <c r="C1455" s="13" t="s">
        <v>28</v>
      </c>
      <c r="D1455" s="14" t="s">
        <v>396</v>
      </c>
      <c r="E1455" s="15">
        <v>29.85</v>
      </c>
      <c r="F1455" s="15">
        <v>11.7</v>
      </c>
      <c r="G1455" s="16">
        <f>ROUND(E1455*F1455,2)</f>
        <v>349.25</v>
      </c>
    </row>
    <row r="1456" spans="1:7" x14ac:dyDescent="0.3">
      <c r="A1456" s="13" t="s">
        <v>397</v>
      </c>
      <c r="B1456" s="13" t="s">
        <v>15</v>
      </c>
      <c r="C1456" s="13" t="s">
        <v>28</v>
      </c>
      <c r="D1456" s="14" t="s">
        <v>398</v>
      </c>
      <c r="E1456" s="15">
        <v>11.71</v>
      </c>
      <c r="F1456" s="15">
        <v>16.88</v>
      </c>
      <c r="G1456" s="16">
        <f>ROUND(E1456*F1456,2)</f>
        <v>197.66</v>
      </c>
    </row>
    <row r="1457" spans="1:7" ht="31.2" x14ac:dyDescent="0.3">
      <c r="A1457" s="13" t="s">
        <v>261</v>
      </c>
      <c r="B1457" s="13" t="s">
        <v>15</v>
      </c>
      <c r="C1457" s="13" t="s">
        <v>16</v>
      </c>
      <c r="D1457" s="14" t="s">
        <v>262</v>
      </c>
      <c r="E1457" s="15">
        <v>0.75</v>
      </c>
      <c r="F1457" s="15">
        <v>1031.75</v>
      </c>
      <c r="G1457" s="16">
        <f>ROUND(E1457*F1457,2)</f>
        <v>773.81</v>
      </c>
    </row>
    <row r="1458" spans="1:7" x14ac:dyDescent="0.3">
      <c r="A1458" s="13" t="s">
        <v>399</v>
      </c>
      <c r="B1458" s="13" t="s">
        <v>15</v>
      </c>
      <c r="C1458" s="13" t="s">
        <v>215</v>
      </c>
      <c r="D1458" s="14" t="s">
        <v>400</v>
      </c>
      <c r="E1458" s="15">
        <v>6</v>
      </c>
      <c r="F1458" s="15">
        <v>30.14</v>
      </c>
      <c r="G1458" s="16">
        <f>ROUND(E1458*F1458,2)</f>
        <v>180.84</v>
      </c>
    </row>
    <row r="1459" spans="1:7" ht="31.2" x14ac:dyDescent="0.3">
      <c r="A1459" s="13" t="s">
        <v>265</v>
      </c>
      <c r="B1459" s="13" t="s">
        <v>15</v>
      </c>
      <c r="C1459" s="13" t="s">
        <v>215</v>
      </c>
      <c r="D1459" s="14" t="s">
        <v>266</v>
      </c>
      <c r="E1459" s="15">
        <v>20</v>
      </c>
      <c r="F1459" s="15">
        <v>32.25</v>
      </c>
      <c r="G1459" s="16">
        <f>ROUND(E1459*F1459,2)</f>
        <v>645</v>
      </c>
    </row>
    <row r="1460" spans="1:7" ht="31.2" x14ac:dyDescent="0.3">
      <c r="A1460" s="13" t="s">
        <v>267</v>
      </c>
      <c r="B1460" s="13" t="s">
        <v>15</v>
      </c>
      <c r="C1460" s="13" t="s">
        <v>215</v>
      </c>
      <c r="D1460" s="14" t="s">
        <v>268</v>
      </c>
      <c r="E1460" s="15">
        <v>10</v>
      </c>
      <c r="F1460" s="15">
        <v>44.38</v>
      </c>
      <c r="G1460" s="16">
        <f>ROUND(E1460*F1460,2)</f>
        <v>443.8</v>
      </c>
    </row>
    <row r="1461" spans="1:7" x14ac:dyDescent="0.3">
      <c r="A1461" s="13" t="s">
        <v>401</v>
      </c>
      <c r="B1461" s="13" t="s">
        <v>15</v>
      </c>
      <c r="C1461" s="13" t="s">
        <v>215</v>
      </c>
      <c r="D1461" s="14" t="s">
        <v>402</v>
      </c>
      <c r="E1461" s="15">
        <v>7</v>
      </c>
      <c r="F1461" s="15">
        <v>81.38</v>
      </c>
      <c r="G1461" s="16">
        <f>ROUND(E1461*F1461,2)</f>
        <v>569.66</v>
      </c>
    </row>
    <row r="1462" spans="1:7" x14ac:dyDescent="0.3">
      <c r="A1462" s="17"/>
      <c r="B1462" s="17"/>
      <c r="C1462" s="17"/>
      <c r="D1462" s="18" t="s">
        <v>689</v>
      </c>
      <c r="E1462" s="15">
        <v>1</v>
      </c>
      <c r="F1462" s="12">
        <f>SUM(G1452:G1461)</f>
        <v>3916.55</v>
      </c>
      <c r="G1462" s="12">
        <f>ROUND(F1462*E1462,2)</f>
        <v>3916.55</v>
      </c>
    </row>
    <row r="1463" spans="1:7" ht="1.05" customHeight="1" x14ac:dyDescent="0.3">
      <c r="A1463" s="20"/>
      <c r="B1463" s="20"/>
      <c r="C1463" s="20"/>
      <c r="D1463" s="21"/>
      <c r="E1463" s="20"/>
      <c r="F1463" s="20"/>
      <c r="G1463" s="20"/>
    </row>
    <row r="1464" spans="1:7" x14ac:dyDescent="0.3">
      <c r="A1464" s="22" t="s">
        <v>690</v>
      </c>
      <c r="B1464" s="22" t="s">
        <v>11</v>
      </c>
      <c r="C1464" s="22" t="s">
        <v>12</v>
      </c>
      <c r="D1464" s="23" t="s">
        <v>275</v>
      </c>
      <c r="E1464" s="12">
        <f>E1468</f>
        <v>1</v>
      </c>
      <c r="F1464" s="12">
        <f>F1468</f>
        <v>2310.96</v>
      </c>
      <c r="G1464" s="12">
        <f>G1468</f>
        <v>2310.96</v>
      </c>
    </row>
    <row r="1465" spans="1:7" ht="31.2" x14ac:dyDescent="0.3">
      <c r="A1465" s="13" t="s">
        <v>276</v>
      </c>
      <c r="B1465" s="13" t="s">
        <v>15</v>
      </c>
      <c r="C1465" s="13" t="s">
        <v>28</v>
      </c>
      <c r="D1465" s="14" t="s">
        <v>277</v>
      </c>
      <c r="E1465" s="15">
        <v>3.25</v>
      </c>
      <c r="F1465" s="15">
        <v>27.3</v>
      </c>
      <c r="G1465" s="16">
        <f>ROUND(E1465*F1465,2)</f>
        <v>88.73</v>
      </c>
    </row>
    <row r="1466" spans="1:7" x14ac:dyDescent="0.3">
      <c r="A1466" s="13" t="s">
        <v>278</v>
      </c>
      <c r="B1466" s="13" t="s">
        <v>15</v>
      </c>
      <c r="C1466" s="13" t="s">
        <v>215</v>
      </c>
      <c r="D1466" s="14" t="s">
        <v>279</v>
      </c>
      <c r="E1466" s="15">
        <v>1</v>
      </c>
      <c r="F1466" s="15">
        <v>1666.67</v>
      </c>
      <c r="G1466" s="16">
        <f>ROUND(E1466*F1466,2)</f>
        <v>1666.67</v>
      </c>
    </row>
    <row r="1467" spans="1:7" ht="31.2" x14ac:dyDescent="0.3">
      <c r="A1467" s="13" t="s">
        <v>280</v>
      </c>
      <c r="B1467" s="13" t="s">
        <v>15</v>
      </c>
      <c r="C1467" s="13" t="s">
        <v>215</v>
      </c>
      <c r="D1467" s="14" t="s">
        <v>281</v>
      </c>
      <c r="E1467" s="15">
        <v>1</v>
      </c>
      <c r="F1467" s="15">
        <v>555.55999999999995</v>
      </c>
      <c r="G1467" s="16">
        <f>ROUND(E1467*F1467,2)</f>
        <v>555.55999999999995</v>
      </c>
    </row>
    <row r="1468" spans="1:7" x14ac:dyDescent="0.3">
      <c r="A1468" s="17"/>
      <c r="B1468" s="17"/>
      <c r="C1468" s="17"/>
      <c r="D1468" s="18" t="s">
        <v>691</v>
      </c>
      <c r="E1468" s="15">
        <v>1</v>
      </c>
      <c r="F1468" s="12">
        <f>SUM(G1465:G1467)</f>
        <v>2310.96</v>
      </c>
      <c r="G1468" s="12">
        <f>ROUND(F1468*E1468,2)</f>
        <v>2310.96</v>
      </c>
    </row>
    <row r="1469" spans="1:7" ht="1.05" customHeight="1" x14ac:dyDescent="0.3">
      <c r="A1469" s="20"/>
      <c r="B1469" s="20"/>
      <c r="C1469" s="20"/>
      <c r="D1469" s="21"/>
      <c r="E1469" s="20"/>
      <c r="F1469" s="20"/>
      <c r="G1469" s="20"/>
    </row>
    <row r="1470" spans="1:7" x14ac:dyDescent="0.3">
      <c r="A1470" s="22" t="s">
        <v>692</v>
      </c>
      <c r="B1470" s="22" t="s">
        <v>11</v>
      </c>
      <c r="C1470" s="22" t="s">
        <v>12</v>
      </c>
      <c r="D1470" s="23" t="s">
        <v>407</v>
      </c>
      <c r="E1470" s="12">
        <f>E1478</f>
        <v>1</v>
      </c>
      <c r="F1470" s="12">
        <f>F1478</f>
        <v>12581.050000000001</v>
      </c>
      <c r="G1470" s="12">
        <f>G1478</f>
        <v>12581.05</v>
      </c>
    </row>
    <row r="1471" spans="1:7" ht="31.2" x14ac:dyDescent="0.3">
      <c r="A1471" s="13" t="s">
        <v>564</v>
      </c>
      <c r="B1471" s="13" t="s">
        <v>15</v>
      </c>
      <c r="C1471" s="13" t="s">
        <v>215</v>
      </c>
      <c r="D1471" s="14" t="s">
        <v>565</v>
      </c>
      <c r="E1471" s="15">
        <v>8</v>
      </c>
      <c r="F1471" s="15">
        <v>348.85</v>
      </c>
      <c r="G1471" s="16">
        <f>ROUND(E1471*F1471,2)</f>
        <v>2790.8</v>
      </c>
    </row>
    <row r="1472" spans="1:7" ht="31.2" x14ac:dyDescent="0.3">
      <c r="A1472" s="13" t="s">
        <v>566</v>
      </c>
      <c r="B1472" s="13" t="s">
        <v>15</v>
      </c>
      <c r="C1472" s="13" t="s">
        <v>215</v>
      </c>
      <c r="D1472" s="14" t="s">
        <v>567</v>
      </c>
      <c r="E1472" s="15">
        <v>7</v>
      </c>
      <c r="F1472" s="15">
        <v>365.25</v>
      </c>
      <c r="G1472" s="16">
        <f>ROUND(E1472*F1472,2)</f>
        <v>2556.75</v>
      </c>
    </row>
    <row r="1473" spans="1:7" x14ac:dyDescent="0.3">
      <c r="A1473" s="13" t="s">
        <v>568</v>
      </c>
      <c r="B1473" s="13" t="s">
        <v>15</v>
      </c>
      <c r="C1473" s="13" t="s">
        <v>215</v>
      </c>
      <c r="D1473" s="14" t="s">
        <v>569</v>
      </c>
      <c r="E1473" s="15">
        <v>7</v>
      </c>
      <c r="F1473" s="15">
        <v>442.68</v>
      </c>
      <c r="G1473" s="16">
        <f>ROUND(E1473*F1473,2)</f>
        <v>3098.76</v>
      </c>
    </row>
    <row r="1474" spans="1:7" ht="31.2" x14ac:dyDescent="0.3">
      <c r="A1474" s="13" t="s">
        <v>570</v>
      </c>
      <c r="B1474" s="13" t="s">
        <v>15</v>
      </c>
      <c r="C1474" s="13" t="s">
        <v>215</v>
      </c>
      <c r="D1474" s="14" t="s">
        <v>571</v>
      </c>
      <c r="E1474" s="15">
        <v>8</v>
      </c>
      <c r="F1474" s="15">
        <v>93.66</v>
      </c>
      <c r="G1474" s="16">
        <f>ROUND(E1474*F1474,2)</f>
        <v>749.28</v>
      </c>
    </row>
    <row r="1475" spans="1:7" ht="31.2" x14ac:dyDescent="0.3">
      <c r="A1475" s="13" t="s">
        <v>572</v>
      </c>
      <c r="B1475" s="13" t="s">
        <v>15</v>
      </c>
      <c r="C1475" s="13" t="s">
        <v>151</v>
      </c>
      <c r="D1475" s="14" t="s">
        <v>573</v>
      </c>
      <c r="E1475" s="15">
        <v>4</v>
      </c>
      <c r="F1475" s="15">
        <v>405.16</v>
      </c>
      <c r="G1475" s="16">
        <f>ROUND(E1475*F1475,2)</f>
        <v>1620.64</v>
      </c>
    </row>
    <row r="1476" spans="1:7" ht="31.2" x14ac:dyDescent="0.3">
      <c r="A1476" s="13" t="s">
        <v>574</v>
      </c>
      <c r="B1476" s="13" t="s">
        <v>15</v>
      </c>
      <c r="C1476" s="13" t="s">
        <v>151</v>
      </c>
      <c r="D1476" s="14" t="s">
        <v>575</v>
      </c>
      <c r="E1476" s="15">
        <v>2</v>
      </c>
      <c r="F1476" s="15">
        <v>295.79000000000002</v>
      </c>
      <c r="G1476" s="16">
        <f>ROUND(E1476*F1476,2)</f>
        <v>591.58000000000004</v>
      </c>
    </row>
    <row r="1477" spans="1:7" x14ac:dyDescent="0.3">
      <c r="A1477" s="13" t="s">
        <v>576</v>
      </c>
      <c r="B1477" s="13" t="s">
        <v>15</v>
      </c>
      <c r="C1477" s="13" t="s">
        <v>151</v>
      </c>
      <c r="D1477" s="14" t="s">
        <v>577</v>
      </c>
      <c r="E1477" s="15">
        <v>4</v>
      </c>
      <c r="F1477" s="15">
        <v>293.31</v>
      </c>
      <c r="G1477" s="16">
        <f>ROUND(E1477*F1477,2)</f>
        <v>1173.24</v>
      </c>
    </row>
    <row r="1478" spans="1:7" x14ac:dyDescent="0.3">
      <c r="A1478" s="17"/>
      <c r="B1478" s="17"/>
      <c r="C1478" s="17"/>
      <c r="D1478" s="18" t="s">
        <v>693</v>
      </c>
      <c r="E1478" s="15">
        <v>1</v>
      </c>
      <c r="F1478" s="12">
        <f>SUM(G1471:G1477)</f>
        <v>12581.050000000001</v>
      </c>
      <c r="G1478" s="12">
        <f>ROUND(F1478*E1478,2)</f>
        <v>12581.05</v>
      </c>
    </row>
    <row r="1479" spans="1:7" ht="1.05" customHeight="1" x14ac:dyDescent="0.3">
      <c r="A1479" s="20"/>
      <c r="B1479" s="20"/>
      <c r="C1479" s="20"/>
      <c r="D1479" s="21"/>
      <c r="E1479" s="20"/>
      <c r="F1479" s="20"/>
      <c r="G1479" s="20"/>
    </row>
    <row r="1480" spans="1:7" x14ac:dyDescent="0.3">
      <c r="A1480" s="22" t="s">
        <v>694</v>
      </c>
      <c r="B1480" s="22" t="s">
        <v>11</v>
      </c>
      <c r="C1480" s="22" t="s">
        <v>12</v>
      </c>
      <c r="D1480" s="23" t="s">
        <v>165</v>
      </c>
      <c r="E1480" s="12">
        <f>E1483</f>
        <v>1</v>
      </c>
      <c r="F1480" s="12">
        <f>F1483</f>
        <v>1455.31</v>
      </c>
      <c r="G1480" s="12">
        <f>G1483</f>
        <v>1455.31</v>
      </c>
    </row>
    <row r="1481" spans="1:7" x14ac:dyDescent="0.3">
      <c r="A1481" s="13" t="s">
        <v>582</v>
      </c>
      <c r="B1481" s="13" t="s">
        <v>15</v>
      </c>
      <c r="C1481" s="13" t="s">
        <v>151</v>
      </c>
      <c r="D1481" s="14" t="s">
        <v>583</v>
      </c>
      <c r="E1481" s="15">
        <v>5</v>
      </c>
      <c r="F1481" s="15">
        <v>74.39</v>
      </c>
      <c r="G1481" s="16">
        <f>ROUND(E1481*F1481,2)</f>
        <v>371.95</v>
      </c>
    </row>
    <row r="1482" spans="1:7" ht="31.2" x14ac:dyDescent="0.3">
      <c r="A1482" s="13" t="s">
        <v>584</v>
      </c>
      <c r="B1482" s="13" t="s">
        <v>15</v>
      </c>
      <c r="C1482" s="13" t="s">
        <v>215</v>
      </c>
      <c r="D1482" s="14" t="s">
        <v>585</v>
      </c>
      <c r="E1482" s="15">
        <v>4</v>
      </c>
      <c r="F1482" s="15">
        <v>270.83999999999997</v>
      </c>
      <c r="G1482" s="16">
        <f>ROUND(E1482*F1482,2)</f>
        <v>1083.3599999999999</v>
      </c>
    </row>
    <row r="1483" spans="1:7" x14ac:dyDescent="0.3">
      <c r="A1483" s="17"/>
      <c r="B1483" s="17"/>
      <c r="C1483" s="17"/>
      <c r="D1483" s="18" t="s">
        <v>695</v>
      </c>
      <c r="E1483" s="15">
        <v>1</v>
      </c>
      <c r="F1483" s="12">
        <f>SUM(G1481:G1482)</f>
        <v>1455.31</v>
      </c>
      <c r="G1483" s="12">
        <f>ROUND(F1483*E1483,2)</f>
        <v>1455.31</v>
      </c>
    </row>
    <row r="1484" spans="1:7" ht="1.05" customHeight="1" x14ac:dyDescent="0.3">
      <c r="A1484" s="20"/>
      <c r="B1484" s="20"/>
      <c r="C1484" s="20"/>
      <c r="D1484" s="21"/>
      <c r="E1484" s="20"/>
      <c r="F1484" s="20"/>
      <c r="G1484" s="20"/>
    </row>
    <row r="1485" spans="1:7" x14ac:dyDescent="0.3">
      <c r="A1485" s="17"/>
      <c r="B1485" s="17"/>
      <c r="C1485" s="17"/>
      <c r="D1485" s="18" t="s">
        <v>696</v>
      </c>
      <c r="E1485" s="15">
        <v>1</v>
      </c>
      <c r="F1485" s="12">
        <f>G1449+G1462+G1468+G1478+G1483</f>
        <v>23569.119999999999</v>
      </c>
      <c r="G1485" s="12">
        <f>ROUND(F1485*E1485,2)</f>
        <v>23569.119999999999</v>
      </c>
    </row>
    <row r="1486" spans="1:7" ht="1.05" customHeight="1" x14ac:dyDescent="0.3">
      <c r="A1486" s="20"/>
      <c r="B1486" s="20"/>
      <c r="C1486" s="20"/>
      <c r="D1486" s="21"/>
      <c r="E1486" s="20"/>
      <c r="F1486" s="20"/>
      <c r="G1486" s="20"/>
    </row>
    <row r="1487" spans="1:7" x14ac:dyDescent="0.3">
      <c r="A1487" s="22" t="s">
        <v>697</v>
      </c>
      <c r="B1487" s="22" t="s">
        <v>11</v>
      </c>
      <c r="C1487" s="22" t="s">
        <v>12</v>
      </c>
      <c r="D1487" s="23" t="s">
        <v>285</v>
      </c>
      <c r="E1487" s="12">
        <f>E1501</f>
        <v>1</v>
      </c>
      <c r="F1487" s="12">
        <f>F1501</f>
        <v>14191.579999999998</v>
      </c>
      <c r="G1487" s="12">
        <f>G1501</f>
        <v>14191.58</v>
      </c>
    </row>
    <row r="1488" spans="1:7" x14ac:dyDescent="0.3">
      <c r="A1488" s="13" t="s">
        <v>589</v>
      </c>
      <c r="B1488" s="13" t="s">
        <v>15</v>
      </c>
      <c r="C1488" s="13" t="s">
        <v>215</v>
      </c>
      <c r="D1488" s="14" t="s">
        <v>590</v>
      </c>
      <c r="E1488" s="15">
        <v>4</v>
      </c>
      <c r="F1488" s="15">
        <v>51.04</v>
      </c>
      <c r="G1488" s="16">
        <f>ROUND(E1488*F1488,2)</f>
        <v>204.16</v>
      </c>
    </row>
    <row r="1489" spans="1:7" x14ac:dyDescent="0.3">
      <c r="A1489" s="13" t="s">
        <v>591</v>
      </c>
      <c r="B1489" s="13" t="s">
        <v>15</v>
      </c>
      <c r="C1489" s="13" t="s">
        <v>215</v>
      </c>
      <c r="D1489" s="14" t="s">
        <v>592</v>
      </c>
      <c r="E1489" s="15">
        <v>4</v>
      </c>
      <c r="F1489" s="15">
        <v>37.28</v>
      </c>
      <c r="G1489" s="16">
        <f>ROUND(E1489*F1489,2)</f>
        <v>149.12</v>
      </c>
    </row>
    <row r="1490" spans="1:7" x14ac:dyDescent="0.3">
      <c r="A1490" s="13" t="s">
        <v>593</v>
      </c>
      <c r="B1490" s="13" t="s">
        <v>15</v>
      </c>
      <c r="C1490" s="13" t="s">
        <v>215</v>
      </c>
      <c r="D1490" s="14" t="s">
        <v>594</v>
      </c>
      <c r="E1490" s="15">
        <v>4</v>
      </c>
      <c r="F1490" s="15">
        <v>30.48</v>
      </c>
      <c r="G1490" s="16">
        <f>ROUND(E1490*F1490,2)</f>
        <v>121.92</v>
      </c>
    </row>
    <row r="1491" spans="1:7" x14ac:dyDescent="0.3">
      <c r="A1491" s="13" t="s">
        <v>595</v>
      </c>
      <c r="B1491" s="13" t="s">
        <v>15</v>
      </c>
      <c r="C1491" s="13" t="s">
        <v>215</v>
      </c>
      <c r="D1491" s="14" t="s">
        <v>596</v>
      </c>
      <c r="E1491" s="15">
        <v>28</v>
      </c>
      <c r="F1491" s="15">
        <v>31.59</v>
      </c>
      <c r="G1491" s="16">
        <f>ROUND(E1491*F1491,2)</f>
        <v>884.52</v>
      </c>
    </row>
    <row r="1492" spans="1:7" x14ac:dyDescent="0.3">
      <c r="A1492" s="13" t="s">
        <v>296</v>
      </c>
      <c r="B1492" s="13" t="s">
        <v>15</v>
      </c>
      <c r="C1492" s="13" t="s">
        <v>215</v>
      </c>
      <c r="D1492" s="14" t="s">
        <v>297</v>
      </c>
      <c r="E1492" s="15">
        <v>54</v>
      </c>
      <c r="F1492" s="15">
        <v>50.07</v>
      </c>
      <c r="G1492" s="16">
        <f>ROUND(E1492*F1492,2)</f>
        <v>2703.78</v>
      </c>
    </row>
    <row r="1493" spans="1:7" x14ac:dyDescent="0.3">
      <c r="A1493" s="13" t="s">
        <v>298</v>
      </c>
      <c r="B1493" s="13" t="s">
        <v>15</v>
      </c>
      <c r="C1493" s="13" t="s">
        <v>215</v>
      </c>
      <c r="D1493" s="14" t="s">
        <v>299</v>
      </c>
      <c r="E1493" s="15">
        <v>0</v>
      </c>
      <c r="F1493" s="15">
        <v>42.74</v>
      </c>
      <c r="G1493" s="16">
        <f>ROUND(E1493*F1493,2)</f>
        <v>0</v>
      </c>
    </row>
    <row r="1494" spans="1:7" x14ac:dyDescent="0.3">
      <c r="A1494" s="13" t="s">
        <v>300</v>
      </c>
      <c r="B1494" s="13" t="s">
        <v>15</v>
      </c>
      <c r="C1494" s="13" t="s">
        <v>215</v>
      </c>
      <c r="D1494" s="14" t="s">
        <v>301</v>
      </c>
      <c r="E1494" s="15">
        <v>31</v>
      </c>
      <c r="F1494" s="15">
        <v>45.93</v>
      </c>
      <c r="G1494" s="16">
        <f>ROUND(E1494*F1494,2)</f>
        <v>1423.83</v>
      </c>
    </row>
    <row r="1495" spans="1:7" x14ac:dyDescent="0.3">
      <c r="A1495" s="13" t="s">
        <v>302</v>
      </c>
      <c r="B1495" s="13" t="s">
        <v>15</v>
      </c>
      <c r="C1495" s="13" t="s">
        <v>215</v>
      </c>
      <c r="D1495" s="14" t="s">
        <v>303</v>
      </c>
      <c r="E1495" s="15">
        <v>7</v>
      </c>
      <c r="F1495" s="15">
        <v>51.73</v>
      </c>
      <c r="G1495" s="16">
        <f>ROUND(E1495*F1495,2)</f>
        <v>362.11</v>
      </c>
    </row>
    <row r="1496" spans="1:7" x14ac:dyDescent="0.3">
      <c r="A1496" s="13" t="s">
        <v>304</v>
      </c>
      <c r="B1496" s="13" t="s">
        <v>15</v>
      </c>
      <c r="C1496" s="13" t="s">
        <v>215</v>
      </c>
      <c r="D1496" s="14" t="s">
        <v>305</v>
      </c>
      <c r="E1496" s="15">
        <v>2</v>
      </c>
      <c r="F1496" s="15">
        <v>53.67</v>
      </c>
      <c r="G1496" s="16">
        <f>ROUND(E1496*F1496,2)</f>
        <v>107.34</v>
      </c>
    </row>
    <row r="1497" spans="1:7" ht="31.2" x14ac:dyDescent="0.3">
      <c r="A1497" s="13" t="s">
        <v>306</v>
      </c>
      <c r="B1497" s="13" t="s">
        <v>15</v>
      </c>
      <c r="C1497" s="13" t="s">
        <v>215</v>
      </c>
      <c r="D1497" s="14" t="s">
        <v>307</v>
      </c>
      <c r="E1497" s="15">
        <v>88</v>
      </c>
      <c r="F1497" s="15">
        <v>61.18</v>
      </c>
      <c r="G1497" s="16">
        <f>ROUND(E1497*F1497,2)</f>
        <v>5383.84</v>
      </c>
    </row>
    <row r="1498" spans="1:7" ht="31.2" x14ac:dyDescent="0.3">
      <c r="A1498" s="13" t="s">
        <v>308</v>
      </c>
      <c r="B1498" s="13" t="s">
        <v>15</v>
      </c>
      <c r="C1498" s="13" t="s">
        <v>215</v>
      </c>
      <c r="D1498" s="14" t="s">
        <v>309</v>
      </c>
      <c r="E1498" s="15">
        <v>13</v>
      </c>
      <c r="F1498" s="15">
        <v>84.28</v>
      </c>
      <c r="G1498" s="16">
        <f>ROUND(E1498*F1498,2)</f>
        <v>1095.6400000000001</v>
      </c>
    </row>
    <row r="1499" spans="1:7" x14ac:dyDescent="0.3">
      <c r="A1499" s="13" t="s">
        <v>314</v>
      </c>
      <c r="B1499" s="13" t="s">
        <v>15</v>
      </c>
      <c r="C1499" s="13" t="s">
        <v>215</v>
      </c>
      <c r="D1499" s="14" t="s">
        <v>315</v>
      </c>
      <c r="E1499" s="15">
        <v>0</v>
      </c>
      <c r="F1499" s="15">
        <v>55.56</v>
      </c>
      <c r="G1499" s="16">
        <f>ROUND(E1499*F1499,2)</f>
        <v>0</v>
      </c>
    </row>
    <row r="1500" spans="1:7" x14ac:dyDescent="0.3">
      <c r="A1500" s="13" t="s">
        <v>415</v>
      </c>
      <c r="B1500" s="13" t="s">
        <v>15</v>
      </c>
      <c r="C1500" s="13" t="s">
        <v>215</v>
      </c>
      <c r="D1500" s="14" t="s">
        <v>416</v>
      </c>
      <c r="E1500" s="15">
        <v>4</v>
      </c>
      <c r="F1500" s="15">
        <v>438.83</v>
      </c>
      <c r="G1500" s="16">
        <f>ROUND(E1500*F1500,2)</f>
        <v>1755.32</v>
      </c>
    </row>
    <row r="1501" spans="1:7" x14ac:dyDescent="0.3">
      <c r="A1501" s="17"/>
      <c r="B1501" s="17"/>
      <c r="C1501" s="17"/>
      <c r="D1501" s="18" t="s">
        <v>698</v>
      </c>
      <c r="E1501" s="15">
        <v>1</v>
      </c>
      <c r="F1501" s="12">
        <f>SUM(G1488:G1500)</f>
        <v>14191.579999999998</v>
      </c>
      <c r="G1501" s="12">
        <f>ROUND(F1501*E1501,2)</f>
        <v>14191.58</v>
      </c>
    </row>
    <row r="1502" spans="1:7" ht="1.05" customHeight="1" x14ac:dyDescent="0.3">
      <c r="A1502" s="20"/>
      <c r="B1502" s="20"/>
      <c r="C1502" s="20"/>
      <c r="D1502" s="21"/>
      <c r="E1502" s="20"/>
      <c r="F1502" s="20"/>
      <c r="G1502" s="20"/>
    </row>
    <row r="1503" spans="1:7" x14ac:dyDescent="0.3">
      <c r="A1503" s="17"/>
      <c r="B1503" s="17"/>
      <c r="C1503" s="17"/>
      <c r="D1503" s="18" t="s">
        <v>699</v>
      </c>
      <c r="E1503" s="19">
        <v>1</v>
      </c>
      <c r="F1503" s="12">
        <f>G1369+G1374+G1385+G1390+G1394+G1399+G1407+G1411+G1418+G1424+G1433+G1485+G1501</f>
        <v>250975.13999999998</v>
      </c>
      <c r="G1503" s="12">
        <f>ROUND(F1503*E1503,2)</f>
        <v>250975.14</v>
      </c>
    </row>
    <row r="1504" spans="1:7" ht="1.05" customHeight="1" x14ac:dyDescent="0.3">
      <c r="A1504" s="20"/>
      <c r="B1504" s="20"/>
      <c r="C1504" s="20"/>
      <c r="D1504" s="21"/>
      <c r="E1504" s="20"/>
      <c r="F1504" s="20"/>
      <c r="G1504" s="20"/>
    </row>
    <row r="1505" spans="1:7" x14ac:dyDescent="0.3">
      <c r="A1505" s="9" t="s">
        <v>700</v>
      </c>
      <c r="B1505" s="9" t="s">
        <v>11</v>
      </c>
      <c r="C1505" s="9" t="s">
        <v>12</v>
      </c>
      <c r="D1505" s="10" t="s">
        <v>701</v>
      </c>
      <c r="E1505" s="11">
        <f>E1659</f>
        <v>1</v>
      </c>
      <c r="F1505" s="12">
        <f>F1659</f>
        <v>250975.13999999998</v>
      </c>
      <c r="G1505" s="12">
        <f>G1659</f>
        <v>250975.14</v>
      </c>
    </row>
    <row r="1506" spans="1:7" x14ac:dyDescent="0.3">
      <c r="A1506" s="22" t="s">
        <v>659</v>
      </c>
      <c r="B1506" s="22" t="s">
        <v>11</v>
      </c>
      <c r="C1506" s="22" t="s">
        <v>12</v>
      </c>
      <c r="D1506" s="23" t="s">
        <v>57</v>
      </c>
      <c r="E1506" s="12">
        <f>E1525</f>
        <v>1</v>
      </c>
      <c r="F1506" s="12">
        <f>F1525</f>
        <v>65542.62999999999</v>
      </c>
      <c r="G1506" s="12">
        <f>G1525</f>
        <v>65542.63</v>
      </c>
    </row>
    <row r="1507" spans="1:7" x14ac:dyDescent="0.3">
      <c r="A1507" s="13" t="s">
        <v>81</v>
      </c>
      <c r="B1507" s="13" t="s">
        <v>15</v>
      </c>
      <c r="C1507" s="13" t="s">
        <v>60</v>
      </c>
      <c r="D1507" s="14" t="s">
        <v>82</v>
      </c>
      <c r="E1507" s="15">
        <v>8.18</v>
      </c>
      <c r="F1507" s="15">
        <v>572.66999999999996</v>
      </c>
      <c r="G1507" s="16">
        <f>ROUND(E1507*F1507,2)</f>
        <v>4684.4399999999996</v>
      </c>
    </row>
    <row r="1508" spans="1:7" x14ac:dyDescent="0.3">
      <c r="A1508" s="13" t="s">
        <v>83</v>
      </c>
      <c r="B1508" s="13" t="s">
        <v>15</v>
      </c>
      <c r="C1508" s="13" t="s">
        <v>60</v>
      </c>
      <c r="D1508" s="14" t="s">
        <v>84</v>
      </c>
      <c r="E1508" s="15">
        <v>4.0599999999999996</v>
      </c>
      <c r="F1508" s="15">
        <v>545.57000000000005</v>
      </c>
      <c r="G1508" s="16">
        <f>ROUND(E1508*F1508,2)</f>
        <v>2215.0100000000002</v>
      </c>
    </row>
    <row r="1509" spans="1:7" ht="31.2" x14ac:dyDescent="0.3">
      <c r="A1509" s="13" t="s">
        <v>97</v>
      </c>
      <c r="B1509" s="13" t="s">
        <v>15</v>
      </c>
      <c r="C1509" s="13" t="s">
        <v>60</v>
      </c>
      <c r="D1509" s="14" t="s">
        <v>98</v>
      </c>
      <c r="E1509" s="15">
        <v>0</v>
      </c>
      <c r="F1509" s="15">
        <v>1055.26</v>
      </c>
      <c r="G1509" s="16">
        <f>ROUND(E1509*F1509,2)</f>
        <v>0</v>
      </c>
    </row>
    <row r="1510" spans="1:7" ht="31.2" x14ac:dyDescent="0.3">
      <c r="A1510" s="13" t="s">
        <v>99</v>
      </c>
      <c r="B1510" s="13" t="s">
        <v>15</v>
      </c>
      <c r="C1510" s="13" t="s">
        <v>60</v>
      </c>
      <c r="D1510" s="14" t="s">
        <v>100</v>
      </c>
      <c r="E1510" s="15">
        <v>5.18</v>
      </c>
      <c r="F1510" s="15">
        <v>779.5</v>
      </c>
      <c r="G1510" s="16">
        <f>ROUND(E1510*F1510,2)</f>
        <v>4037.81</v>
      </c>
    </row>
    <row r="1511" spans="1:7" ht="31.2" x14ac:dyDescent="0.3">
      <c r="A1511" s="13" t="s">
        <v>660</v>
      </c>
      <c r="B1511" s="13" t="s">
        <v>15</v>
      </c>
      <c r="C1511" s="13" t="s">
        <v>60</v>
      </c>
      <c r="D1511" s="14" t="s">
        <v>661</v>
      </c>
      <c r="E1511" s="15">
        <v>6.48</v>
      </c>
      <c r="F1511" s="15">
        <v>858.05</v>
      </c>
      <c r="G1511" s="16">
        <f>ROUND(E1511*F1511,2)</f>
        <v>5560.16</v>
      </c>
    </row>
    <row r="1512" spans="1:7" ht="31.2" x14ac:dyDescent="0.3">
      <c r="A1512" s="13" t="s">
        <v>662</v>
      </c>
      <c r="B1512" s="13" t="s">
        <v>15</v>
      </c>
      <c r="C1512" s="13" t="s">
        <v>60</v>
      </c>
      <c r="D1512" s="14" t="s">
        <v>663</v>
      </c>
      <c r="E1512" s="15">
        <v>4.8600000000000003</v>
      </c>
      <c r="F1512" s="15">
        <v>714.24</v>
      </c>
      <c r="G1512" s="16">
        <f>ROUND(E1512*F1512,2)</f>
        <v>3471.21</v>
      </c>
    </row>
    <row r="1513" spans="1:7" x14ac:dyDescent="0.3">
      <c r="A1513" s="13" t="s">
        <v>105</v>
      </c>
      <c r="B1513" s="13" t="s">
        <v>15</v>
      </c>
      <c r="C1513" s="13" t="s">
        <v>60</v>
      </c>
      <c r="D1513" s="14" t="s">
        <v>106</v>
      </c>
      <c r="E1513" s="15">
        <v>5.26</v>
      </c>
      <c r="F1513" s="15">
        <v>476.95</v>
      </c>
      <c r="G1513" s="16">
        <f>ROUND(E1513*F1513,2)</f>
        <v>2508.7600000000002</v>
      </c>
    </row>
    <row r="1514" spans="1:7" x14ac:dyDescent="0.3">
      <c r="A1514" s="13" t="s">
        <v>321</v>
      </c>
      <c r="B1514" s="13" t="s">
        <v>15</v>
      </c>
      <c r="C1514" s="13" t="s">
        <v>60</v>
      </c>
      <c r="D1514" s="14" t="s">
        <v>322</v>
      </c>
      <c r="E1514" s="15">
        <v>3.43</v>
      </c>
      <c r="F1514" s="15">
        <v>713.28</v>
      </c>
      <c r="G1514" s="16">
        <f>ROUND(E1514*F1514,2)</f>
        <v>2446.5500000000002</v>
      </c>
    </row>
    <row r="1515" spans="1:7" x14ac:dyDescent="0.3">
      <c r="A1515" s="13" t="s">
        <v>323</v>
      </c>
      <c r="B1515" s="13" t="s">
        <v>15</v>
      </c>
      <c r="C1515" s="13" t="s">
        <v>60</v>
      </c>
      <c r="D1515" s="14" t="s">
        <v>324</v>
      </c>
      <c r="E1515" s="15">
        <v>3.02</v>
      </c>
      <c r="F1515" s="15">
        <v>702.51</v>
      </c>
      <c r="G1515" s="16">
        <f>ROUND(E1515*F1515,2)</f>
        <v>2121.58</v>
      </c>
    </row>
    <row r="1516" spans="1:7" x14ac:dyDescent="0.3">
      <c r="A1516" s="13" t="s">
        <v>325</v>
      </c>
      <c r="B1516" s="13" t="s">
        <v>15</v>
      </c>
      <c r="C1516" s="13" t="s">
        <v>60</v>
      </c>
      <c r="D1516" s="14" t="s">
        <v>326</v>
      </c>
      <c r="E1516" s="15">
        <v>3.02</v>
      </c>
      <c r="F1516" s="15">
        <v>680.27</v>
      </c>
      <c r="G1516" s="16">
        <f>ROUND(E1516*F1516,2)</f>
        <v>2054.42</v>
      </c>
    </row>
    <row r="1517" spans="1:7" x14ac:dyDescent="0.3">
      <c r="A1517" s="13" t="s">
        <v>327</v>
      </c>
      <c r="B1517" s="13" t="s">
        <v>15</v>
      </c>
      <c r="C1517" s="13" t="s">
        <v>60</v>
      </c>
      <c r="D1517" s="14" t="s">
        <v>328</v>
      </c>
      <c r="E1517" s="15">
        <v>3.53</v>
      </c>
      <c r="F1517" s="15">
        <v>693.2</v>
      </c>
      <c r="G1517" s="16">
        <f>ROUND(E1517*F1517,2)</f>
        <v>2447</v>
      </c>
    </row>
    <row r="1518" spans="1:7" x14ac:dyDescent="0.3">
      <c r="A1518" s="13" t="s">
        <v>329</v>
      </c>
      <c r="B1518" s="13" t="s">
        <v>15</v>
      </c>
      <c r="C1518" s="13" t="s">
        <v>60</v>
      </c>
      <c r="D1518" s="14" t="s">
        <v>330</v>
      </c>
      <c r="E1518" s="15">
        <v>3.59</v>
      </c>
      <c r="F1518" s="15">
        <v>693.4</v>
      </c>
      <c r="G1518" s="16">
        <f>ROUND(E1518*F1518,2)</f>
        <v>2489.31</v>
      </c>
    </row>
    <row r="1519" spans="1:7" x14ac:dyDescent="0.3">
      <c r="A1519" s="13" t="s">
        <v>331</v>
      </c>
      <c r="B1519" s="13" t="s">
        <v>15</v>
      </c>
      <c r="C1519" s="13" t="s">
        <v>60</v>
      </c>
      <c r="D1519" s="14" t="s">
        <v>332</v>
      </c>
      <c r="E1519" s="15">
        <v>3.39</v>
      </c>
      <c r="F1519" s="15">
        <v>700.15</v>
      </c>
      <c r="G1519" s="16">
        <f>ROUND(E1519*F1519,2)</f>
        <v>2373.5100000000002</v>
      </c>
    </row>
    <row r="1520" spans="1:7" x14ac:dyDescent="0.3">
      <c r="A1520" s="13" t="s">
        <v>604</v>
      </c>
      <c r="B1520" s="13" t="s">
        <v>15</v>
      </c>
      <c r="C1520" s="13" t="s">
        <v>60</v>
      </c>
      <c r="D1520" s="14" t="s">
        <v>605</v>
      </c>
      <c r="E1520" s="15">
        <v>1.81</v>
      </c>
      <c r="F1520" s="15">
        <v>646.07000000000005</v>
      </c>
      <c r="G1520" s="16">
        <f>ROUND(E1520*F1520,2)</f>
        <v>1169.3900000000001</v>
      </c>
    </row>
    <row r="1521" spans="1:7" x14ac:dyDescent="0.3">
      <c r="A1521" s="13" t="s">
        <v>333</v>
      </c>
      <c r="B1521" s="13" t="s">
        <v>15</v>
      </c>
      <c r="C1521" s="13" t="s">
        <v>60</v>
      </c>
      <c r="D1521" s="14" t="s">
        <v>334</v>
      </c>
      <c r="E1521" s="15">
        <v>2.17</v>
      </c>
      <c r="F1521" s="15">
        <v>693.4</v>
      </c>
      <c r="G1521" s="16">
        <f>ROUND(E1521*F1521,2)</f>
        <v>1504.68</v>
      </c>
    </row>
    <row r="1522" spans="1:7" ht="31.2" x14ac:dyDescent="0.3">
      <c r="A1522" s="13" t="s">
        <v>432</v>
      </c>
      <c r="B1522" s="13" t="s">
        <v>15</v>
      </c>
      <c r="C1522" s="13" t="s">
        <v>60</v>
      </c>
      <c r="D1522" s="14" t="s">
        <v>433</v>
      </c>
      <c r="E1522" s="15">
        <v>0.47</v>
      </c>
      <c r="F1522" s="15">
        <v>700.07</v>
      </c>
      <c r="G1522" s="16">
        <f>ROUND(E1522*F1522,2)</f>
        <v>329.03</v>
      </c>
    </row>
    <row r="1523" spans="1:7" x14ac:dyDescent="0.3">
      <c r="A1523" s="13" t="s">
        <v>335</v>
      </c>
      <c r="B1523" s="13" t="s">
        <v>15</v>
      </c>
      <c r="C1523" s="13" t="s">
        <v>91</v>
      </c>
      <c r="D1523" s="14" t="s">
        <v>336</v>
      </c>
      <c r="E1523" s="15">
        <v>10.25</v>
      </c>
      <c r="F1523" s="15">
        <v>367.46</v>
      </c>
      <c r="G1523" s="16">
        <f>ROUND(E1523*F1523,2)</f>
        <v>3766.47</v>
      </c>
    </row>
    <row r="1524" spans="1:7" x14ac:dyDescent="0.3">
      <c r="A1524" s="13" t="s">
        <v>606</v>
      </c>
      <c r="B1524" s="13" t="s">
        <v>15</v>
      </c>
      <c r="C1524" s="13" t="s">
        <v>60</v>
      </c>
      <c r="D1524" s="14" t="s">
        <v>607</v>
      </c>
      <c r="E1524" s="15">
        <v>45.44</v>
      </c>
      <c r="F1524" s="15">
        <v>492.15</v>
      </c>
      <c r="G1524" s="16">
        <f>ROUND(E1524*F1524,2)</f>
        <v>22363.3</v>
      </c>
    </row>
    <row r="1525" spans="1:7" x14ac:dyDescent="0.3">
      <c r="A1525" s="17"/>
      <c r="B1525" s="17"/>
      <c r="C1525" s="17"/>
      <c r="D1525" s="18" t="s">
        <v>664</v>
      </c>
      <c r="E1525" s="15">
        <v>1</v>
      </c>
      <c r="F1525" s="12">
        <f>SUM(G1507:G1524)</f>
        <v>65542.62999999999</v>
      </c>
      <c r="G1525" s="12">
        <f>ROUND(F1525*E1525,2)</f>
        <v>65542.63</v>
      </c>
    </row>
    <row r="1526" spans="1:7" ht="1.05" customHeight="1" x14ac:dyDescent="0.3">
      <c r="A1526" s="20"/>
      <c r="B1526" s="20"/>
      <c r="C1526" s="20"/>
      <c r="D1526" s="21"/>
      <c r="E1526" s="20"/>
      <c r="F1526" s="20"/>
      <c r="G1526" s="20"/>
    </row>
    <row r="1527" spans="1:7" x14ac:dyDescent="0.3">
      <c r="A1527" s="22" t="s">
        <v>665</v>
      </c>
      <c r="B1527" s="22" t="s">
        <v>11</v>
      </c>
      <c r="C1527" s="22" t="s">
        <v>12</v>
      </c>
      <c r="D1527" s="23" t="s">
        <v>109</v>
      </c>
      <c r="E1527" s="12">
        <f>E1530</f>
        <v>1</v>
      </c>
      <c r="F1527" s="12">
        <f>F1530</f>
        <v>19577.670000000002</v>
      </c>
      <c r="G1527" s="12">
        <f>G1530</f>
        <v>19577.669999999998</v>
      </c>
    </row>
    <row r="1528" spans="1:7" ht="31.2" x14ac:dyDescent="0.3">
      <c r="A1528" s="13" t="s">
        <v>110</v>
      </c>
      <c r="B1528" s="13" t="s">
        <v>15</v>
      </c>
      <c r="C1528" s="13" t="s">
        <v>112</v>
      </c>
      <c r="D1528" s="14" t="s">
        <v>111</v>
      </c>
      <c r="E1528" s="15">
        <v>691.18</v>
      </c>
      <c r="F1528" s="15">
        <v>27.41</v>
      </c>
      <c r="G1528" s="16">
        <f>ROUND(E1528*F1528,2)</f>
        <v>18945.240000000002</v>
      </c>
    </row>
    <row r="1529" spans="1:7" ht="31.2" x14ac:dyDescent="0.3">
      <c r="A1529" s="13" t="s">
        <v>499</v>
      </c>
      <c r="B1529" s="13" t="s">
        <v>15</v>
      </c>
      <c r="C1529" s="13" t="s">
        <v>112</v>
      </c>
      <c r="D1529" s="14" t="s">
        <v>500</v>
      </c>
      <c r="E1529" s="15">
        <v>30.42</v>
      </c>
      <c r="F1529" s="15">
        <v>20.79</v>
      </c>
      <c r="G1529" s="16">
        <f>ROUND(E1529*F1529,2)</f>
        <v>632.42999999999995</v>
      </c>
    </row>
    <row r="1530" spans="1:7" x14ac:dyDescent="0.3">
      <c r="A1530" s="17"/>
      <c r="B1530" s="17"/>
      <c r="C1530" s="17"/>
      <c r="D1530" s="18" t="s">
        <v>666</v>
      </c>
      <c r="E1530" s="15">
        <v>1</v>
      </c>
      <c r="F1530" s="12">
        <f>SUM(G1528:G1529)</f>
        <v>19577.670000000002</v>
      </c>
      <c r="G1530" s="12">
        <f>ROUND(F1530*E1530,2)</f>
        <v>19577.669999999998</v>
      </c>
    </row>
    <row r="1531" spans="1:7" ht="1.05" customHeight="1" x14ac:dyDescent="0.3">
      <c r="A1531" s="20"/>
      <c r="B1531" s="20"/>
      <c r="C1531" s="20"/>
      <c r="D1531" s="21"/>
      <c r="E1531" s="20"/>
      <c r="F1531" s="20"/>
      <c r="G1531" s="20"/>
    </row>
    <row r="1532" spans="1:7" x14ac:dyDescent="0.3">
      <c r="A1532" s="22" t="s">
        <v>667</v>
      </c>
      <c r="B1532" s="22" t="s">
        <v>11</v>
      </c>
      <c r="C1532" s="22" t="s">
        <v>12</v>
      </c>
      <c r="D1532" s="23" t="s">
        <v>115</v>
      </c>
      <c r="E1532" s="12">
        <f>E1541</f>
        <v>1</v>
      </c>
      <c r="F1532" s="12">
        <f>F1541</f>
        <v>30748.529999999995</v>
      </c>
      <c r="G1532" s="12">
        <f>G1541</f>
        <v>30748.53</v>
      </c>
    </row>
    <row r="1533" spans="1:7" x14ac:dyDescent="0.3">
      <c r="A1533" s="13" t="s">
        <v>116</v>
      </c>
      <c r="B1533" s="13" t="s">
        <v>15</v>
      </c>
      <c r="C1533" s="13" t="s">
        <v>112</v>
      </c>
      <c r="D1533" s="14" t="s">
        <v>117</v>
      </c>
      <c r="E1533" s="15">
        <v>321.01</v>
      </c>
      <c r="F1533" s="15">
        <v>1.96</v>
      </c>
      <c r="G1533" s="16">
        <f>ROUND(E1533*F1533,2)</f>
        <v>629.17999999999995</v>
      </c>
    </row>
    <row r="1534" spans="1:7" ht="31.2" x14ac:dyDescent="0.3">
      <c r="A1534" s="13" t="s">
        <v>118</v>
      </c>
      <c r="B1534" s="13" t="s">
        <v>15</v>
      </c>
      <c r="C1534" s="13" t="s">
        <v>112</v>
      </c>
      <c r="D1534" s="14" t="s">
        <v>119</v>
      </c>
      <c r="E1534" s="15">
        <v>1293.1500000000001</v>
      </c>
      <c r="F1534" s="15">
        <v>8.4</v>
      </c>
      <c r="G1534" s="16">
        <f>ROUND(E1534*F1534,2)</f>
        <v>10862.46</v>
      </c>
    </row>
    <row r="1535" spans="1:7" x14ac:dyDescent="0.3">
      <c r="A1535" s="13" t="s">
        <v>503</v>
      </c>
      <c r="B1535" s="13" t="s">
        <v>15</v>
      </c>
      <c r="C1535" s="13" t="s">
        <v>112</v>
      </c>
      <c r="D1535" s="14" t="s">
        <v>504</v>
      </c>
      <c r="E1535" s="15">
        <v>1749.33</v>
      </c>
      <c r="F1535" s="15">
        <v>3.02</v>
      </c>
      <c r="G1535" s="16">
        <f>ROUND(E1535*F1535,2)</f>
        <v>5282.98</v>
      </c>
    </row>
    <row r="1536" spans="1:7" ht="31.2" x14ac:dyDescent="0.3">
      <c r="A1536" s="13" t="s">
        <v>120</v>
      </c>
      <c r="B1536" s="13" t="s">
        <v>15</v>
      </c>
      <c r="C1536" s="13" t="s">
        <v>112</v>
      </c>
      <c r="D1536" s="14" t="s">
        <v>121</v>
      </c>
      <c r="E1536" s="15">
        <v>228.79</v>
      </c>
      <c r="F1536" s="15">
        <v>8.4700000000000006</v>
      </c>
      <c r="G1536" s="16">
        <f>ROUND(E1536*F1536,2)</f>
        <v>1937.85</v>
      </c>
    </row>
    <row r="1537" spans="1:7" ht="31.2" x14ac:dyDescent="0.3">
      <c r="A1537" s="13" t="s">
        <v>122</v>
      </c>
      <c r="B1537" s="13" t="s">
        <v>15</v>
      </c>
      <c r="C1537" s="13" t="s">
        <v>112</v>
      </c>
      <c r="D1537" s="14" t="s">
        <v>123</v>
      </c>
      <c r="E1537" s="15">
        <v>456.18</v>
      </c>
      <c r="F1537" s="15">
        <v>11.87</v>
      </c>
      <c r="G1537" s="16">
        <f>ROUND(E1537*F1537,2)</f>
        <v>5414.86</v>
      </c>
    </row>
    <row r="1538" spans="1:7" ht="31.2" x14ac:dyDescent="0.3">
      <c r="A1538" s="13" t="s">
        <v>124</v>
      </c>
      <c r="B1538" s="13" t="s">
        <v>15</v>
      </c>
      <c r="C1538" s="13" t="s">
        <v>112</v>
      </c>
      <c r="D1538" s="14" t="s">
        <v>125</v>
      </c>
      <c r="E1538" s="15">
        <v>97.2</v>
      </c>
      <c r="F1538" s="15">
        <v>9.4600000000000009</v>
      </c>
      <c r="G1538" s="16">
        <f>ROUND(E1538*F1538,2)</f>
        <v>919.51</v>
      </c>
    </row>
    <row r="1539" spans="1:7" x14ac:dyDescent="0.3">
      <c r="A1539" s="13" t="s">
        <v>126</v>
      </c>
      <c r="B1539" s="13" t="s">
        <v>15</v>
      </c>
      <c r="C1539" s="13" t="s">
        <v>28</v>
      </c>
      <c r="D1539" s="14" t="s">
        <v>127</v>
      </c>
      <c r="E1539" s="15">
        <v>921.78</v>
      </c>
      <c r="F1539" s="15">
        <v>4.16</v>
      </c>
      <c r="G1539" s="16">
        <f>ROUND(E1539*F1539,2)</f>
        <v>3834.6</v>
      </c>
    </row>
    <row r="1540" spans="1:7" x14ac:dyDescent="0.3">
      <c r="A1540" s="13" t="s">
        <v>128</v>
      </c>
      <c r="B1540" s="13" t="s">
        <v>15</v>
      </c>
      <c r="C1540" s="13" t="s">
        <v>28</v>
      </c>
      <c r="D1540" s="14" t="s">
        <v>129</v>
      </c>
      <c r="E1540" s="15">
        <v>413.99</v>
      </c>
      <c r="F1540" s="15">
        <v>4.51</v>
      </c>
      <c r="G1540" s="16">
        <f>ROUND(E1540*F1540,2)</f>
        <v>1867.09</v>
      </c>
    </row>
    <row r="1541" spans="1:7" x14ac:dyDescent="0.3">
      <c r="A1541" s="17"/>
      <c r="B1541" s="17"/>
      <c r="C1541" s="17"/>
      <c r="D1541" s="18" t="s">
        <v>668</v>
      </c>
      <c r="E1541" s="15">
        <v>1</v>
      </c>
      <c r="F1541" s="12">
        <f>SUM(G1533:G1540)</f>
        <v>30748.529999999995</v>
      </c>
      <c r="G1541" s="12">
        <f>ROUND(F1541*E1541,2)</f>
        <v>30748.53</v>
      </c>
    </row>
    <row r="1542" spans="1:7" ht="1.05" customHeight="1" x14ac:dyDescent="0.3">
      <c r="A1542" s="20"/>
      <c r="B1542" s="20"/>
      <c r="C1542" s="20"/>
      <c r="D1542" s="21"/>
      <c r="E1542" s="20"/>
      <c r="F1542" s="20"/>
      <c r="G1542" s="20"/>
    </row>
    <row r="1543" spans="1:7" x14ac:dyDescent="0.3">
      <c r="A1543" s="22" t="s">
        <v>669</v>
      </c>
      <c r="B1543" s="22" t="s">
        <v>11</v>
      </c>
      <c r="C1543" s="22" t="s">
        <v>12</v>
      </c>
      <c r="D1543" s="23" t="s">
        <v>132</v>
      </c>
      <c r="E1543" s="12">
        <f>E1546</f>
        <v>1</v>
      </c>
      <c r="F1543" s="12">
        <f>F1546</f>
        <v>17180.560000000001</v>
      </c>
      <c r="G1543" s="12">
        <f>G1546</f>
        <v>17180.560000000001</v>
      </c>
    </row>
    <row r="1544" spans="1:7" ht="31.2" x14ac:dyDescent="0.3">
      <c r="A1544" s="13" t="s">
        <v>133</v>
      </c>
      <c r="B1544" s="13" t="s">
        <v>15</v>
      </c>
      <c r="C1544" s="13" t="s">
        <v>112</v>
      </c>
      <c r="D1544" s="14" t="s">
        <v>134</v>
      </c>
      <c r="E1544" s="15">
        <v>351.32</v>
      </c>
      <c r="F1544" s="15">
        <v>42.32</v>
      </c>
      <c r="G1544" s="16">
        <f>ROUND(E1544*F1544,2)</f>
        <v>14867.86</v>
      </c>
    </row>
    <row r="1545" spans="1:7" ht="31.2" x14ac:dyDescent="0.3">
      <c r="A1545" s="13" t="s">
        <v>135</v>
      </c>
      <c r="B1545" s="13" t="s">
        <v>15</v>
      </c>
      <c r="C1545" s="13" t="s">
        <v>28</v>
      </c>
      <c r="D1545" s="14" t="s">
        <v>136</v>
      </c>
      <c r="E1545" s="15">
        <v>399.43</v>
      </c>
      <c r="F1545" s="15">
        <v>5.79</v>
      </c>
      <c r="G1545" s="16">
        <f>ROUND(E1545*F1545,2)</f>
        <v>2312.6999999999998</v>
      </c>
    </row>
    <row r="1546" spans="1:7" x14ac:dyDescent="0.3">
      <c r="A1546" s="17"/>
      <c r="B1546" s="17"/>
      <c r="C1546" s="17"/>
      <c r="D1546" s="18" t="s">
        <v>670</v>
      </c>
      <c r="E1546" s="15">
        <v>1</v>
      </c>
      <c r="F1546" s="12">
        <f>SUM(G1544:G1545)</f>
        <v>17180.560000000001</v>
      </c>
      <c r="G1546" s="12">
        <f>ROUND(F1546*E1546,2)</f>
        <v>17180.560000000001</v>
      </c>
    </row>
    <row r="1547" spans="1:7" ht="1.05" customHeight="1" x14ac:dyDescent="0.3">
      <c r="A1547" s="20"/>
      <c r="B1547" s="20"/>
      <c r="C1547" s="20"/>
      <c r="D1547" s="21"/>
      <c r="E1547" s="20"/>
      <c r="F1547" s="20"/>
      <c r="G1547" s="20"/>
    </row>
    <row r="1548" spans="1:7" x14ac:dyDescent="0.3">
      <c r="A1548" s="22" t="s">
        <v>671</v>
      </c>
      <c r="B1548" s="22" t="s">
        <v>11</v>
      </c>
      <c r="C1548" s="22" t="s">
        <v>12</v>
      </c>
      <c r="D1548" s="23" t="s">
        <v>347</v>
      </c>
      <c r="E1548" s="12">
        <f>E1550</f>
        <v>1</v>
      </c>
      <c r="F1548" s="12">
        <f>F1550</f>
        <v>5947.28</v>
      </c>
      <c r="G1548" s="12">
        <f>G1550</f>
        <v>5947.28</v>
      </c>
    </row>
    <row r="1549" spans="1:7" ht="31.2" x14ac:dyDescent="0.3">
      <c r="A1549" s="13" t="s">
        <v>348</v>
      </c>
      <c r="B1549" s="13" t="s">
        <v>15</v>
      </c>
      <c r="C1549" s="13" t="s">
        <v>22</v>
      </c>
      <c r="D1549" s="14" t="s">
        <v>349</v>
      </c>
      <c r="E1549" s="15">
        <v>138.02000000000001</v>
      </c>
      <c r="F1549" s="15">
        <v>43.09</v>
      </c>
      <c r="G1549" s="16">
        <f>ROUND(E1549*F1549,2)</f>
        <v>5947.28</v>
      </c>
    </row>
    <row r="1550" spans="1:7" x14ac:dyDescent="0.3">
      <c r="A1550" s="17"/>
      <c r="B1550" s="17"/>
      <c r="C1550" s="17"/>
      <c r="D1550" s="18" t="s">
        <v>672</v>
      </c>
      <c r="E1550" s="15">
        <v>1</v>
      </c>
      <c r="F1550" s="12">
        <f>G1549</f>
        <v>5947.28</v>
      </c>
      <c r="G1550" s="12">
        <f>ROUND(F1550*E1550,2)</f>
        <v>5947.28</v>
      </c>
    </row>
    <row r="1551" spans="1:7" ht="1.05" customHeight="1" x14ac:dyDescent="0.3">
      <c r="A1551" s="20"/>
      <c r="B1551" s="20"/>
      <c r="C1551" s="20"/>
      <c r="D1551" s="21"/>
      <c r="E1551" s="20"/>
      <c r="F1551" s="20"/>
      <c r="G1551" s="20"/>
    </row>
    <row r="1552" spans="1:7" x14ac:dyDescent="0.3">
      <c r="A1552" s="22" t="s">
        <v>673</v>
      </c>
      <c r="B1552" s="22" t="s">
        <v>11</v>
      </c>
      <c r="C1552" s="22" t="s">
        <v>12</v>
      </c>
      <c r="D1552" s="23" t="s">
        <v>141</v>
      </c>
      <c r="E1552" s="12">
        <f>E1555</f>
        <v>1</v>
      </c>
      <c r="F1552" s="12">
        <f>F1555</f>
        <v>3149.3900000000003</v>
      </c>
      <c r="G1552" s="12">
        <f>G1555</f>
        <v>3149.39</v>
      </c>
    </row>
    <row r="1553" spans="1:7" ht="31.2" x14ac:dyDescent="0.3">
      <c r="A1553" s="13" t="s">
        <v>142</v>
      </c>
      <c r="B1553" s="13" t="s">
        <v>15</v>
      </c>
      <c r="C1553" s="13" t="s">
        <v>28</v>
      </c>
      <c r="D1553" s="14" t="s">
        <v>143</v>
      </c>
      <c r="E1553" s="15">
        <v>46.8</v>
      </c>
      <c r="F1553" s="15">
        <v>61.92</v>
      </c>
      <c r="G1553" s="16">
        <f>ROUND(E1553*F1553,2)</f>
        <v>2897.86</v>
      </c>
    </row>
    <row r="1554" spans="1:7" x14ac:dyDescent="0.3">
      <c r="A1554" s="13" t="s">
        <v>144</v>
      </c>
      <c r="B1554" s="13" t="s">
        <v>15</v>
      </c>
      <c r="C1554" s="13" t="s">
        <v>112</v>
      </c>
      <c r="D1554" s="14" t="s">
        <v>145</v>
      </c>
      <c r="E1554" s="15">
        <v>6.54</v>
      </c>
      <c r="F1554" s="15">
        <v>38.46</v>
      </c>
      <c r="G1554" s="16">
        <f>ROUND(E1554*F1554,2)</f>
        <v>251.53</v>
      </c>
    </row>
    <row r="1555" spans="1:7" x14ac:dyDescent="0.3">
      <c r="A1555" s="17"/>
      <c r="B1555" s="17"/>
      <c r="C1555" s="17"/>
      <c r="D1555" s="18" t="s">
        <v>674</v>
      </c>
      <c r="E1555" s="15">
        <v>1</v>
      </c>
      <c r="F1555" s="12">
        <f>SUM(G1553:G1554)</f>
        <v>3149.3900000000003</v>
      </c>
      <c r="G1555" s="12">
        <f>ROUND(F1555*E1555,2)</f>
        <v>3149.39</v>
      </c>
    </row>
    <row r="1556" spans="1:7" ht="1.05" customHeight="1" x14ac:dyDescent="0.3">
      <c r="A1556" s="20"/>
      <c r="B1556" s="20"/>
      <c r="C1556" s="20"/>
      <c r="D1556" s="21"/>
      <c r="E1556" s="20"/>
      <c r="F1556" s="20"/>
      <c r="G1556" s="20"/>
    </row>
    <row r="1557" spans="1:7" x14ac:dyDescent="0.3">
      <c r="A1557" s="22" t="s">
        <v>675</v>
      </c>
      <c r="B1557" s="22" t="s">
        <v>11</v>
      </c>
      <c r="C1557" s="22" t="s">
        <v>12</v>
      </c>
      <c r="D1557" s="23" t="s">
        <v>148</v>
      </c>
      <c r="E1557" s="12">
        <f>E1563</f>
        <v>1</v>
      </c>
      <c r="F1557" s="12">
        <f>F1563</f>
        <v>27012.5</v>
      </c>
      <c r="G1557" s="12">
        <f>G1563</f>
        <v>27012.5</v>
      </c>
    </row>
    <row r="1558" spans="1:7" ht="31.2" x14ac:dyDescent="0.3">
      <c r="A1558" s="13" t="s">
        <v>149</v>
      </c>
      <c r="B1558" s="13" t="s">
        <v>15</v>
      </c>
      <c r="C1558" s="13" t="s">
        <v>151</v>
      </c>
      <c r="D1558" s="14" t="s">
        <v>150</v>
      </c>
      <c r="E1558" s="15">
        <v>2</v>
      </c>
      <c r="F1558" s="15">
        <v>249.6</v>
      </c>
      <c r="G1558" s="16">
        <f>ROUND(E1558*F1558,2)</f>
        <v>499.2</v>
      </c>
    </row>
    <row r="1559" spans="1:7" ht="31.2" x14ac:dyDescent="0.3">
      <c r="A1559" s="13" t="s">
        <v>152</v>
      </c>
      <c r="B1559" s="13" t="s">
        <v>15</v>
      </c>
      <c r="C1559" s="13" t="s">
        <v>151</v>
      </c>
      <c r="D1559" s="14" t="s">
        <v>153</v>
      </c>
      <c r="E1559" s="15">
        <v>2</v>
      </c>
      <c r="F1559" s="15">
        <v>424.61</v>
      </c>
      <c r="G1559" s="16">
        <f>ROUND(E1559*F1559,2)</f>
        <v>849.22</v>
      </c>
    </row>
    <row r="1560" spans="1:7" ht="31.2" x14ac:dyDescent="0.3">
      <c r="A1560" s="13" t="s">
        <v>517</v>
      </c>
      <c r="B1560" s="13" t="s">
        <v>15</v>
      </c>
      <c r="C1560" s="13" t="s">
        <v>151</v>
      </c>
      <c r="D1560" s="14" t="s">
        <v>518</v>
      </c>
      <c r="E1560" s="15">
        <v>4</v>
      </c>
      <c r="F1560" s="15">
        <v>714</v>
      </c>
      <c r="G1560" s="16">
        <f>ROUND(E1560*F1560,2)</f>
        <v>2856</v>
      </c>
    </row>
    <row r="1561" spans="1:7" ht="31.2" x14ac:dyDescent="0.3">
      <c r="A1561" s="13" t="s">
        <v>519</v>
      </c>
      <c r="B1561" s="13" t="s">
        <v>15</v>
      </c>
      <c r="C1561" s="13" t="s">
        <v>151</v>
      </c>
      <c r="D1561" s="14" t="s">
        <v>520</v>
      </c>
      <c r="E1561" s="15">
        <v>22</v>
      </c>
      <c r="F1561" s="15">
        <v>538.34</v>
      </c>
      <c r="G1561" s="16">
        <f>ROUND(E1561*F1561,2)</f>
        <v>11843.48</v>
      </c>
    </row>
    <row r="1562" spans="1:7" ht="31.2" x14ac:dyDescent="0.3">
      <c r="A1562" s="13" t="s">
        <v>521</v>
      </c>
      <c r="B1562" s="13" t="s">
        <v>15</v>
      </c>
      <c r="C1562" s="13" t="s">
        <v>363</v>
      </c>
      <c r="D1562" s="14" t="s">
        <v>522</v>
      </c>
      <c r="E1562" s="15">
        <v>470.18</v>
      </c>
      <c r="F1562" s="15">
        <v>23.32</v>
      </c>
      <c r="G1562" s="16">
        <f>ROUND(E1562*F1562,2)</f>
        <v>10964.6</v>
      </c>
    </row>
    <row r="1563" spans="1:7" x14ac:dyDescent="0.3">
      <c r="A1563" s="17"/>
      <c r="B1563" s="17"/>
      <c r="C1563" s="17"/>
      <c r="D1563" s="18" t="s">
        <v>676</v>
      </c>
      <c r="E1563" s="15">
        <v>1</v>
      </c>
      <c r="F1563" s="12">
        <f>SUM(G1558:G1562)</f>
        <v>27012.5</v>
      </c>
      <c r="G1563" s="12">
        <f>ROUND(F1563*E1563,2)</f>
        <v>27012.5</v>
      </c>
    </row>
    <row r="1564" spans="1:7" ht="1.05" customHeight="1" x14ac:dyDescent="0.3">
      <c r="A1564" s="20"/>
      <c r="B1564" s="20"/>
      <c r="C1564" s="20"/>
      <c r="D1564" s="21"/>
      <c r="E1564" s="20"/>
      <c r="F1564" s="20"/>
      <c r="G1564" s="20"/>
    </row>
    <row r="1565" spans="1:7" x14ac:dyDescent="0.3">
      <c r="A1565" s="22" t="s">
        <v>677</v>
      </c>
      <c r="B1565" s="22" t="s">
        <v>11</v>
      </c>
      <c r="C1565" s="22" t="s">
        <v>12</v>
      </c>
      <c r="D1565" s="23" t="s">
        <v>360</v>
      </c>
      <c r="E1565" s="12">
        <f>E1567</f>
        <v>1</v>
      </c>
      <c r="F1565" s="12">
        <f>F1567</f>
        <v>4676.05</v>
      </c>
      <c r="G1565" s="12">
        <f>G1567</f>
        <v>4676.05</v>
      </c>
    </row>
    <row r="1566" spans="1:7" ht="31.2" x14ac:dyDescent="0.3">
      <c r="A1566" s="13" t="s">
        <v>361</v>
      </c>
      <c r="B1566" s="13" t="s">
        <v>15</v>
      </c>
      <c r="C1566" s="13" t="s">
        <v>363</v>
      </c>
      <c r="D1566" s="14" t="s">
        <v>362</v>
      </c>
      <c r="E1566" s="15">
        <v>525.99</v>
      </c>
      <c r="F1566" s="15">
        <v>8.89</v>
      </c>
      <c r="G1566" s="16">
        <f>ROUND(E1566*F1566,2)</f>
        <v>4676.05</v>
      </c>
    </row>
    <row r="1567" spans="1:7" x14ac:dyDescent="0.3">
      <c r="A1567" s="17"/>
      <c r="B1567" s="17"/>
      <c r="C1567" s="17"/>
      <c r="D1567" s="18" t="s">
        <v>678</v>
      </c>
      <c r="E1567" s="15">
        <v>1</v>
      </c>
      <c r="F1567" s="12">
        <f>G1566</f>
        <v>4676.05</v>
      </c>
      <c r="G1567" s="12">
        <f>ROUND(F1567*E1567,2)</f>
        <v>4676.05</v>
      </c>
    </row>
    <row r="1568" spans="1:7" ht="1.05" customHeight="1" x14ac:dyDescent="0.3">
      <c r="A1568" s="20"/>
      <c r="B1568" s="20"/>
      <c r="C1568" s="20"/>
      <c r="D1568" s="21"/>
      <c r="E1568" s="20"/>
      <c r="F1568" s="20"/>
      <c r="G1568" s="20"/>
    </row>
    <row r="1569" spans="1:7" x14ac:dyDescent="0.3">
      <c r="A1569" s="22" t="s">
        <v>679</v>
      </c>
      <c r="B1569" s="22" t="s">
        <v>11</v>
      </c>
      <c r="C1569" s="22" t="s">
        <v>12</v>
      </c>
      <c r="D1569" s="23" t="s">
        <v>156</v>
      </c>
      <c r="E1569" s="12">
        <f>E1574</f>
        <v>1</v>
      </c>
      <c r="F1569" s="12">
        <f>F1574</f>
        <v>20212.09</v>
      </c>
      <c r="G1569" s="12">
        <f>G1574</f>
        <v>20212.09</v>
      </c>
    </row>
    <row r="1570" spans="1:7" x14ac:dyDescent="0.3">
      <c r="A1570" s="13" t="s">
        <v>157</v>
      </c>
      <c r="B1570" s="13" t="s">
        <v>15</v>
      </c>
      <c r="C1570" s="13" t="s">
        <v>112</v>
      </c>
      <c r="D1570" s="14" t="s">
        <v>158</v>
      </c>
      <c r="E1570" s="15">
        <v>2137.42</v>
      </c>
      <c r="F1570" s="15">
        <v>4.0199999999999996</v>
      </c>
      <c r="G1570" s="16">
        <f>ROUND(E1570*F1570,2)</f>
        <v>8592.43</v>
      </c>
    </row>
    <row r="1571" spans="1:7" x14ac:dyDescent="0.3">
      <c r="A1571" s="13" t="s">
        <v>159</v>
      </c>
      <c r="B1571" s="13" t="s">
        <v>15</v>
      </c>
      <c r="C1571" s="13" t="s">
        <v>112</v>
      </c>
      <c r="D1571" s="14" t="s">
        <v>160</v>
      </c>
      <c r="E1571" s="15">
        <v>1452.45</v>
      </c>
      <c r="F1571" s="15">
        <v>4.37</v>
      </c>
      <c r="G1571" s="16">
        <f>ROUND(E1571*F1571,2)</f>
        <v>6347.21</v>
      </c>
    </row>
    <row r="1572" spans="1:7" x14ac:dyDescent="0.3">
      <c r="A1572" s="13" t="s">
        <v>527</v>
      </c>
      <c r="B1572" s="13" t="s">
        <v>15</v>
      </c>
      <c r="C1572" s="13" t="s">
        <v>112</v>
      </c>
      <c r="D1572" s="14" t="s">
        <v>528</v>
      </c>
      <c r="E1572" s="15">
        <v>228.79</v>
      </c>
      <c r="F1572" s="15">
        <v>8.35</v>
      </c>
      <c r="G1572" s="16">
        <f>ROUND(E1572*F1572,2)</f>
        <v>1910.4</v>
      </c>
    </row>
    <row r="1573" spans="1:7" x14ac:dyDescent="0.3">
      <c r="A1573" s="13" t="s">
        <v>161</v>
      </c>
      <c r="B1573" s="13" t="s">
        <v>15</v>
      </c>
      <c r="C1573" s="13" t="s">
        <v>112</v>
      </c>
      <c r="D1573" s="14" t="s">
        <v>162</v>
      </c>
      <c r="E1573" s="15">
        <v>456.18</v>
      </c>
      <c r="F1573" s="15">
        <v>7.37</v>
      </c>
      <c r="G1573" s="16">
        <f>ROUND(E1573*F1573,2)</f>
        <v>3362.05</v>
      </c>
    </row>
    <row r="1574" spans="1:7" x14ac:dyDescent="0.3">
      <c r="A1574" s="17"/>
      <c r="B1574" s="17"/>
      <c r="C1574" s="17"/>
      <c r="D1574" s="18" t="s">
        <v>680</v>
      </c>
      <c r="E1574" s="15">
        <v>1</v>
      </c>
      <c r="F1574" s="12">
        <f>SUM(G1570:G1573)</f>
        <v>20212.09</v>
      </c>
      <c r="G1574" s="12">
        <f>ROUND(F1574*E1574,2)</f>
        <v>20212.09</v>
      </c>
    </row>
    <row r="1575" spans="1:7" ht="1.05" customHeight="1" x14ac:dyDescent="0.3">
      <c r="A1575" s="20"/>
      <c r="B1575" s="20"/>
      <c r="C1575" s="20"/>
      <c r="D1575" s="21"/>
      <c r="E1575" s="20"/>
      <c r="F1575" s="20"/>
      <c r="G1575" s="20"/>
    </row>
    <row r="1576" spans="1:7" x14ac:dyDescent="0.3">
      <c r="A1576" s="22" t="s">
        <v>681</v>
      </c>
      <c r="B1576" s="22" t="s">
        <v>11</v>
      </c>
      <c r="C1576" s="22" t="s">
        <v>12</v>
      </c>
      <c r="D1576" s="23" t="s">
        <v>531</v>
      </c>
      <c r="E1576" s="12">
        <f>E1580</f>
        <v>1</v>
      </c>
      <c r="F1576" s="12">
        <f>F1580</f>
        <v>9191.83</v>
      </c>
      <c r="G1576" s="12">
        <f>G1580</f>
        <v>9191.83</v>
      </c>
    </row>
    <row r="1577" spans="1:7" ht="31.2" x14ac:dyDescent="0.3">
      <c r="A1577" s="13" t="s">
        <v>532</v>
      </c>
      <c r="B1577" s="13" t="s">
        <v>15</v>
      </c>
      <c r="C1577" s="13" t="s">
        <v>534</v>
      </c>
      <c r="D1577" s="14" t="s">
        <v>533</v>
      </c>
      <c r="E1577" s="15">
        <v>38.049999999999997</v>
      </c>
      <c r="F1577" s="15">
        <v>53.17</v>
      </c>
      <c r="G1577" s="16">
        <f>ROUND(E1577*F1577,2)</f>
        <v>2023.12</v>
      </c>
    </row>
    <row r="1578" spans="1:7" x14ac:dyDescent="0.3">
      <c r="A1578" s="13" t="s">
        <v>535</v>
      </c>
      <c r="B1578" s="13" t="s">
        <v>15</v>
      </c>
      <c r="C1578" s="13" t="s">
        <v>534</v>
      </c>
      <c r="D1578" s="14" t="s">
        <v>536</v>
      </c>
      <c r="E1578" s="15">
        <v>44.94</v>
      </c>
      <c r="F1578" s="15">
        <v>71.430000000000007</v>
      </c>
      <c r="G1578" s="16">
        <f>ROUND(E1578*F1578,2)</f>
        <v>3210.06</v>
      </c>
    </row>
    <row r="1579" spans="1:7" x14ac:dyDescent="0.3">
      <c r="A1579" s="13" t="s">
        <v>537</v>
      </c>
      <c r="B1579" s="13" t="s">
        <v>15</v>
      </c>
      <c r="C1579" s="13" t="s">
        <v>534</v>
      </c>
      <c r="D1579" s="14" t="s">
        <v>538</v>
      </c>
      <c r="E1579" s="15">
        <v>55.42</v>
      </c>
      <c r="F1579" s="15">
        <v>71.430000000000007</v>
      </c>
      <c r="G1579" s="16">
        <f>ROUND(E1579*F1579,2)</f>
        <v>3958.65</v>
      </c>
    </row>
    <row r="1580" spans="1:7" x14ac:dyDescent="0.3">
      <c r="A1580" s="17"/>
      <c r="B1580" s="17"/>
      <c r="C1580" s="17"/>
      <c r="D1580" s="18" t="s">
        <v>682</v>
      </c>
      <c r="E1580" s="15">
        <v>1</v>
      </c>
      <c r="F1580" s="12">
        <f>SUM(G1577:G1579)</f>
        <v>9191.83</v>
      </c>
      <c r="G1580" s="12">
        <f>ROUND(F1580*E1580,2)</f>
        <v>9191.83</v>
      </c>
    </row>
    <row r="1581" spans="1:7" ht="1.05" customHeight="1" x14ac:dyDescent="0.3">
      <c r="A1581" s="20"/>
      <c r="B1581" s="20"/>
      <c r="C1581" s="20"/>
      <c r="D1581" s="21"/>
      <c r="E1581" s="20"/>
      <c r="F1581" s="20"/>
      <c r="G1581" s="20"/>
    </row>
    <row r="1582" spans="1:7" x14ac:dyDescent="0.3">
      <c r="A1582" s="22" t="s">
        <v>683</v>
      </c>
      <c r="B1582" s="22" t="s">
        <v>11</v>
      </c>
      <c r="C1582" s="22" t="s">
        <v>12</v>
      </c>
      <c r="D1582" s="23" t="s">
        <v>165</v>
      </c>
      <c r="E1582" s="12">
        <f>E1589</f>
        <v>1</v>
      </c>
      <c r="F1582" s="12">
        <f>F1589</f>
        <v>9975.9100000000017</v>
      </c>
      <c r="G1582" s="12">
        <f>G1589</f>
        <v>9975.91</v>
      </c>
    </row>
    <row r="1583" spans="1:7" x14ac:dyDescent="0.3">
      <c r="A1583" s="13" t="s">
        <v>172</v>
      </c>
      <c r="B1583" s="13" t="s">
        <v>15</v>
      </c>
      <c r="C1583" s="13" t="s">
        <v>28</v>
      </c>
      <c r="D1583" s="14" t="s">
        <v>173</v>
      </c>
      <c r="E1583" s="15">
        <v>10</v>
      </c>
      <c r="F1583" s="15">
        <v>122.02</v>
      </c>
      <c r="G1583" s="16">
        <f>ROUND(E1583*F1583,2)</f>
        <v>1220.2</v>
      </c>
    </row>
    <row r="1584" spans="1:7" x14ac:dyDescent="0.3">
      <c r="A1584" s="13" t="s">
        <v>541</v>
      </c>
      <c r="B1584" s="13" t="s">
        <v>15</v>
      </c>
      <c r="C1584" s="13" t="s">
        <v>22</v>
      </c>
      <c r="D1584" s="14" t="s">
        <v>542</v>
      </c>
      <c r="E1584" s="15">
        <v>24.88</v>
      </c>
      <c r="F1584" s="15">
        <v>212.06</v>
      </c>
      <c r="G1584" s="16">
        <f>ROUND(E1584*F1584,2)</f>
        <v>5276.05</v>
      </c>
    </row>
    <row r="1585" spans="1:7" x14ac:dyDescent="0.3">
      <c r="A1585" s="13" t="s">
        <v>543</v>
      </c>
      <c r="B1585" s="13" t="s">
        <v>15</v>
      </c>
      <c r="C1585" s="13" t="s">
        <v>91</v>
      </c>
      <c r="D1585" s="14" t="s">
        <v>544</v>
      </c>
      <c r="E1585" s="15">
        <v>2.46</v>
      </c>
      <c r="F1585" s="15">
        <v>113.44</v>
      </c>
      <c r="G1585" s="16">
        <f>ROUND(E1585*F1585,2)</f>
        <v>279.06</v>
      </c>
    </row>
    <row r="1586" spans="1:7" ht="31.2" x14ac:dyDescent="0.3">
      <c r="A1586" s="13" t="s">
        <v>545</v>
      </c>
      <c r="B1586" s="13" t="s">
        <v>15</v>
      </c>
      <c r="C1586" s="13" t="s">
        <v>22</v>
      </c>
      <c r="D1586" s="14" t="s">
        <v>546</v>
      </c>
      <c r="E1586" s="15">
        <v>22.68</v>
      </c>
      <c r="F1586" s="15">
        <v>44.13</v>
      </c>
      <c r="G1586" s="16">
        <f>ROUND(E1586*F1586,2)</f>
        <v>1000.87</v>
      </c>
    </row>
    <row r="1587" spans="1:7" x14ac:dyDescent="0.3">
      <c r="A1587" s="13" t="s">
        <v>628</v>
      </c>
      <c r="B1587" s="13" t="s">
        <v>15</v>
      </c>
      <c r="C1587" s="13" t="s">
        <v>22</v>
      </c>
      <c r="D1587" s="14" t="s">
        <v>629</v>
      </c>
      <c r="E1587" s="15">
        <v>22.75</v>
      </c>
      <c r="F1587" s="15">
        <v>49.72</v>
      </c>
      <c r="G1587" s="16">
        <f>ROUND(E1587*F1587,2)</f>
        <v>1131.1300000000001</v>
      </c>
    </row>
    <row r="1588" spans="1:7" x14ac:dyDescent="0.3">
      <c r="A1588" s="13" t="s">
        <v>630</v>
      </c>
      <c r="B1588" s="13" t="s">
        <v>15</v>
      </c>
      <c r="C1588" s="13" t="s">
        <v>28</v>
      </c>
      <c r="D1588" s="14" t="s">
        <v>631</v>
      </c>
      <c r="E1588" s="15">
        <v>26</v>
      </c>
      <c r="F1588" s="15">
        <v>41.1</v>
      </c>
      <c r="G1588" s="16">
        <f>ROUND(E1588*F1588,2)</f>
        <v>1068.5999999999999</v>
      </c>
    </row>
    <row r="1589" spans="1:7" x14ac:dyDescent="0.3">
      <c r="A1589" s="17"/>
      <c r="B1589" s="17"/>
      <c r="C1589" s="17"/>
      <c r="D1589" s="18" t="s">
        <v>684</v>
      </c>
      <c r="E1589" s="15">
        <v>1</v>
      </c>
      <c r="F1589" s="12">
        <f>SUM(G1583:G1588)</f>
        <v>9975.9100000000017</v>
      </c>
      <c r="G1589" s="12">
        <f>ROUND(F1589*E1589,2)</f>
        <v>9975.91</v>
      </c>
    </row>
    <row r="1590" spans="1:7" ht="1.05" customHeight="1" x14ac:dyDescent="0.3">
      <c r="A1590" s="20"/>
      <c r="B1590" s="20"/>
      <c r="C1590" s="20"/>
      <c r="D1590" s="21"/>
      <c r="E1590" s="20"/>
      <c r="F1590" s="20"/>
      <c r="G1590" s="20"/>
    </row>
    <row r="1591" spans="1:7" x14ac:dyDescent="0.3">
      <c r="A1591" s="22" t="s">
        <v>685</v>
      </c>
      <c r="B1591" s="22" t="s">
        <v>11</v>
      </c>
      <c r="C1591" s="22" t="s">
        <v>12</v>
      </c>
      <c r="D1591" s="23" t="s">
        <v>176</v>
      </c>
      <c r="E1591" s="12">
        <f>E1641</f>
        <v>1</v>
      </c>
      <c r="F1591" s="12">
        <f>F1641</f>
        <v>23569.119999999999</v>
      </c>
      <c r="G1591" s="12">
        <f>G1641</f>
        <v>23569.119999999999</v>
      </c>
    </row>
    <row r="1592" spans="1:7" ht="31.2" x14ac:dyDescent="0.3">
      <c r="A1592" s="22" t="s">
        <v>686</v>
      </c>
      <c r="B1592" s="22" t="s">
        <v>11</v>
      </c>
      <c r="C1592" s="22" t="s">
        <v>12</v>
      </c>
      <c r="D1592" s="23" t="s">
        <v>229</v>
      </c>
      <c r="E1592" s="12">
        <f>E1605</f>
        <v>1</v>
      </c>
      <c r="F1592" s="12">
        <f>F1605</f>
        <v>3305.2500000000005</v>
      </c>
      <c r="G1592" s="12">
        <f>G1605</f>
        <v>3305.25</v>
      </c>
    </row>
    <row r="1593" spans="1:7" x14ac:dyDescent="0.3">
      <c r="A1593" s="13" t="s">
        <v>230</v>
      </c>
      <c r="B1593" s="13" t="s">
        <v>15</v>
      </c>
      <c r="C1593" s="13" t="s">
        <v>28</v>
      </c>
      <c r="D1593" s="14" t="s">
        <v>231</v>
      </c>
      <c r="E1593" s="15">
        <v>253.4</v>
      </c>
      <c r="F1593" s="15">
        <v>1.9</v>
      </c>
      <c r="G1593" s="16">
        <f>ROUND(E1593*F1593,2)</f>
        <v>481.46</v>
      </c>
    </row>
    <row r="1594" spans="1:7" x14ac:dyDescent="0.3">
      <c r="A1594" s="13" t="s">
        <v>232</v>
      </c>
      <c r="B1594" s="13" t="s">
        <v>15</v>
      </c>
      <c r="C1594" s="13" t="s">
        <v>28</v>
      </c>
      <c r="D1594" s="14" t="s">
        <v>233</v>
      </c>
      <c r="E1594" s="15">
        <v>253.4</v>
      </c>
      <c r="F1594" s="15">
        <v>4.3499999999999996</v>
      </c>
      <c r="G1594" s="16">
        <f>ROUND(E1594*F1594,2)</f>
        <v>1102.29</v>
      </c>
    </row>
    <row r="1595" spans="1:7" x14ac:dyDescent="0.3">
      <c r="A1595" s="13" t="s">
        <v>550</v>
      </c>
      <c r="B1595" s="13" t="s">
        <v>15</v>
      </c>
      <c r="C1595" s="13" t="s">
        <v>28</v>
      </c>
      <c r="D1595" s="14" t="s">
        <v>551</v>
      </c>
      <c r="E1595" s="15">
        <v>168.5</v>
      </c>
      <c r="F1595" s="15">
        <v>2.98</v>
      </c>
      <c r="G1595" s="16">
        <f>ROUND(E1595*F1595,2)</f>
        <v>502.13</v>
      </c>
    </row>
    <row r="1596" spans="1:7" x14ac:dyDescent="0.3">
      <c r="A1596" s="13" t="s">
        <v>234</v>
      </c>
      <c r="B1596" s="13" t="s">
        <v>15</v>
      </c>
      <c r="C1596" s="13" t="s">
        <v>28</v>
      </c>
      <c r="D1596" s="14" t="s">
        <v>235</v>
      </c>
      <c r="E1596" s="15">
        <v>62.15</v>
      </c>
      <c r="F1596" s="15">
        <v>3.07</v>
      </c>
      <c r="G1596" s="16">
        <f>ROUND(E1596*F1596,2)</f>
        <v>190.8</v>
      </c>
    </row>
    <row r="1597" spans="1:7" x14ac:dyDescent="0.3">
      <c r="A1597" s="13" t="s">
        <v>236</v>
      </c>
      <c r="B1597" s="13" t="s">
        <v>15</v>
      </c>
      <c r="C1597" s="13" t="s">
        <v>28</v>
      </c>
      <c r="D1597" s="14" t="s">
        <v>237</v>
      </c>
      <c r="E1597" s="15">
        <v>0</v>
      </c>
      <c r="F1597" s="15">
        <v>4.22</v>
      </c>
      <c r="G1597" s="16">
        <f>ROUND(E1597*F1597,2)</f>
        <v>0</v>
      </c>
    </row>
    <row r="1598" spans="1:7" x14ac:dyDescent="0.3">
      <c r="A1598" s="13" t="s">
        <v>238</v>
      </c>
      <c r="B1598" s="13" t="s">
        <v>15</v>
      </c>
      <c r="C1598" s="13" t="s">
        <v>28</v>
      </c>
      <c r="D1598" s="14" t="s">
        <v>239</v>
      </c>
      <c r="E1598" s="15">
        <v>0</v>
      </c>
      <c r="F1598" s="15">
        <v>13.9</v>
      </c>
      <c r="G1598" s="16">
        <f>ROUND(E1598*F1598,2)</f>
        <v>0</v>
      </c>
    </row>
    <row r="1599" spans="1:7" x14ac:dyDescent="0.3">
      <c r="A1599" s="13" t="s">
        <v>240</v>
      </c>
      <c r="B1599" s="13" t="s">
        <v>15</v>
      </c>
      <c r="C1599" s="13" t="s">
        <v>28</v>
      </c>
      <c r="D1599" s="14" t="s">
        <v>241</v>
      </c>
      <c r="E1599" s="15">
        <v>0</v>
      </c>
      <c r="F1599" s="15">
        <v>15.59</v>
      </c>
      <c r="G1599" s="16">
        <f>ROUND(E1599*F1599,2)</f>
        <v>0</v>
      </c>
    </row>
    <row r="1600" spans="1:7" ht="31.2" x14ac:dyDescent="0.3">
      <c r="A1600" s="13" t="s">
        <v>242</v>
      </c>
      <c r="B1600" s="13" t="s">
        <v>15</v>
      </c>
      <c r="C1600" s="13" t="s">
        <v>16</v>
      </c>
      <c r="D1600" s="14" t="s">
        <v>243</v>
      </c>
      <c r="E1600" s="15">
        <v>1</v>
      </c>
      <c r="F1600" s="15">
        <v>793.65</v>
      </c>
      <c r="G1600" s="16">
        <f>ROUND(E1600*F1600,2)</f>
        <v>793.65</v>
      </c>
    </row>
    <row r="1601" spans="1:7" x14ac:dyDescent="0.3">
      <c r="A1601" s="13" t="s">
        <v>244</v>
      </c>
      <c r="B1601" s="13" t="s">
        <v>15</v>
      </c>
      <c r="C1601" s="13" t="s">
        <v>215</v>
      </c>
      <c r="D1601" s="14" t="s">
        <v>245</v>
      </c>
      <c r="E1601" s="15">
        <v>0</v>
      </c>
      <c r="F1601" s="15">
        <v>13.5</v>
      </c>
      <c r="G1601" s="16">
        <f>ROUND(E1601*F1601,2)</f>
        <v>0</v>
      </c>
    </row>
    <row r="1602" spans="1:7" x14ac:dyDescent="0.3">
      <c r="A1602" s="13" t="s">
        <v>552</v>
      </c>
      <c r="B1602" s="13" t="s">
        <v>15</v>
      </c>
      <c r="C1602" s="13" t="s">
        <v>215</v>
      </c>
      <c r="D1602" s="14" t="s">
        <v>553</v>
      </c>
      <c r="E1602" s="15">
        <v>1</v>
      </c>
      <c r="F1602" s="15">
        <v>23.11</v>
      </c>
      <c r="G1602" s="16">
        <f>ROUND(E1602*F1602,2)</f>
        <v>23.11</v>
      </c>
    </row>
    <row r="1603" spans="1:7" x14ac:dyDescent="0.3">
      <c r="A1603" s="13" t="s">
        <v>554</v>
      </c>
      <c r="B1603" s="13" t="s">
        <v>15</v>
      </c>
      <c r="C1603" s="13" t="s">
        <v>215</v>
      </c>
      <c r="D1603" s="14" t="s">
        <v>555</v>
      </c>
      <c r="E1603" s="15">
        <v>5</v>
      </c>
      <c r="F1603" s="15">
        <v>30.9</v>
      </c>
      <c r="G1603" s="16">
        <f>ROUND(E1603*F1603,2)</f>
        <v>154.5</v>
      </c>
    </row>
    <row r="1604" spans="1:7" x14ac:dyDescent="0.3">
      <c r="A1604" s="13" t="s">
        <v>246</v>
      </c>
      <c r="B1604" s="13" t="s">
        <v>15</v>
      </c>
      <c r="C1604" s="13" t="s">
        <v>215</v>
      </c>
      <c r="D1604" s="14" t="s">
        <v>247</v>
      </c>
      <c r="E1604" s="15">
        <v>1</v>
      </c>
      <c r="F1604" s="15">
        <v>57.31</v>
      </c>
      <c r="G1604" s="16">
        <f>ROUND(E1604*F1604,2)</f>
        <v>57.31</v>
      </c>
    </row>
    <row r="1605" spans="1:7" x14ac:dyDescent="0.3">
      <c r="A1605" s="17"/>
      <c r="B1605" s="17"/>
      <c r="C1605" s="17"/>
      <c r="D1605" s="18" t="s">
        <v>687</v>
      </c>
      <c r="E1605" s="15">
        <v>1</v>
      </c>
      <c r="F1605" s="12">
        <f>SUM(G1593:G1604)</f>
        <v>3305.2500000000005</v>
      </c>
      <c r="G1605" s="12">
        <f>ROUND(F1605*E1605,2)</f>
        <v>3305.25</v>
      </c>
    </row>
    <row r="1606" spans="1:7" ht="1.05" customHeight="1" x14ac:dyDescent="0.3">
      <c r="A1606" s="20"/>
      <c r="B1606" s="20"/>
      <c r="C1606" s="20"/>
      <c r="D1606" s="21"/>
      <c r="E1606" s="20"/>
      <c r="F1606" s="20"/>
      <c r="G1606" s="20"/>
    </row>
    <row r="1607" spans="1:7" ht="31.2" x14ac:dyDescent="0.3">
      <c r="A1607" s="22" t="s">
        <v>688</v>
      </c>
      <c r="B1607" s="22" t="s">
        <v>11</v>
      </c>
      <c r="C1607" s="22" t="s">
        <v>12</v>
      </c>
      <c r="D1607" s="23" t="s">
        <v>250</v>
      </c>
      <c r="E1607" s="12">
        <f>E1618</f>
        <v>1</v>
      </c>
      <c r="F1607" s="12">
        <f>F1618</f>
        <v>3916.55</v>
      </c>
      <c r="G1607" s="12">
        <f>G1618</f>
        <v>3916.55</v>
      </c>
    </row>
    <row r="1608" spans="1:7" x14ac:dyDescent="0.3">
      <c r="A1608" s="13" t="s">
        <v>230</v>
      </c>
      <c r="B1608" s="13" t="s">
        <v>15</v>
      </c>
      <c r="C1608" s="13" t="s">
        <v>28</v>
      </c>
      <c r="D1608" s="14" t="s">
        <v>231</v>
      </c>
      <c r="E1608" s="15">
        <v>198.92</v>
      </c>
      <c r="F1608" s="15">
        <v>1.9</v>
      </c>
      <c r="G1608" s="16">
        <f>ROUND(E1608*F1608,2)</f>
        <v>377.95</v>
      </c>
    </row>
    <row r="1609" spans="1:7" x14ac:dyDescent="0.3">
      <c r="A1609" s="13" t="s">
        <v>558</v>
      </c>
      <c r="B1609" s="13" t="s">
        <v>15</v>
      </c>
      <c r="C1609" s="13" t="s">
        <v>28</v>
      </c>
      <c r="D1609" s="14" t="s">
        <v>559</v>
      </c>
      <c r="E1609" s="15">
        <v>29.68</v>
      </c>
      <c r="F1609" s="15">
        <v>9.15</v>
      </c>
      <c r="G1609" s="16">
        <f>ROUND(E1609*F1609,2)</f>
        <v>271.57</v>
      </c>
    </row>
    <row r="1610" spans="1:7" x14ac:dyDescent="0.3">
      <c r="A1610" s="13" t="s">
        <v>393</v>
      </c>
      <c r="B1610" s="13" t="s">
        <v>15</v>
      </c>
      <c r="C1610" s="13" t="s">
        <v>28</v>
      </c>
      <c r="D1610" s="14" t="s">
        <v>394</v>
      </c>
      <c r="E1610" s="15">
        <v>10.68</v>
      </c>
      <c r="F1610" s="15">
        <v>10.02</v>
      </c>
      <c r="G1610" s="16">
        <f>ROUND(E1610*F1610,2)</f>
        <v>107.01</v>
      </c>
    </row>
    <row r="1611" spans="1:7" x14ac:dyDescent="0.3">
      <c r="A1611" s="13" t="s">
        <v>395</v>
      </c>
      <c r="B1611" s="13" t="s">
        <v>15</v>
      </c>
      <c r="C1611" s="13" t="s">
        <v>28</v>
      </c>
      <c r="D1611" s="14" t="s">
        <v>396</v>
      </c>
      <c r="E1611" s="15">
        <v>29.85</v>
      </c>
      <c r="F1611" s="15">
        <v>11.7</v>
      </c>
      <c r="G1611" s="16">
        <f>ROUND(E1611*F1611,2)</f>
        <v>349.25</v>
      </c>
    </row>
    <row r="1612" spans="1:7" x14ac:dyDescent="0.3">
      <c r="A1612" s="13" t="s">
        <v>397</v>
      </c>
      <c r="B1612" s="13" t="s">
        <v>15</v>
      </c>
      <c r="C1612" s="13" t="s">
        <v>28</v>
      </c>
      <c r="D1612" s="14" t="s">
        <v>398</v>
      </c>
      <c r="E1612" s="15">
        <v>11.71</v>
      </c>
      <c r="F1612" s="15">
        <v>16.88</v>
      </c>
      <c r="G1612" s="16">
        <f>ROUND(E1612*F1612,2)</f>
        <v>197.66</v>
      </c>
    </row>
    <row r="1613" spans="1:7" ht="31.2" x14ac:dyDescent="0.3">
      <c r="A1613" s="13" t="s">
        <v>261</v>
      </c>
      <c r="B1613" s="13" t="s">
        <v>15</v>
      </c>
      <c r="C1613" s="13" t="s">
        <v>16</v>
      </c>
      <c r="D1613" s="14" t="s">
        <v>262</v>
      </c>
      <c r="E1613" s="15">
        <v>0.75</v>
      </c>
      <c r="F1613" s="15">
        <v>1031.75</v>
      </c>
      <c r="G1613" s="16">
        <f>ROUND(E1613*F1613,2)</f>
        <v>773.81</v>
      </c>
    </row>
    <row r="1614" spans="1:7" x14ac:dyDescent="0.3">
      <c r="A1614" s="13" t="s">
        <v>399</v>
      </c>
      <c r="B1614" s="13" t="s">
        <v>15</v>
      </c>
      <c r="C1614" s="13" t="s">
        <v>215</v>
      </c>
      <c r="D1614" s="14" t="s">
        <v>400</v>
      </c>
      <c r="E1614" s="15">
        <v>6</v>
      </c>
      <c r="F1614" s="15">
        <v>30.14</v>
      </c>
      <c r="G1614" s="16">
        <f>ROUND(E1614*F1614,2)</f>
        <v>180.84</v>
      </c>
    </row>
    <row r="1615" spans="1:7" ht="31.2" x14ac:dyDescent="0.3">
      <c r="A1615" s="13" t="s">
        <v>265</v>
      </c>
      <c r="B1615" s="13" t="s">
        <v>15</v>
      </c>
      <c r="C1615" s="13" t="s">
        <v>215</v>
      </c>
      <c r="D1615" s="14" t="s">
        <v>266</v>
      </c>
      <c r="E1615" s="15">
        <v>20</v>
      </c>
      <c r="F1615" s="15">
        <v>32.25</v>
      </c>
      <c r="G1615" s="16">
        <f>ROUND(E1615*F1615,2)</f>
        <v>645</v>
      </c>
    </row>
    <row r="1616" spans="1:7" ht="31.2" x14ac:dyDescent="0.3">
      <c r="A1616" s="13" t="s">
        <v>267</v>
      </c>
      <c r="B1616" s="13" t="s">
        <v>15</v>
      </c>
      <c r="C1616" s="13" t="s">
        <v>215</v>
      </c>
      <c r="D1616" s="14" t="s">
        <v>268</v>
      </c>
      <c r="E1616" s="15">
        <v>10</v>
      </c>
      <c r="F1616" s="15">
        <v>44.38</v>
      </c>
      <c r="G1616" s="16">
        <f>ROUND(E1616*F1616,2)</f>
        <v>443.8</v>
      </c>
    </row>
    <row r="1617" spans="1:7" x14ac:dyDescent="0.3">
      <c r="A1617" s="13" t="s">
        <v>401</v>
      </c>
      <c r="B1617" s="13" t="s">
        <v>15</v>
      </c>
      <c r="C1617" s="13" t="s">
        <v>215</v>
      </c>
      <c r="D1617" s="14" t="s">
        <v>402</v>
      </c>
      <c r="E1617" s="15">
        <v>7</v>
      </c>
      <c r="F1617" s="15">
        <v>81.38</v>
      </c>
      <c r="G1617" s="16">
        <f>ROUND(E1617*F1617,2)</f>
        <v>569.66</v>
      </c>
    </row>
    <row r="1618" spans="1:7" x14ac:dyDescent="0.3">
      <c r="A1618" s="17"/>
      <c r="B1618" s="17"/>
      <c r="C1618" s="17"/>
      <c r="D1618" s="18" t="s">
        <v>689</v>
      </c>
      <c r="E1618" s="15">
        <v>1</v>
      </c>
      <c r="F1618" s="12">
        <f>SUM(G1608:G1617)</f>
        <v>3916.55</v>
      </c>
      <c r="G1618" s="12">
        <f>ROUND(F1618*E1618,2)</f>
        <v>3916.55</v>
      </c>
    </row>
    <row r="1619" spans="1:7" ht="1.05" customHeight="1" x14ac:dyDescent="0.3">
      <c r="A1619" s="20"/>
      <c r="B1619" s="20"/>
      <c r="C1619" s="20"/>
      <c r="D1619" s="21"/>
      <c r="E1619" s="20"/>
      <c r="F1619" s="20"/>
      <c r="G1619" s="20"/>
    </row>
    <row r="1620" spans="1:7" x14ac:dyDescent="0.3">
      <c r="A1620" s="22" t="s">
        <v>690</v>
      </c>
      <c r="B1620" s="22" t="s">
        <v>11</v>
      </c>
      <c r="C1620" s="22" t="s">
        <v>12</v>
      </c>
      <c r="D1620" s="23" t="s">
        <v>275</v>
      </c>
      <c r="E1620" s="12">
        <f>E1624</f>
        <v>1</v>
      </c>
      <c r="F1620" s="12">
        <f>F1624</f>
        <v>2310.96</v>
      </c>
      <c r="G1620" s="12">
        <f>G1624</f>
        <v>2310.96</v>
      </c>
    </row>
    <row r="1621" spans="1:7" ht="31.2" x14ac:dyDescent="0.3">
      <c r="A1621" s="13" t="s">
        <v>276</v>
      </c>
      <c r="B1621" s="13" t="s">
        <v>15</v>
      </c>
      <c r="C1621" s="13" t="s">
        <v>28</v>
      </c>
      <c r="D1621" s="14" t="s">
        <v>277</v>
      </c>
      <c r="E1621" s="15">
        <v>3.25</v>
      </c>
      <c r="F1621" s="15">
        <v>27.3</v>
      </c>
      <c r="G1621" s="16">
        <f>ROUND(E1621*F1621,2)</f>
        <v>88.73</v>
      </c>
    </row>
    <row r="1622" spans="1:7" x14ac:dyDescent="0.3">
      <c r="A1622" s="13" t="s">
        <v>278</v>
      </c>
      <c r="B1622" s="13" t="s">
        <v>15</v>
      </c>
      <c r="C1622" s="13" t="s">
        <v>215</v>
      </c>
      <c r="D1622" s="14" t="s">
        <v>279</v>
      </c>
      <c r="E1622" s="15">
        <v>1</v>
      </c>
      <c r="F1622" s="15">
        <v>1666.67</v>
      </c>
      <c r="G1622" s="16">
        <f>ROUND(E1622*F1622,2)</f>
        <v>1666.67</v>
      </c>
    </row>
    <row r="1623" spans="1:7" ht="31.2" x14ac:dyDescent="0.3">
      <c r="A1623" s="13" t="s">
        <v>280</v>
      </c>
      <c r="B1623" s="13" t="s">
        <v>15</v>
      </c>
      <c r="C1623" s="13" t="s">
        <v>215</v>
      </c>
      <c r="D1623" s="14" t="s">
        <v>281</v>
      </c>
      <c r="E1623" s="15">
        <v>1</v>
      </c>
      <c r="F1623" s="15">
        <v>555.55999999999995</v>
      </c>
      <c r="G1623" s="16">
        <f>ROUND(E1623*F1623,2)</f>
        <v>555.55999999999995</v>
      </c>
    </row>
    <row r="1624" spans="1:7" x14ac:dyDescent="0.3">
      <c r="A1624" s="17"/>
      <c r="B1624" s="17"/>
      <c r="C1624" s="17"/>
      <c r="D1624" s="18" t="s">
        <v>691</v>
      </c>
      <c r="E1624" s="15">
        <v>1</v>
      </c>
      <c r="F1624" s="12">
        <f>SUM(G1621:G1623)</f>
        <v>2310.96</v>
      </c>
      <c r="G1624" s="12">
        <f>ROUND(F1624*E1624,2)</f>
        <v>2310.96</v>
      </c>
    </row>
    <row r="1625" spans="1:7" ht="1.05" customHeight="1" x14ac:dyDescent="0.3">
      <c r="A1625" s="20"/>
      <c r="B1625" s="20"/>
      <c r="C1625" s="20"/>
      <c r="D1625" s="21"/>
      <c r="E1625" s="20"/>
      <c r="F1625" s="20"/>
      <c r="G1625" s="20"/>
    </row>
    <row r="1626" spans="1:7" x14ac:dyDescent="0.3">
      <c r="A1626" s="22" t="s">
        <v>692</v>
      </c>
      <c r="B1626" s="22" t="s">
        <v>11</v>
      </c>
      <c r="C1626" s="22" t="s">
        <v>12</v>
      </c>
      <c r="D1626" s="23" t="s">
        <v>407</v>
      </c>
      <c r="E1626" s="12">
        <f>E1634</f>
        <v>1</v>
      </c>
      <c r="F1626" s="12">
        <f>F1634</f>
        <v>12581.050000000001</v>
      </c>
      <c r="G1626" s="12">
        <f>G1634</f>
        <v>12581.05</v>
      </c>
    </row>
    <row r="1627" spans="1:7" ht="31.2" x14ac:dyDescent="0.3">
      <c r="A1627" s="13" t="s">
        <v>564</v>
      </c>
      <c r="B1627" s="13" t="s">
        <v>15</v>
      </c>
      <c r="C1627" s="13" t="s">
        <v>215</v>
      </c>
      <c r="D1627" s="14" t="s">
        <v>565</v>
      </c>
      <c r="E1627" s="15">
        <v>8</v>
      </c>
      <c r="F1627" s="15">
        <v>348.85</v>
      </c>
      <c r="G1627" s="16">
        <f>ROUND(E1627*F1627,2)</f>
        <v>2790.8</v>
      </c>
    </row>
    <row r="1628" spans="1:7" ht="31.2" x14ac:dyDescent="0.3">
      <c r="A1628" s="13" t="s">
        <v>566</v>
      </c>
      <c r="B1628" s="13" t="s">
        <v>15</v>
      </c>
      <c r="C1628" s="13" t="s">
        <v>215</v>
      </c>
      <c r="D1628" s="14" t="s">
        <v>567</v>
      </c>
      <c r="E1628" s="15">
        <v>7</v>
      </c>
      <c r="F1628" s="15">
        <v>365.25</v>
      </c>
      <c r="G1628" s="16">
        <f>ROUND(E1628*F1628,2)</f>
        <v>2556.75</v>
      </c>
    </row>
    <row r="1629" spans="1:7" x14ac:dyDescent="0.3">
      <c r="A1629" s="13" t="s">
        <v>568</v>
      </c>
      <c r="B1629" s="13" t="s">
        <v>15</v>
      </c>
      <c r="C1629" s="13" t="s">
        <v>215</v>
      </c>
      <c r="D1629" s="14" t="s">
        <v>569</v>
      </c>
      <c r="E1629" s="15">
        <v>7</v>
      </c>
      <c r="F1629" s="15">
        <v>442.68</v>
      </c>
      <c r="G1629" s="16">
        <f>ROUND(E1629*F1629,2)</f>
        <v>3098.76</v>
      </c>
    </row>
    <row r="1630" spans="1:7" ht="31.2" x14ac:dyDescent="0.3">
      <c r="A1630" s="13" t="s">
        <v>570</v>
      </c>
      <c r="B1630" s="13" t="s">
        <v>15</v>
      </c>
      <c r="C1630" s="13" t="s">
        <v>215</v>
      </c>
      <c r="D1630" s="14" t="s">
        <v>571</v>
      </c>
      <c r="E1630" s="15">
        <v>8</v>
      </c>
      <c r="F1630" s="15">
        <v>93.66</v>
      </c>
      <c r="G1630" s="16">
        <f>ROUND(E1630*F1630,2)</f>
        <v>749.28</v>
      </c>
    </row>
    <row r="1631" spans="1:7" ht="31.2" x14ac:dyDescent="0.3">
      <c r="A1631" s="13" t="s">
        <v>572</v>
      </c>
      <c r="B1631" s="13" t="s">
        <v>15</v>
      </c>
      <c r="C1631" s="13" t="s">
        <v>151</v>
      </c>
      <c r="D1631" s="14" t="s">
        <v>573</v>
      </c>
      <c r="E1631" s="15">
        <v>4</v>
      </c>
      <c r="F1631" s="15">
        <v>405.16</v>
      </c>
      <c r="G1631" s="16">
        <f>ROUND(E1631*F1631,2)</f>
        <v>1620.64</v>
      </c>
    </row>
    <row r="1632" spans="1:7" ht="31.2" x14ac:dyDescent="0.3">
      <c r="A1632" s="13" t="s">
        <v>574</v>
      </c>
      <c r="B1632" s="13" t="s">
        <v>15</v>
      </c>
      <c r="C1632" s="13" t="s">
        <v>151</v>
      </c>
      <c r="D1632" s="14" t="s">
        <v>575</v>
      </c>
      <c r="E1632" s="15">
        <v>2</v>
      </c>
      <c r="F1632" s="15">
        <v>295.79000000000002</v>
      </c>
      <c r="G1632" s="16">
        <f>ROUND(E1632*F1632,2)</f>
        <v>591.58000000000004</v>
      </c>
    </row>
    <row r="1633" spans="1:7" x14ac:dyDescent="0.3">
      <c r="A1633" s="13" t="s">
        <v>576</v>
      </c>
      <c r="B1633" s="13" t="s">
        <v>15</v>
      </c>
      <c r="C1633" s="13" t="s">
        <v>151</v>
      </c>
      <c r="D1633" s="14" t="s">
        <v>577</v>
      </c>
      <c r="E1633" s="15">
        <v>4</v>
      </c>
      <c r="F1633" s="15">
        <v>293.31</v>
      </c>
      <c r="G1633" s="16">
        <f>ROUND(E1633*F1633,2)</f>
        <v>1173.24</v>
      </c>
    </row>
    <row r="1634" spans="1:7" x14ac:dyDescent="0.3">
      <c r="A1634" s="17"/>
      <c r="B1634" s="17"/>
      <c r="C1634" s="17"/>
      <c r="D1634" s="18" t="s">
        <v>693</v>
      </c>
      <c r="E1634" s="15">
        <v>1</v>
      </c>
      <c r="F1634" s="12">
        <f>SUM(G1627:G1633)</f>
        <v>12581.050000000001</v>
      </c>
      <c r="G1634" s="12">
        <f>ROUND(F1634*E1634,2)</f>
        <v>12581.05</v>
      </c>
    </row>
    <row r="1635" spans="1:7" ht="1.05" customHeight="1" x14ac:dyDescent="0.3">
      <c r="A1635" s="20"/>
      <c r="B1635" s="20"/>
      <c r="C1635" s="20"/>
      <c r="D1635" s="21"/>
      <c r="E1635" s="20"/>
      <c r="F1635" s="20"/>
      <c r="G1635" s="20"/>
    </row>
    <row r="1636" spans="1:7" x14ac:dyDescent="0.3">
      <c r="A1636" s="22" t="s">
        <v>694</v>
      </c>
      <c r="B1636" s="22" t="s">
        <v>11</v>
      </c>
      <c r="C1636" s="22" t="s">
        <v>12</v>
      </c>
      <c r="D1636" s="23" t="s">
        <v>165</v>
      </c>
      <c r="E1636" s="12">
        <f>E1639</f>
        <v>1</v>
      </c>
      <c r="F1636" s="12">
        <f>F1639</f>
        <v>1455.31</v>
      </c>
      <c r="G1636" s="12">
        <f>G1639</f>
        <v>1455.31</v>
      </c>
    </row>
    <row r="1637" spans="1:7" x14ac:dyDescent="0.3">
      <c r="A1637" s="13" t="s">
        <v>582</v>
      </c>
      <c r="B1637" s="13" t="s">
        <v>15</v>
      </c>
      <c r="C1637" s="13" t="s">
        <v>151</v>
      </c>
      <c r="D1637" s="14" t="s">
        <v>583</v>
      </c>
      <c r="E1637" s="15">
        <v>5</v>
      </c>
      <c r="F1637" s="15">
        <v>74.39</v>
      </c>
      <c r="G1637" s="16">
        <f>ROUND(E1637*F1637,2)</f>
        <v>371.95</v>
      </c>
    </row>
    <row r="1638" spans="1:7" ht="31.2" x14ac:dyDescent="0.3">
      <c r="A1638" s="13" t="s">
        <v>584</v>
      </c>
      <c r="B1638" s="13" t="s">
        <v>15</v>
      </c>
      <c r="C1638" s="13" t="s">
        <v>215</v>
      </c>
      <c r="D1638" s="14" t="s">
        <v>585</v>
      </c>
      <c r="E1638" s="15">
        <v>4</v>
      </c>
      <c r="F1638" s="15">
        <v>270.83999999999997</v>
      </c>
      <c r="G1638" s="16">
        <f>ROUND(E1638*F1638,2)</f>
        <v>1083.3599999999999</v>
      </c>
    </row>
    <row r="1639" spans="1:7" x14ac:dyDescent="0.3">
      <c r="A1639" s="17"/>
      <c r="B1639" s="17"/>
      <c r="C1639" s="17"/>
      <c r="D1639" s="18" t="s">
        <v>695</v>
      </c>
      <c r="E1639" s="15">
        <v>1</v>
      </c>
      <c r="F1639" s="12">
        <f>SUM(G1637:G1638)</f>
        <v>1455.31</v>
      </c>
      <c r="G1639" s="12">
        <f>ROUND(F1639*E1639,2)</f>
        <v>1455.31</v>
      </c>
    </row>
    <row r="1640" spans="1:7" ht="1.05" customHeight="1" x14ac:dyDescent="0.3">
      <c r="A1640" s="20"/>
      <c r="B1640" s="20"/>
      <c r="C1640" s="20"/>
      <c r="D1640" s="21"/>
      <c r="E1640" s="20"/>
      <c r="F1640" s="20"/>
      <c r="G1640" s="20"/>
    </row>
    <row r="1641" spans="1:7" x14ac:dyDescent="0.3">
      <c r="A1641" s="17"/>
      <c r="B1641" s="17"/>
      <c r="C1641" s="17"/>
      <c r="D1641" s="18" t="s">
        <v>696</v>
      </c>
      <c r="E1641" s="15">
        <v>1</v>
      </c>
      <c r="F1641" s="12">
        <f>G1605+G1618+G1624+G1634+G1639</f>
        <v>23569.119999999999</v>
      </c>
      <c r="G1641" s="12">
        <f>ROUND(F1641*E1641,2)</f>
        <v>23569.119999999999</v>
      </c>
    </row>
    <row r="1642" spans="1:7" ht="1.05" customHeight="1" x14ac:dyDescent="0.3">
      <c r="A1642" s="20"/>
      <c r="B1642" s="20"/>
      <c r="C1642" s="20"/>
      <c r="D1642" s="21"/>
      <c r="E1642" s="20"/>
      <c r="F1642" s="20"/>
      <c r="G1642" s="20"/>
    </row>
    <row r="1643" spans="1:7" x14ac:dyDescent="0.3">
      <c r="A1643" s="22" t="s">
        <v>697</v>
      </c>
      <c r="B1643" s="22" t="s">
        <v>11</v>
      </c>
      <c r="C1643" s="22" t="s">
        <v>12</v>
      </c>
      <c r="D1643" s="23" t="s">
        <v>285</v>
      </c>
      <c r="E1643" s="12">
        <f>E1657</f>
        <v>1</v>
      </c>
      <c r="F1643" s="12">
        <f>F1657</f>
        <v>14191.579999999998</v>
      </c>
      <c r="G1643" s="12">
        <f>G1657</f>
        <v>14191.58</v>
      </c>
    </row>
    <row r="1644" spans="1:7" x14ac:dyDescent="0.3">
      <c r="A1644" s="13" t="s">
        <v>589</v>
      </c>
      <c r="B1644" s="13" t="s">
        <v>15</v>
      </c>
      <c r="C1644" s="13" t="s">
        <v>215</v>
      </c>
      <c r="D1644" s="14" t="s">
        <v>590</v>
      </c>
      <c r="E1644" s="15">
        <v>4</v>
      </c>
      <c r="F1644" s="15">
        <v>51.04</v>
      </c>
      <c r="G1644" s="16">
        <f>ROUND(E1644*F1644,2)</f>
        <v>204.16</v>
      </c>
    </row>
    <row r="1645" spans="1:7" x14ac:dyDescent="0.3">
      <c r="A1645" s="13" t="s">
        <v>591</v>
      </c>
      <c r="B1645" s="13" t="s">
        <v>15</v>
      </c>
      <c r="C1645" s="13" t="s">
        <v>215</v>
      </c>
      <c r="D1645" s="14" t="s">
        <v>592</v>
      </c>
      <c r="E1645" s="15">
        <v>4</v>
      </c>
      <c r="F1645" s="15">
        <v>37.28</v>
      </c>
      <c r="G1645" s="16">
        <f>ROUND(E1645*F1645,2)</f>
        <v>149.12</v>
      </c>
    </row>
    <row r="1646" spans="1:7" x14ac:dyDescent="0.3">
      <c r="A1646" s="13" t="s">
        <v>593</v>
      </c>
      <c r="B1646" s="13" t="s">
        <v>15</v>
      </c>
      <c r="C1646" s="13" t="s">
        <v>215</v>
      </c>
      <c r="D1646" s="14" t="s">
        <v>594</v>
      </c>
      <c r="E1646" s="15">
        <v>4</v>
      </c>
      <c r="F1646" s="15">
        <v>30.48</v>
      </c>
      <c r="G1646" s="16">
        <f>ROUND(E1646*F1646,2)</f>
        <v>121.92</v>
      </c>
    </row>
    <row r="1647" spans="1:7" x14ac:dyDescent="0.3">
      <c r="A1647" s="13" t="s">
        <v>595</v>
      </c>
      <c r="B1647" s="13" t="s">
        <v>15</v>
      </c>
      <c r="C1647" s="13" t="s">
        <v>215</v>
      </c>
      <c r="D1647" s="14" t="s">
        <v>596</v>
      </c>
      <c r="E1647" s="15">
        <v>28</v>
      </c>
      <c r="F1647" s="15">
        <v>31.59</v>
      </c>
      <c r="G1647" s="16">
        <f>ROUND(E1647*F1647,2)</f>
        <v>884.52</v>
      </c>
    </row>
    <row r="1648" spans="1:7" x14ac:dyDescent="0.3">
      <c r="A1648" s="13" t="s">
        <v>296</v>
      </c>
      <c r="B1648" s="13" t="s">
        <v>15</v>
      </c>
      <c r="C1648" s="13" t="s">
        <v>215</v>
      </c>
      <c r="D1648" s="14" t="s">
        <v>297</v>
      </c>
      <c r="E1648" s="15">
        <v>54</v>
      </c>
      <c r="F1648" s="15">
        <v>50.07</v>
      </c>
      <c r="G1648" s="16">
        <f>ROUND(E1648*F1648,2)</f>
        <v>2703.78</v>
      </c>
    </row>
    <row r="1649" spans="1:7" x14ac:dyDescent="0.3">
      <c r="A1649" s="13" t="s">
        <v>298</v>
      </c>
      <c r="B1649" s="13" t="s">
        <v>15</v>
      </c>
      <c r="C1649" s="13" t="s">
        <v>215</v>
      </c>
      <c r="D1649" s="14" t="s">
        <v>299</v>
      </c>
      <c r="E1649" s="15">
        <v>0</v>
      </c>
      <c r="F1649" s="15">
        <v>42.74</v>
      </c>
      <c r="G1649" s="16">
        <f>ROUND(E1649*F1649,2)</f>
        <v>0</v>
      </c>
    </row>
    <row r="1650" spans="1:7" x14ac:dyDescent="0.3">
      <c r="A1650" s="13" t="s">
        <v>300</v>
      </c>
      <c r="B1650" s="13" t="s">
        <v>15</v>
      </c>
      <c r="C1650" s="13" t="s">
        <v>215</v>
      </c>
      <c r="D1650" s="14" t="s">
        <v>301</v>
      </c>
      <c r="E1650" s="15">
        <v>31</v>
      </c>
      <c r="F1650" s="15">
        <v>45.93</v>
      </c>
      <c r="G1650" s="16">
        <f>ROUND(E1650*F1650,2)</f>
        <v>1423.83</v>
      </c>
    </row>
    <row r="1651" spans="1:7" x14ac:dyDescent="0.3">
      <c r="A1651" s="13" t="s">
        <v>302</v>
      </c>
      <c r="B1651" s="13" t="s">
        <v>15</v>
      </c>
      <c r="C1651" s="13" t="s">
        <v>215</v>
      </c>
      <c r="D1651" s="14" t="s">
        <v>303</v>
      </c>
      <c r="E1651" s="15">
        <v>7</v>
      </c>
      <c r="F1651" s="15">
        <v>51.73</v>
      </c>
      <c r="G1651" s="16">
        <f>ROUND(E1651*F1651,2)</f>
        <v>362.11</v>
      </c>
    </row>
    <row r="1652" spans="1:7" x14ac:dyDescent="0.3">
      <c r="A1652" s="13" t="s">
        <v>304</v>
      </c>
      <c r="B1652" s="13" t="s">
        <v>15</v>
      </c>
      <c r="C1652" s="13" t="s">
        <v>215</v>
      </c>
      <c r="D1652" s="14" t="s">
        <v>305</v>
      </c>
      <c r="E1652" s="15">
        <v>2</v>
      </c>
      <c r="F1652" s="15">
        <v>53.67</v>
      </c>
      <c r="G1652" s="16">
        <f>ROUND(E1652*F1652,2)</f>
        <v>107.34</v>
      </c>
    </row>
    <row r="1653" spans="1:7" ht="31.2" x14ac:dyDescent="0.3">
      <c r="A1653" s="13" t="s">
        <v>306</v>
      </c>
      <c r="B1653" s="13" t="s">
        <v>15</v>
      </c>
      <c r="C1653" s="13" t="s">
        <v>215</v>
      </c>
      <c r="D1653" s="14" t="s">
        <v>307</v>
      </c>
      <c r="E1653" s="15">
        <v>88</v>
      </c>
      <c r="F1653" s="15">
        <v>61.18</v>
      </c>
      <c r="G1653" s="16">
        <f>ROUND(E1653*F1653,2)</f>
        <v>5383.84</v>
      </c>
    </row>
    <row r="1654" spans="1:7" ht="31.2" x14ac:dyDescent="0.3">
      <c r="A1654" s="13" t="s">
        <v>308</v>
      </c>
      <c r="B1654" s="13" t="s">
        <v>15</v>
      </c>
      <c r="C1654" s="13" t="s">
        <v>215</v>
      </c>
      <c r="D1654" s="14" t="s">
        <v>309</v>
      </c>
      <c r="E1654" s="15">
        <v>13</v>
      </c>
      <c r="F1654" s="15">
        <v>84.28</v>
      </c>
      <c r="G1654" s="16">
        <f>ROUND(E1654*F1654,2)</f>
        <v>1095.6400000000001</v>
      </c>
    </row>
    <row r="1655" spans="1:7" x14ac:dyDescent="0.3">
      <c r="A1655" s="13" t="s">
        <v>314</v>
      </c>
      <c r="B1655" s="13" t="s">
        <v>15</v>
      </c>
      <c r="C1655" s="13" t="s">
        <v>215</v>
      </c>
      <c r="D1655" s="14" t="s">
        <v>315</v>
      </c>
      <c r="E1655" s="15">
        <v>0</v>
      </c>
      <c r="F1655" s="15">
        <v>55.56</v>
      </c>
      <c r="G1655" s="16">
        <f>ROUND(E1655*F1655,2)</f>
        <v>0</v>
      </c>
    </row>
    <row r="1656" spans="1:7" x14ac:dyDescent="0.3">
      <c r="A1656" s="13" t="s">
        <v>415</v>
      </c>
      <c r="B1656" s="13" t="s">
        <v>15</v>
      </c>
      <c r="C1656" s="13" t="s">
        <v>215</v>
      </c>
      <c r="D1656" s="14" t="s">
        <v>416</v>
      </c>
      <c r="E1656" s="15">
        <v>4</v>
      </c>
      <c r="F1656" s="15">
        <v>438.83</v>
      </c>
      <c r="G1656" s="16">
        <f>ROUND(E1656*F1656,2)</f>
        <v>1755.32</v>
      </c>
    </row>
    <row r="1657" spans="1:7" x14ac:dyDescent="0.3">
      <c r="A1657" s="17"/>
      <c r="B1657" s="17"/>
      <c r="C1657" s="17"/>
      <c r="D1657" s="18" t="s">
        <v>698</v>
      </c>
      <c r="E1657" s="15">
        <v>1</v>
      </c>
      <c r="F1657" s="12">
        <f>SUM(G1644:G1656)</f>
        <v>14191.579999999998</v>
      </c>
      <c r="G1657" s="12">
        <f>ROUND(F1657*E1657,2)</f>
        <v>14191.58</v>
      </c>
    </row>
    <row r="1658" spans="1:7" ht="1.05" customHeight="1" x14ac:dyDescent="0.3">
      <c r="A1658" s="20"/>
      <c r="B1658" s="20"/>
      <c r="C1658" s="20"/>
      <c r="D1658" s="21"/>
      <c r="E1658" s="20"/>
      <c r="F1658" s="20"/>
      <c r="G1658" s="20"/>
    </row>
    <row r="1659" spans="1:7" x14ac:dyDescent="0.3">
      <c r="A1659" s="17"/>
      <c r="B1659" s="17"/>
      <c r="C1659" s="17"/>
      <c r="D1659" s="18" t="s">
        <v>702</v>
      </c>
      <c r="E1659" s="19">
        <v>1</v>
      </c>
      <c r="F1659" s="12">
        <f>G1525+G1530+G1541+G1546+G1550+G1555+G1563+G1567+G1574+G1580+G1589+G1641+G1657</f>
        <v>250975.13999999998</v>
      </c>
      <c r="G1659" s="12">
        <f>ROUND(F1659*E1659,2)</f>
        <v>250975.14</v>
      </c>
    </row>
    <row r="1660" spans="1:7" ht="1.05" customHeight="1" x14ac:dyDescent="0.3">
      <c r="A1660" s="20"/>
      <c r="B1660" s="20"/>
      <c r="C1660" s="20"/>
      <c r="D1660" s="21"/>
      <c r="E1660" s="20"/>
      <c r="F1660" s="20"/>
      <c r="G1660" s="20"/>
    </row>
    <row r="1661" spans="1:7" x14ac:dyDescent="0.3">
      <c r="A1661" s="9" t="s">
        <v>703</v>
      </c>
      <c r="B1661" s="9" t="s">
        <v>11</v>
      </c>
      <c r="C1661" s="9" t="s">
        <v>12</v>
      </c>
      <c r="D1661" s="10" t="s">
        <v>704</v>
      </c>
      <c r="E1661" s="11">
        <f>E1815</f>
        <v>1</v>
      </c>
      <c r="F1661" s="12">
        <f>F1815</f>
        <v>250975.13999999998</v>
      </c>
      <c r="G1661" s="12">
        <f>G1815</f>
        <v>250975.14</v>
      </c>
    </row>
    <row r="1662" spans="1:7" x14ac:dyDescent="0.3">
      <c r="A1662" s="22" t="s">
        <v>659</v>
      </c>
      <c r="B1662" s="22" t="s">
        <v>11</v>
      </c>
      <c r="C1662" s="22" t="s">
        <v>12</v>
      </c>
      <c r="D1662" s="23" t="s">
        <v>57</v>
      </c>
      <c r="E1662" s="12">
        <f>E1681</f>
        <v>1</v>
      </c>
      <c r="F1662" s="12">
        <f>F1681</f>
        <v>65542.62999999999</v>
      </c>
      <c r="G1662" s="12">
        <f>G1681</f>
        <v>65542.63</v>
      </c>
    </row>
    <row r="1663" spans="1:7" x14ac:dyDescent="0.3">
      <c r="A1663" s="13" t="s">
        <v>81</v>
      </c>
      <c r="B1663" s="13" t="s">
        <v>15</v>
      </c>
      <c r="C1663" s="13" t="s">
        <v>60</v>
      </c>
      <c r="D1663" s="14" t="s">
        <v>82</v>
      </c>
      <c r="E1663" s="15">
        <v>8.18</v>
      </c>
      <c r="F1663" s="15">
        <v>572.66999999999996</v>
      </c>
      <c r="G1663" s="16">
        <f>ROUND(E1663*F1663,2)</f>
        <v>4684.4399999999996</v>
      </c>
    </row>
    <row r="1664" spans="1:7" x14ac:dyDescent="0.3">
      <c r="A1664" s="13" t="s">
        <v>83</v>
      </c>
      <c r="B1664" s="13" t="s">
        <v>15</v>
      </c>
      <c r="C1664" s="13" t="s">
        <v>60</v>
      </c>
      <c r="D1664" s="14" t="s">
        <v>84</v>
      </c>
      <c r="E1664" s="15">
        <v>4.0599999999999996</v>
      </c>
      <c r="F1664" s="15">
        <v>545.57000000000005</v>
      </c>
      <c r="G1664" s="16">
        <f>ROUND(E1664*F1664,2)</f>
        <v>2215.0100000000002</v>
      </c>
    </row>
    <row r="1665" spans="1:7" ht="31.2" x14ac:dyDescent="0.3">
      <c r="A1665" s="13" t="s">
        <v>97</v>
      </c>
      <c r="B1665" s="13" t="s">
        <v>15</v>
      </c>
      <c r="C1665" s="13" t="s">
        <v>60</v>
      </c>
      <c r="D1665" s="14" t="s">
        <v>98</v>
      </c>
      <c r="E1665" s="15">
        <v>0</v>
      </c>
      <c r="F1665" s="15">
        <v>1055.26</v>
      </c>
      <c r="G1665" s="16">
        <f>ROUND(E1665*F1665,2)</f>
        <v>0</v>
      </c>
    </row>
    <row r="1666" spans="1:7" ht="31.2" x14ac:dyDescent="0.3">
      <c r="A1666" s="13" t="s">
        <v>99</v>
      </c>
      <c r="B1666" s="13" t="s">
        <v>15</v>
      </c>
      <c r="C1666" s="13" t="s">
        <v>60</v>
      </c>
      <c r="D1666" s="14" t="s">
        <v>100</v>
      </c>
      <c r="E1666" s="15">
        <v>5.18</v>
      </c>
      <c r="F1666" s="15">
        <v>779.5</v>
      </c>
      <c r="G1666" s="16">
        <f>ROUND(E1666*F1666,2)</f>
        <v>4037.81</v>
      </c>
    </row>
    <row r="1667" spans="1:7" ht="31.2" x14ac:dyDescent="0.3">
      <c r="A1667" s="13" t="s">
        <v>660</v>
      </c>
      <c r="B1667" s="13" t="s">
        <v>15</v>
      </c>
      <c r="C1667" s="13" t="s">
        <v>60</v>
      </c>
      <c r="D1667" s="14" t="s">
        <v>661</v>
      </c>
      <c r="E1667" s="15">
        <v>6.48</v>
      </c>
      <c r="F1667" s="15">
        <v>858.05</v>
      </c>
      <c r="G1667" s="16">
        <f>ROUND(E1667*F1667,2)</f>
        <v>5560.16</v>
      </c>
    </row>
    <row r="1668" spans="1:7" ht="31.2" x14ac:dyDescent="0.3">
      <c r="A1668" s="13" t="s">
        <v>662</v>
      </c>
      <c r="B1668" s="13" t="s">
        <v>15</v>
      </c>
      <c r="C1668" s="13" t="s">
        <v>60</v>
      </c>
      <c r="D1668" s="14" t="s">
        <v>663</v>
      </c>
      <c r="E1668" s="15">
        <v>4.8600000000000003</v>
      </c>
      <c r="F1668" s="15">
        <v>714.24</v>
      </c>
      <c r="G1668" s="16">
        <f>ROUND(E1668*F1668,2)</f>
        <v>3471.21</v>
      </c>
    </row>
    <row r="1669" spans="1:7" x14ac:dyDescent="0.3">
      <c r="A1669" s="13" t="s">
        <v>105</v>
      </c>
      <c r="B1669" s="13" t="s">
        <v>15</v>
      </c>
      <c r="C1669" s="13" t="s">
        <v>60</v>
      </c>
      <c r="D1669" s="14" t="s">
        <v>106</v>
      </c>
      <c r="E1669" s="15">
        <v>5.26</v>
      </c>
      <c r="F1669" s="15">
        <v>476.95</v>
      </c>
      <c r="G1669" s="16">
        <f>ROUND(E1669*F1669,2)</f>
        <v>2508.7600000000002</v>
      </c>
    </row>
    <row r="1670" spans="1:7" x14ac:dyDescent="0.3">
      <c r="A1670" s="13" t="s">
        <v>321</v>
      </c>
      <c r="B1670" s="13" t="s">
        <v>15</v>
      </c>
      <c r="C1670" s="13" t="s">
        <v>60</v>
      </c>
      <c r="D1670" s="14" t="s">
        <v>322</v>
      </c>
      <c r="E1670" s="15">
        <v>3.43</v>
      </c>
      <c r="F1670" s="15">
        <v>713.28</v>
      </c>
      <c r="G1670" s="16">
        <f>ROUND(E1670*F1670,2)</f>
        <v>2446.5500000000002</v>
      </c>
    </row>
    <row r="1671" spans="1:7" x14ac:dyDescent="0.3">
      <c r="A1671" s="13" t="s">
        <v>323</v>
      </c>
      <c r="B1671" s="13" t="s">
        <v>15</v>
      </c>
      <c r="C1671" s="13" t="s">
        <v>60</v>
      </c>
      <c r="D1671" s="14" t="s">
        <v>324</v>
      </c>
      <c r="E1671" s="15">
        <v>3.02</v>
      </c>
      <c r="F1671" s="15">
        <v>702.51</v>
      </c>
      <c r="G1671" s="16">
        <f>ROUND(E1671*F1671,2)</f>
        <v>2121.58</v>
      </c>
    </row>
    <row r="1672" spans="1:7" x14ac:dyDescent="0.3">
      <c r="A1672" s="13" t="s">
        <v>325</v>
      </c>
      <c r="B1672" s="13" t="s">
        <v>15</v>
      </c>
      <c r="C1672" s="13" t="s">
        <v>60</v>
      </c>
      <c r="D1672" s="14" t="s">
        <v>326</v>
      </c>
      <c r="E1672" s="15">
        <v>3.02</v>
      </c>
      <c r="F1672" s="15">
        <v>680.27</v>
      </c>
      <c r="G1672" s="16">
        <f>ROUND(E1672*F1672,2)</f>
        <v>2054.42</v>
      </c>
    </row>
    <row r="1673" spans="1:7" x14ac:dyDescent="0.3">
      <c r="A1673" s="13" t="s">
        <v>327</v>
      </c>
      <c r="B1673" s="13" t="s">
        <v>15</v>
      </c>
      <c r="C1673" s="13" t="s">
        <v>60</v>
      </c>
      <c r="D1673" s="14" t="s">
        <v>328</v>
      </c>
      <c r="E1673" s="15">
        <v>3.53</v>
      </c>
      <c r="F1673" s="15">
        <v>693.2</v>
      </c>
      <c r="G1673" s="16">
        <f>ROUND(E1673*F1673,2)</f>
        <v>2447</v>
      </c>
    </row>
    <row r="1674" spans="1:7" x14ac:dyDescent="0.3">
      <c r="A1674" s="13" t="s">
        <v>329</v>
      </c>
      <c r="B1674" s="13" t="s">
        <v>15</v>
      </c>
      <c r="C1674" s="13" t="s">
        <v>60</v>
      </c>
      <c r="D1674" s="14" t="s">
        <v>330</v>
      </c>
      <c r="E1674" s="15">
        <v>3.59</v>
      </c>
      <c r="F1674" s="15">
        <v>693.4</v>
      </c>
      <c r="G1674" s="16">
        <f>ROUND(E1674*F1674,2)</f>
        <v>2489.31</v>
      </c>
    </row>
    <row r="1675" spans="1:7" x14ac:dyDescent="0.3">
      <c r="A1675" s="13" t="s">
        <v>331</v>
      </c>
      <c r="B1675" s="13" t="s">
        <v>15</v>
      </c>
      <c r="C1675" s="13" t="s">
        <v>60</v>
      </c>
      <c r="D1675" s="14" t="s">
        <v>332</v>
      </c>
      <c r="E1675" s="15">
        <v>3.39</v>
      </c>
      <c r="F1675" s="15">
        <v>700.15</v>
      </c>
      <c r="G1675" s="16">
        <f>ROUND(E1675*F1675,2)</f>
        <v>2373.5100000000002</v>
      </c>
    </row>
    <row r="1676" spans="1:7" x14ac:dyDescent="0.3">
      <c r="A1676" s="13" t="s">
        <v>604</v>
      </c>
      <c r="B1676" s="13" t="s">
        <v>15</v>
      </c>
      <c r="C1676" s="13" t="s">
        <v>60</v>
      </c>
      <c r="D1676" s="14" t="s">
        <v>605</v>
      </c>
      <c r="E1676" s="15">
        <v>1.81</v>
      </c>
      <c r="F1676" s="15">
        <v>646.07000000000005</v>
      </c>
      <c r="G1676" s="16">
        <f>ROUND(E1676*F1676,2)</f>
        <v>1169.3900000000001</v>
      </c>
    </row>
    <row r="1677" spans="1:7" x14ac:dyDescent="0.3">
      <c r="A1677" s="13" t="s">
        <v>333</v>
      </c>
      <c r="B1677" s="13" t="s">
        <v>15</v>
      </c>
      <c r="C1677" s="13" t="s">
        <v>60</v>
      </c>
      <c r="D1677" s="14" t="s">
        <v>334</v>
      </c>
      <c r="E1677" s="15">
        <v>2.17</v>
      </c>
      <c r="F1677" s="15">
        <v>693.4</v>
      </c>
      <c r="G1677" s="16">
        <f>ROUND(E1677*F1677,2)</f>
        <v>1504.68</v>
      </c>
    </row>
    <row r="1678" spans="1:7" ht="31.2" x14ac:dyDescent="0.3">
      <c r="A1678" s="13" t="s">
        <v>432</v>
      </c>
      <c r="B1678" s="13" t="s">
        <v>15</v>
      </c>
      <c r="C1678" s="13" t="s">
        <v>60</v>
      </c>
      <c r="D1678" s="14" t="s">
        <v>433</v>
      </c>
      <c r="E1678" s="15">
        <v>0.47</v>
      </c>
      <c r="F1678" s="15">
        <v>700.07</v>
      </c>
      <c r="G1678" s="16">
        <f>ROUND(E1678*F1678,2)</f>
        <v>329.03</v>
      </c>
    </row>
    <row r="1679" spans="1:7" x14ac:dyDescent="0.3">
      <c r="A1679" s="13" t="s">
        <v>335</v>
      </c>
      <c r="B1679" s="13" t="s">
        <v>15</v>
      </c>
      <c r="C1679" s="13" t="s">
        <v>91</v>
      </c>
      <c r="D1679" s="14" t="s">
        <v>336</v>
      </c>
      <c r="E1679" s="15">
        <v>10.25</v>
      </c>
      <c r="F1679" s="15">
        <v>367.46</v>
      </c>
      <c r="G1679" s="16">
        <f>ROUND(E1679*F1679,2)</f>
        <v>3766.47</v>
      </c>
    </row>
    <row r="1680" spans="1:7" x14ac:dyDescent="0.3">
      <c r="A1680" s="13" t="s">
        <v>606</v>
      </c>
      <c r="B1680" s="13" t="s">
        <v>15</v>
      </c>
      <c r="C1680" s="13" t="s">
        <v>60</v>
      </c>
      <c r="D1680" s="14" t="s">
        <v>607</v>
      </c>
      <c r="E1680" s="15">
        <v>45.44</v>
      </c>
      <c r="F1680" s="15">
        <v>492.15</v>
      </c>
      <c r="G1680" s="16">
        <f>ROUND(E1680*F1680,2)</f>
        <v>22363.3</v>
      </c>
    </row>
    <row r="1681" spans="1:7" x14ac:dyDescent="0.3">
      <c r="A1681" s="17"/>
      <c r="B1681" s="17"/>
      <c r="C1681" s="17"/>
      <c r="D1681" s="18" t="s">
        <v>664</v>
      </c>
      <c r="E1681" s="15">
        <v>1</v>
      </c>
      <c r="F1681" s="12">
        <f>SUM(G1663:G1680)</f>
        <v>65542.62999999999</v>
      </c>
      <c r="G1681" s="12">
        <f>ROUND(F1681*E1681,2)</f>
        <v>65542.63</v>
      </c>
    </row>
    <row r="1682" spans="1:7" ht="1.05" customHeight="1" x14ac:dyDescent="0.3">
      <c r="A1682" s="20"/>
      <c r="B1682" s="20"/>
      <c r="C1682" s="20"/>
      <c r="D1682" s="21"/>
      <c r="E1682" s="20"/>
      <c r="F1682" s="20"/>
      <c r="G1682" s="20"/>
    </row>
    <row r="1683" spans="1:7" x14ac:dyDescent="0.3">
      <c r="A1683" s="22" t="s">
        <v>665</v>
      </c>
      <c r="B1683" s="22" t="s">
        <v>11</v>
      </c>
      <c r="C1683" s="22" t="s">
        <v>12</v>
      </c>
      <c r="D1683" s="23" t="s">
        <v>109</v>
      </c>
      <c r="E1683" s="12">
        <f>E1686</f>
        <v>1</v>
      </c>
      <c r="F1683" s="12">
        <f>F1686</f>
        <v>19577.670000000002</v>
      </c>
      <c r="G1683" s="12">
        <f>G1686</f>
        <v>19577.669999999998</v>
      </c>
    </row>
    <row r="1684" spans="1:7" ht="31.2" x14ac:dyDescent="0.3">
      <c r="A1684" s="13" t="s">
        <v>110</v>
      </c>
      <c r="B1684" s="13" t="s">
        <v>15</v>
      </c>
      <c r="C1684" s="13" t="s">
        <v>112</v>
      </c>
      <c r="D1684" s="14" t="s">
        <v>111</v>
      </c>
      <c r="E1684" s="15">
        <v>691.18</v>
      </c>
      <c r="F1684" s="15">
        <v>27.41</v>
      </c>
      <c r="G1684" s="16">
        <f>ROUND(E1684*F1684,2)</f>
        <v>18945.240000000002</v>
      </c>
    </row>
    <row r="1685" spans="1:7" ht="31.2" x14ac:dyDescent="0.3">
      <c r="A1685" s="13" t="s">
        <v>499</v>
      </c>
      <c r="B1685" s="13" t="s">
        <v>15</v>
      </c>
      <c r="C1685" s="13" t="s">
        <v>112</v>
      </c>
      <c r="D1685" s="14" t="s">
        <v>500</v>
      </c>
      <c r="E1685" s="15">
        <v>30.42</v>
      </c>
      <c r="F1685" s="15">
        <v>20.79</v>
      </c>
      <c r="G1685" s="16">
        <f>ROUND(E1685*F1685,2)</f>
        <v>632.42999999999995</v>
      </c>
    </row>
    <row r="1686" spans="1:7" x14ac:dyDescent="0.3">
      <c r="A1686" s="17"/>
      <c r="B1686" s="17"/>
      <c r="C1686" s="17"/>
      <c r="D1686" s="18" t="s">
        <v>666</v>
      </c>
      <c r="E1686" s="15">
        <v>1</v>
      </c>
      <c r="F1686" s="12">
        <f>SUM(G1684:G1685)</f>
        <v>19577.670000000002</v>
      </c>
      <c r="G1686" s="12">
        <f>ROUND(F1686*E1686,2)</f>
        <v>19577.669999999998</v>
      </c>
    </row>
    <row r="1687" spans="1:7" ht="1.05" customHeight="1" x14ac:dyDescent="0.3">
      <c r="A1687" s="20"/>
      <c r="B1687" s="20"/>
      <c r="C1687" s="20"/>
      <c r="D1687" s="21"/>
      <c r="E1687" s="20"/>
      <c r="F1687" s="20"/>
      <c r="G1687" s="20"/>
    </row>
    <row r="1688" spans="1:7" x14ac:dyDescent="0.3">
      <c r="A1688" s="22" t="s">
        <v>667</v>
      </c>
      <c r="B1688" s="22" t="s">
        <v>11</v>
      </c>
      <c r="C1688" s="22" t="s">
        <v>12</v>
      </c>
      <c r="D1688" s="23" t="s">
        <v>115</v>
      </c>
      <c r="E1688" s="12">
        <f>E1697</f>
        <v>1</v>
      </c>
      <c r="F1688" s="12">
        <f>F1697</f>
        <v>30748.529999999995</v>
      </c>
      <c r="G1688" s="12">
        <f>G1697</f>
        <v>30748.53</v>
      </c>
    </row>
    <row r="1689" spans="1:7" x14ac:dyDescent="0.3">
      <c r="A1689" s="13" t="s">
        <v>116</v>
      </c>
      <c r="B1689" s="13" t="s">
        <v>15</v>
      </c>
      <c r="C1689" s="13" t="s">
        <v>112</v>
      </c>
      <c r="D1689" s="14" t="s">
        <v>117</v>
      </c>
      <c r="E1689" s="15">
        <v>321.01</v>
      </c>
      <c r="F1689" s="15">
        <v>1.96</v>
      </c>
      <c r="G1689" s="16">
        <f>ROUND(E1689*F1689,2)</f>
        <v>629.17999999999995</v>
      </c>
    </row>
    <row r="1690" spans="1:7" ht="31.2" x14ac:dyDescent="0.3">
      <c r="A1690" s="13" t="s">
        <v>118</v>
      </c>
      <c r="B1690" s="13" t="s">
        <v>15</v>
      </c>
      <c r="C1690" s="13" t="s">
        <v>112</v>
      </c>
      <c r="D1690" s="14" t="s">
        <v>119</v>
      </c>
      <c r="E1690" s="15">
        <v>1293.1500000000001</v>
      </c>
      <c r="F1690" s="15">
        <v>8.4</v>
      </c>
      <c r="G1690" s="16">
        <f>ROUND(E1690*F1690,2)</f>
        <v>10862.46</v>
      </c>
    </row>
    <row r="1691" spans="1:7" x14ac:dyDescent="0.3">
      <c r="A1691" s="13" t="s">
        <v>503</v>
      </c>
      <c r="B1691" s="13" t="s">
        <v>15</v>
      </c>
      <c r="C1691" s="13" t="s">
        <v>112</v>
      </c>
      <c r="D1691" s="14" t="s">
        <v>504</v>
      </c>
      <c r="E1691" s="15">
        <v>1749.33</v>
      </c>
      <c r="F1691" s="15">
        <v>3.02</v>
      </c>
      <c r="G1691" s="16">
        <f>ROUND(E1691*F1691,2)</f>
        <v>5282.98</v>
      </c>
    </row>
    <row r="1692" spans="1:7" ht="31.2" x14ac:dyDescent="0.3">
      <c r="A1692" s="13" t="s">
        <v>120</v>
      </c>
      <c r="B1692" s="13" t="s">
        <v>15</v>
      </c>
      <c r="C1692" s="13" t="s">
        <v>112</v>
      </c>
      <c r="D1692" s="14" t="s">
        <v>121</v>
      </c>
      <c r="E1692" s="15">
        <v>228.79</v>
      </c>
      <c r="F1692" s="15">
        <v>8.4700000000000006</v>
      </c>
      <c r="G1692" s="16">
        <f>ROUND(E1692*F1692,2)</f>
        <v>1937.85</v>
      </c>
    </row>
    <row r="1693" spans="1:7" ht="31.2" x14ac:dyDescent="0.3">
      <c r="A1693" s="13" t="s">
        <v>122</v>
      </c>
      <c r="B1693" s="13" t="s">
        <v>15</v>
      </c>
      <c r="C1693" s="13" t="s">
        <v>112</v>
      </c>
      <c r="D1693" s="14" t="s">
        <v>123</v>
      </c>
      <c r="E1693" s="15">
        <v>456.18</v>
      </c>
      <c r="F1693" s="15">
        <v>11.87</v>
      </c>
      <c r="G1693" s="16">
        <f>ROUND(E1693*F1693,2)</f>
        <v>5414.86</v>
      </c>
    </row>
    <row r="1694" spans="1:7" ht="31.2" x14ac:dyDescent="0.3">
      <c r="A1694" s="13" t="s">
        <v>124</v>
      </c>
      <c r="B1694" s="13" t="s">
        <v>15</v>
      </c>
      <c r="C1694" s="13" t="s">
        <v>112</v>
      </c>
      <c r="D1694" s="14" t="s">
        <v>125</v>
      </c>
      <c r="E1694" s="15">
        <v>97.2</v>
      </c>
      <c r="F1694" s="15">
        <v>9.4600000000000009</v>
      </c>
      <c r="G1694" s="16">
        <f>ROUND(E1694*F1694,2)</f>
        <v>919.51</v>
      </c>
    </row>
    <row r="1695" spans="1:7" x14ac:dyDescent="0.3">
      <c r="A1695" s="13" t="s">
        <v>126</v>
      </c>
      <c r="B1695" s="13" t="s">
        <v>15</v>
      </c>
      <c r="C1695" s="13" t="s">
        <v>28</v>
      </c>
      <c r="D1695" s="14" t="s">
        <v>127</v>
      </c>
      <c r="E1695" s="15">
        <v>921.78</v>
      </c>
      <c r="F1695" s="15">
        <v>4.16</v>
      </c>
      <c r="G1695" s="16">
        <f>ROUND(E1695*F1695,2)</f>
        <v>3834.6</v>
      </c>
    </row>
    <row r="1696" spans="1:7" x14ac:dyDescent="0.3">
      <c r="A1696" s="13" t="s">
        <v>128</v>
      </c>
      <c r="B1696" s="13" t="s">
        <v>15</v>
      </c>
      <c r="C1696" s="13" t="s">
        <v>28</v>
      </c>
      <c r="D1696" s="14" t="s">
        <v>129</v>
      </c>
      <c r="E1696" s="15">
        <v>413.99</v>
      </c>
      <c r="F1696" s="15">
        <v>4.51</v>
      </c>
      <c r="G1696" s="16">
        <f>ROUND(E1696*F1696,2)</f>
        <v>1867.09</v>
      </c>
    </row>
    <row r="1697" spans="1:7" x14ac:dyDescent="0.3">
      <c r="A1697" s="17"/>
      <c r="B1697" s="17"/>
      <c r="C1697" s="17"/>
      <c r="D1697" s="18" t="s">
        <v>668</v>
      </c>
      <c r="E1697" s="15">
        <v>1</v>
      </c>
      <c r="F1697" s="12">
        <f>SUM(G1689:G1696)</f>
        <v>30748.529999999995</v>
      </c>
      <c r="G1697" s="12">
        <f>ROUND(F1697*E1697,2)</f>
        <v>30748.53</v>
      </c>
    </row>
    <row r="1698" spans="1:7" ht="1.05" customHeight="1" x14ac:dyDescent="0.3">
      <c r="A1698" s="20"/>
      <c r="B1698" s="20"/>
      <c r="C1698" s="20"/>
      <c r="D1698" s="21"/>
      <c r="E1698" s="20"/>
      <c r="F1698" s="20"/>
      <c r="G1698" s="20"/>
    </row>
    <row r="1699" spans="1:7" x14ac:dyDescent="0.3">
      <c r="A1699" s="22" t="s">
        <v>669</v>
      </c>
      <c r="B1699" s="22" t="s">
        <v>11</v>
      </c>
      <c r="C1699" s="22" t="s">
        <v>12</v>
      </c>
      <c r="D1699" s="23" t="s">
        <v>132</v>
      </c>
      <c r="E1699" s="12">
        <f>E1702</f>
        <v>1</v>
      </c>
      <c r="F1699" s="12">
        <f>F1702</f>
        <v>17180.560000000001</v>
      </c>
      <c r="G1699" s="12">
        <f>G1702</f>
        <v>17180.560000000001</v>
      </c>
    </row>
    <row r="1700" spans="1:7" ht="31.2" x14ac:dyDescent="0.3">
      <c r="A1700" s="13" t="s">
        <v>133</v>
      </c>
      <c r="B1700" s="13" t="s">
        <v>15</v>
      </c>
      <c r="C1700" s="13" t="s">
        <v>112</v>
      </c>
      <c r="D1700" s="14" t="s">
        <v>134</v>
      </c>
      <c r="E1700" s="15">
        <v>351.32</v>
      </c>
      <c r="F1700" s="15">
        <v>42.32</v>
      </c>
      <c r="G1700" s="16">
        <f>ROUND(E1700*F1700,2)</f>
        <v>14867.86</v>
      </c>
    </row>
    <row r="1701" spans="1:7" ht="31.2" x14ac:dyDescent="0.3">
      <c r="A1701" s="13" t="s">
        <v>135</v>
      </c>
      <c r="B1701" s="13" t="s">
        <v>15</v>
      </c>
      <c r="C1701" s="13" t="s">
        <v>28</v>
      </c>
      <c r="D1701" s="14" t="s">
        <v>136</v>
      </c>
      <c r="E1701" s="15">
        <v>399.43</v>
      </c>
      <c r="F1701" s="15">
        <v>5.79</v>
      </c>
      <c r="G1701" s="16">
        <f>ROUND(E1701*F1701,2)</f>
        <v>2312.6999999999998</v>
      </c>
    </row>
    <row r="1702" spans="1:7" x14ac:dyDescent="0.3">
      <c r="A1702" s="17"/>
      <c r="B1702" s="17"/>
      <c r="C1702" s="17"/>
      <c r="D1702" s="18" t="s">
        <v>670</v>
      </c>
      <c r="E1702" s="15">
        <v>1</v>
      </c>
      <c r="F1702" s="12">
        <f>SUM(G1700:G1701)</f>
        <v>17180.560000000001</v>
      </c>
      <c r="G1702" s="12">
        <f>ROUND(F1702*E1702,2)</f>
        <v>17180.560000000001</v>
      </c>
    </row>
    <row r="1703" spans="1:7" ht="1.05" customHeight="1" x14ac:dyDescent="0.3">
      <c r="A1703" s="20"/>
      <c r="B1703" s="20"/>
      <c r="C1703" s="20"/>
      <c r="D1703" s="21"/>
      <c r="E1703" s="20"/>
      <c r="F1703" s="20"/>
      <c r="G1703" s="20"/>
    </row>
    <row r="1704" spans="1:7" x14ac:dyDescent="0.3">
      <c r="A1704" s="22" t="s">
        <v>671</v>
      </c>
      <c r="B1704" s="22" t="s">
        <v>11</v>
      </c>
      <c r="C1704" s="22" t="s">
        <v>12</v>
      </c>
      <c r="D1704" s="23" t="s">
        <v>347</v>
      </c>
      <c r="E1704" s="12">
        <f>E1706</f>
        <v>1</v>
      </c>
      <c r="F1704" s="12">
        <f>F1706</f>
        <v>5947.28</v>
      </c>
      <c r="G1704" s="12">
        <f>G1706</f>
        <v>5947.28</v>
      </c>
    </row>
    <row r="1705" spans="1:7" ht="31.2" x14ac:dyDescent="0.3">
      <c r="A1705" s="13" t="s">
        <v>348</v>
      </c>
      <c r="B1705" s="13" t="s">
        <v>15</v>
      </c>
      <c r="C1705" s="13" t="s">
        <v>22</v>
      </c>
      <c r="D1705" s="14" t="s">
        <v>349</v>
      </c>
      <c r="E1705" s="15">
        <v>138.02000000000001</v>
      </c>
      <c r="F1705" s="15">
        <v>43.09</v>
      </c>
      <c r="G1705" s="16">
        <f>ROUND(E1705*F1705,2)</f>
        <v>5947.28</v>
      </c>
    </row>
    <row r="1706" spans="1:7" x14ac:dyDescent="0.3">
      <c r="A1706" s="17"/>
      <c r="B1706" s="17"/>
      <c r="C1706" s="17"/>
      <c r="D1706" s="18" t="s">
        <v>672</v>
      </c>
      <c r="E1706" s="15">
        <v>1</v>
      </c>
      <c r="F1706" s="12">
        <f>G1705</f>
        <v>5947.28</v>
      </c>
      <c r="G1706" s="12">
        <f>ROUND(F1706*E1706,2)</f>
        <v>5947.28</v>
      </c>
    </row>
    <row r="1707" spans="1:7" ht="1.05" customHeight="1" x14ac:dyDescent="0.3">
      <c r="A1707" s="20"/>
      <c r="B1707" s="20"/>
      <c r="C1707" s="20"/>
      <c r="D1707" s="21"/>
      <c r="E1707" s="20"/>
      <c r="F1707" s="20"/>
      <c r="G1707" s="20"/>
    </row>
    <row r="1708" spans="1:7" x14ac:dyDescent="0.3">
      <c r="A1708" s="22" t="s">
        <v>673</v>
      </c>
      <c r="B1708" s="22" t="s">
        <v>11</v>
      </c>
      <c r="C1708" s="22" t="s">
        <v>12</v>
      </c>
      <c r="D1708" s="23" t="s">
        <v>141</v>
      </c>
      <c r="E1708" s="12">
        <f>E1711</f>
        <v>1</v>
      </c>
      <c r="F1708" s="12">
        <f>F1711</f>
        <v>3149.3900000000003</v>
      </c>
      <c r="G1708" s="12">
        <f>G1711</f>
        <v>3149.39</v>
      </c>
    </row>
    <row r="1709" spans="1:7" ht="31.2" x14ac:dyDescent="0.3">
      <c r="A1709" s="13" t="s">
        <v>142</v>
      </c>
      <c r="B1709" s="13" t="s">
        <v>15</v>
      </c>
      <c r="C1709" s="13" t="s">
        <v>28</v>
      </c>
      <c r="D1709" s="14" t="s">
        <v>143</v>
      </c>
      <c r="E1709" s="15">
        <v>46.8</v>
      </c>
      <c r="F1709" s="15">
        <v>61.92</v>
      </c>
      <c r="G1709" s="16">
        <f>ROUND(E1709*F1709,2)</f>
        <v>2897.86</v>
      </c>
    </row>
    <row r="1710" spans="1:7" x14ac:dyDescent="0.3">
      <c r="A1710" s="13" t="s">
        <v>144</v>
      </c>
      <c r="B1710" s="13" t="s">
        <v>15</v>
      </c>
      <c r="C1710" s="13" t="s">
        <v>112</v>
      </c>
      <c r="D1710" s="14" t="s">
        <v>145</v>
      </c>
      <c r="E1710" s="15">
        <v>6.54</v>
      </c>
      <c r="F1710" s="15">
        <v>38.46</v>
      </c>
      <c r="G1710" s="16">
        <f>ROUND(E1710*F1710,2)</f>
        <v>251.53</v>
      </c>
    </row>
    <row r="1711" spans="1:7" x14ac:dyDescent="0.3">
      <c r="A1711" s="17"/>
      <c r="B1711" s="17"/>
      <c r="C1711" s="17"/>
      <c r="D1711" s="18" t="s">
        <v>674</v>
      </c>
      <c r="E1711" s="15">
        <v>1</v>
      </c>
      <c r="F1711" s="12">
        <f>SUM(G1709:G1710)</f>
        <v>3149.3900000000003</v>
      </c>
      <c r="G1711" s="12">
        <f>ROUND(F1711*E1711,2)</f>
        <v>3149.39</v>
      </c>
    </row>
    <row r="1712" spans="1:7" ht="1.05" customHeight="1" x14ac:dyDescent="0.3">
      <c r="A1712" s="20"/>
      <c r="B1712" s="20"/>
      <c r="C1712" s="20"/>
      <c r="D1712" s="21"/>
      <c r="E1712" s="20"/>
      <c r="F1712" s="20"/>
      <c r="G1712" s="20"/>
    </row>
    <row r="1713" spans="1:7" x14ac:dyDescent="0.3">
      <c r="A1713" s="22" t="s">
        <v>675</v>
      </c>
      <c r="B1713" s="22" t="s">
        <v>11</v>
      </c>
      <c r="C1713" s="22" t="s">
        <v>12</v>
      </c>
      <c r="D1713" s="23" t="s">
        <v>148</v>
      </c>
      <c r="E1713" s="12">
        <f>E1719</f>
        <v>1</v>
      </c>
      <c r="F1713" s="12">
        <f>F1719</f>
        <v>27012.5</v>
      </c>
      <c r="G1713" s="12">
        <f>G1719</f>
        <v>27012.5</v>
      </c>
    </row>
    <row r="1714" spans="1:7" ht="31.2" x14ac:dyDescent="0.3">
      <c r="A1714" s="13" t="s">
        <v>149</v>
      </c>
      <c r="B1714" s="13" t="s">
        <v>15</v>
      </c>
      <c r="C1714" s="13" t="s">
        <v>151</v>
      </c>
      <c r="D1714" s="14" t="s">
        <v>150</v>
      </c>
      <c r="E1714" s="15">
        <v>2</v>
      </c>
      <c r="F1714" s="15">
        <v>249.6</v>
      </c>
      <c r="G1714" s="16">
        <f>ROUND(E1714*F1714,2)</f>
        <v>499.2</v>
      </c>
    </row>
    <row r="1715" spans="1:7" ht="31.2" x14ac:dyDescent="0.3">
      <c r="A1715" s="13" t="s">
        <v>152</v>
      </c>
      <c r="B1715" s="13" t="s">
        <v>15</v>
      </c>
      <c r="C1715" s="13" t="s">
        <v>151</v>
      </c>
      <c r="D1715" s="14" t="s">
        <v>153</v>
      </c>
      <c r="E1715" s="15">
        <v>2</v>
      </c>
      <c r="F1715" s="15">
        <v>424.61</v>
      </c>
      <c r="G1715" s="16">
        <f>ROUND(E1715*F1715,2)</f>
        <v>849.22</v>
      </c>
    </row>
    <row r="1716" spans="1:7" ht="31.2" x14ac:dyDescent="0.3">
      <c r="A1716" s="13" t="s">
        <v>517</v>
      </c>
      <c r="B1716" s="13" t="s">
        <v>15</v>
      </c>
      <c r="C1716" s="13" t="s">
        <v>151</v>
      </c>
      <c r="D1716" s="14" t="s">
        <v>518</v>
      </c>
      <c r="E1716" s="15">
        <v>4</v>
      </c>
      <c r="F1716" s="15">
        <v>714</v>
      </c>
      <c r="G1716" s="16">
        <f>ROUND(E1716*F1716,2)</f>
        <v>2856</v>
      </c>
    </row>
    <row r="1717" spans="1:7" ht="31.2" x14ac:dyDescent="0.3">
      <c r="A1717" s="13" t="s">
        <v>519</v>
      </c>
      <c r="B1717" s="13" t="s">
        <v>15</v>
      </c>
      <c r="C1717" s="13" t="s">
        <v>151</v>
      </c>
      <c r="D1717" s="14" t="s">
        <v>520</v>
      </c>
      <c r="E1717" s="15">
        <v>22</v>
      </c>
      <c r="F1717" s="15">
        <v>538.34</v>
      </c>
      <c r="G1717" s="16">
        <f>ROUND(E1717*F1717,2)</f>
        <v>11843.48</v>
      </c>
    </row>
    <row r="1718" spans="1:7" ht="31.2" x14ac:dyDescent="0.3">
      <c r="A1718" s="13" t="s">
        <v>521</v>
      </c>
      <c r="B1718" s="13" t="s">
        <v>15</v>
      </c>
      <c r="C1718" s="13" t="s">
        <v>363</v>
      </c>
      <c r="D1718" s="14" t="s">
        <v>522</v>
      </c>
      <c r="E1718" s="15">
        <v>470.18</v>
      </c>
      <c r="F1718" s="15">
        <v>23.32</v>
      </c>
      <c r="G1718" s="16">
        <f>ROUND(E1718*F1718,2)</f>
        <v>10964.6</v>
      </c>
    </row>
    <row r="1719" spans="1:7" x14ac:dyDescent="0.3">
      <c r="A1719" s="17"/>
      <c r="B1719" s="17"/>
      <c r="C1719" s="17"/>
      <c r="D1719" s="18" t="s">
        <v>676</v>
      </c>
      <c r="E1719" s="15">
        <v>1</v>
      </c>
      <c r="F1719" s="12">
        <f>SUM(G1714:G1718)</f>
        <v>27012.5</v>
      </c>
      <c r="G1719" s="12">
        <f>ROUND(F1719*E1719,2)</f>
        <v>27012.5</v>
      </c>
    </row>
    <row r="1720" spans="1:7" ht="1.05" customHeight="1" x14ac:dyDescent="0.3">
      <c r="A1720" s="20"/>
      <c r="B1720" s="20"/>
      <c r="C1720" s="20"/>
      <c r="D1720" s="21"/>
      <c r="E1720" s="20"/>
      <c r="F1720" s="20"/>
      <c r="G1720" s="20"/>
    </row>
    <row r="1721" spans="1:7" x14ac:dyDescent="0.3">
      <c r="A1721" s="22" t="s">
        <v>677</v>
      </c>
      <c r="B1721" s="22" t="s">
        <v>11</v>
      </c>
      <c r="C1721" s="22" t="s">
        <v>12</v>
      </c>
      <c r="D1721" s="23" t="s">
        <v>360</v>
      </c>
      <c r="E1721" s="12">
        <f>E1723</f>
        <v>1</v>
      </c>
      <c r="F1721" s="12">
        <f>F1723</f>
        <v>4676.05</v>
      </c>
      <c r="G1721" s="12">
        <f>G1723</f>
        <v>4676.05</v>
      </c>
    </row>
    <row r="1722" spans="1:7" ht="31.2" x14ac:dyDescent="0.3">
      <c r="A1722" s="13" t="s">
        <v>361</v>
      </c>
      <c r="B1722" s="13" t="s">
        <v>15</v>
      </c>
      <c r="C1722" s="13" t="s">
        <v>363</v>
      </c>
      <c r="D1722" s="14" t="s">
        <v>362</v>
      </c>
      <c r="E1722" s="15">
        <v>525.99</v>
      </c>
      <c r="F1722" s="15">
        <v>8.89</v>
      </c>
      <c r="G1722" s="16">
        <f>ROUND(E1722*F1722,2)</f>
        <v>4676.05</v>
      </c>
    </row>
    <row r="1723" spans="1:7" x14ac:dyDescent="0.3">
      <c r="A1723" s="17"/>
      <c r="B1723" s="17"/>
      <c r="C1723" s="17"/>
      <c r="D1723" s="18" t="s">
        <v>678</v>
      </c>
      <c r="E1723" s="15">
        <v>1</v>
      </c>
      <c r="F1723" s="12">
        <f>G1722</f>
        <v>4676.05</v>
      </c>
      <c r="G1723" s="12">
        <f>ROUND(F1723*E1723,2)</f>
        <v>4676.05</v>
      </c>
    </row>
    <row r="1724" spans="1:7" ht="1.05" customHeight="1" x14ac:dyDescent="0.3">
      <c r="A1724" s="20"/>
      <c r="B1724" s="20"/>
      <c r="C1724" s="20"/>
      <c r="D1724" s="21"/>
      <c r="E1724" s="20"/>
      <c r="F1724" s="20"/>
      <c r="G1724" s="20"/>
    </row>
    <row r="1725" spans="1:7" x14ac:dyDescent="0.3">
      <c r="A1725" s="22" t="s">
        <v>679</v>
      </c>
      <c r="B1725" s="22" t="s">
        <v>11</v>
      </c>
      <c r="C1725" s="22" t="s">
        <v>12</v>
      </c>
      <c r="D1725" s="23" t="s">
        <v>156</v>
      </c>
      <c r="E1725" s="12">
        <f>E1730</f>
        <v>1</v>
      </c>
      <c r="F1725" s="12">
        <f>F1730</f>
        <v>20212.09</v>
      </c>
      <c r="G1725" s="12">
        <f>G1730</f>
        <v>20212.09</v>
      </c>
    </row>
    <row r="1726" spans="1:7" x14ac:dyDescent="0.3">
      <c r="A1726" s="13" t="s">
        <v>157</v>
      </c>
      <c r="B1726" s="13" t="s">
        <v>15</v>
      </c>
      <c r="C1726" s="13" t="s">
        <v>112</v>
      </c>
      <c r="D1726" s="14" t="s">
        <v>158</v>
      </c>
      <c r="E1726" s="15">
        <v>2137.42</v>
      </c>
      <c r="F1726" s="15">
        <v>4.0199999999999996</v>
      </c>
      <c r="G1726" s="16">
        <f>ROUND(E1726*F1726,2)</f>
        <v>8592.43</v>
      </c>
    </row>
    <row r="1727" spans="1:7" x14ac:dyDescent="0.3">
      <c r="A1727" s="13" t="s">
        <v>159</v>
      </c>
      <c r="B1727" s="13" t="s">
        <v>15</v>
      </c>
      <c r="C1727" s="13" t="s">
        <v>112</v>
      </c>
      <c r="D1727" s="14" t="s">
        <v>160</v>
      </c>
      <c r="E1727" s="15">
        <v>1452.45</v>
      </c>
      <c r="F1727" s="15">
        <v>4.37</v>
      </c>
      <c r="G1727" s="16">
        <f>ROUND(E1727*F1727,2)</f>
        <v>6347.21</v>
      </c>
    </row>
    <row r="1728" spans="1:7" x14ac:dyDescent="0.3">
      <c r="A1728" s="13" t="s">
        <v>527</v>
      </c>
      <c r="B1728" s="13" t="s">
        <v>15</v>
      </c>
      <c r="C1728" s="13" t="s">
        <v>112</v>
      </c>
      <c r="D1728" s="14" t="s">
        <v>528</v>
      </c>
      <c r="E1728" s="15">
        <v>228.79</v>
      </c>
      <c r="F1728" s="15">
        <v>8.35</v>
      </c>
      <c r="G1728" s="16">
        <f>ROUND(E1728*F1728,2)</f>
        <v>1910.4</v>
      </c>
    </row>
    <row r="1729" spans="1:7" x14ac:dyDescent="0.3">
      <c r="A1729" s="13" t="s">
        <v>161</v>
      </c>
      <c r="B1729" s="13" t="s">
        <v>15</v>
      </c>
      <c r="C1729" s="13" t="s">
        <v>112</v>
      </c>
      <c r="D1729" s="14" t="s">
        <v>162</v>
      </c>
      <c r="E1729" s="15">
        <v>456.18</v>
      </c>
      <c r="F1729" s="15">
        <v>7.37</v>
      </c>
      <c r="G1729" s="16">
        <f>ROUND(E1729*F1729,2)</f>
        <v>3362.05</v>
      </c>
    </row>
    <row r="1730" spans="1:7" x14ac:dyDescent="0.3">
      <c r="A1730" s="17"/>
      <c r="B1730" s="17"/>
      <c r="C1730" s="17"/>
      <c r="D1730" s="18" t="s">
        <v>680</v>
      </c>
      <c r="E1730" s="15">
        <v>1</v>
      </c>
      <c r="F1730" s="12">
        <f>SUM(G1726:G1729)</f>
        <v>20212.09</v>
      </c>
      <c r="G1730" s="12">
        <f>ROUND(F1730*E1730,2)</f>
        <v>20212.09</v>
      </c>
    </row>
    <row r="1731" spans="1:7" ht="1.05" customHeight="1" x14ac:dyDescent="0.3">
      <c r="A1731" s="20"/>
      <c r="B1731" s="20"/>
      <c r="C1731" s="20"/>
      <c r="D1731" s="21"/>
      <c r="E1731" s="20"/>
      <c r="F1731" s="20"/>
      <c r="G1731" s="20"/>
    </row>
    <row r="1732" spans="1:7" x14ac:dyDescent="0.3">
      <c r="A1732" s="22" t="s">
        <v>681</v>
      </c>
      <c r="B1732" s="22" t="s">
        <v>11</v>
      </c>
      <c r="C1732" s="22" t="s">
        <v>12</v>
      </c>
      <c r="D1732" s="23" t="s">
        <v>531</v>
      </c>
      <c r="E1732" s="12">
        <f>E1736</f>
        <v>1</v>
      </c>
      <c r="F1732" s="12">
        <f>F1736</f>
        <v>9191.83</v>
      </c>
      <c r="G1732" s="12">
        <f>G1736</f>
        <v>9191.83</v>
      </c>
    </row>
    <row r="1733" spans="1:7" ht="31.2" x14ac:dyDescent="0.3">
      <c r="A1733" s="13" t="s">
        <v>532</v>
      </c>
      <c r="B1733" s="13" t="s">
        <v>15</v>
      </c>
      <c r="C1733" s="13" t="s">
        <v>534</v>
      </c>
      <c r="D1733" s="14" t="s">
        <v>533</v>
      </c>
      <c r="E1733" s="15">
        <v>38.049999999999997</v>
      </c>
      <c r="F1733" s="15">
        <v>53.17</v>
      </c>
      <c r="G1733" s="16">
        <f>ROUND(E1733*F1733,2)</f>
        <v>2023.12</v>
      </c>
    </row>
    <row r="1734" spans="1:7" x14ac:dyDescent="0.3">
      <c r="A1734" s="13" t="s">
        <v>535</v>
      </c>
      <c r="B1734" s="13" t="s">
        <v>15</v>
      </c>
      <c r="C1734" s="13" t="s">
        <v>534</v>
      </c>
      <c r="D1734" s="14" t="s">
        <v>536</v>
      </c>
      <c r="E1734" s="15">
        <v>44.94</v>
      </c>
      <c r="F1734" s="15">
        <v>71.430000000000007</v>
      </c>
      <c r="G1734" s="16">
        <f>ROUND(E1734*F1734,2)</f>
        <v>3210.06</v>
      </c>
    </row>
    <row r="1735" spans="1:7" x14ac:dyDescent="0.3">
      <c r="A1735" s="13" t="s">
        <v>537</v>
      </c>
      <c r="B1735" s="13" t="s">
        <v>15</v>
      </c>
      <c r="C1735" s="13" t="s">
        <v>534</v>
      </c>
      <c r="D1735" s="14" t="s">
        <v>538</v>
      </c>
      <c r="E1735" s="15">
        <v>55.42</v>
      </c>
      <c r="F1735" s="15">
        <v>71.430000000000007</v>
      </c>
      <c r="G1735" s="16">
        <f>ROUND(E1735*F1735,2)</f>
        <v>3958.65</v>
      </c>
    </row>
    <row r="1736" spans="1:7" x14ac:dyDescent="0.3">
      <c r="A1736" s="17"/>
      <c r="B1736" s="17"/>
      <c r="C1736" s="17"/>
      <c r="D1736" s="18" t="s">
        <v>682</v>
      </c>
      <c r="E1736" s="15">
        <v>1</v>
      </c>
      <c r="F1736" s="12">
        <f>SUM(G1733:G1735)</f>
        <v>9191.83</v>
      </c>
      <c r="G1736" s="12">
        <f>ROUND(F1736*E1736,2)</f>
        <v>9191.83</v>
      </c>
    </row>
    <row r="1737" spans="1:7" ht="1.05" customHeight="1" x14ac:dyDescent="0.3">
      <c r="A1737" s="20"/>
      <c r="B1737" s="20"/>
      <c r="C1737" s="20"/>
      <c r="D1737" s="21"/>
      <c r="E1737" s="20"/>
      <c r="F1737" s="20"/>
      <c r="G1737" s="20"/>
    </row>
    <row r="1738" spans="1:7" x14ac:dyDescent="0.3">
      <c r="A1738" s="22" t="s">
        <v>683</v>
      </c>
      <c r="B1738" s="22" t="s">
        <v>11</v>
      </c>
      <c r="C1738" s="22" t="s">
        <v>12</v>
      </c>
      <c r="D1738" s="23" t="s">
        <v>165</v>
      </c>
      <c r="E1738" s="12">
        <f>E1745</f>
        <v>1</v>
      </c>
      <c r="F1738" s="12">
        <f>F1745</f>
        <v>9975.9100000000017</v>
      </c>
      <c r="G1738" s="12">
        <f>G1745</f>
        <v>9975.91</v>
      </c>
    </row>
    <row r="1739" spans="1:7" x14ac:dyDescent="0.3">
      <c r="A1739" s="13" t="s">
        <v>172</v>
      </c>
      <c r="B1739" s="13" t="s">
        <v>15</v>
      </c>
      <c r="C1739" s="13" t="s">
        <v>28</v>
      </c>
      <c r="D1739" s="14" t="s">
        <v>173</v>
      </c>
      <c r="E1739" s="15">
        <v>10</v>
      </c>
      <c r="F1739" s="15">
        <v>122.02</v>
      </c>
      <c r="G1739" s="16">
        <f>ROUND(E1739*F1739,2)</f>
        <v>1220.2</v>
      </c>
    </row>
    <row r="1740" spans="1:7" x14ac:dyDescent="0.3">
      <c r="A1740" s="13" t="s">
        <v>541</v>
      </c>
      <c r="B1740" s="13" t="s">
        <v>15</v>
      </c>
      <c r="C1740" s="13" t="s">
        <v>22</v>
      </c>
      <c r="D1740" s="14" t="s">
        <v>542</v>
      </c>
      <c r="E1740" s="15">
        <v>24.88</v>
      </c>
      <c r="F1740" s="15">
        <v>212.06</v>
      </c>
      <c r="G1740" s="16">
        <f>ROUND(E1740*F1740,2)</f>
        <v>5276.05</v>
      </c>
    </row>
    <row r="1741" spans="1:7" x14ac:dyDescent="0.3">
      <c r="A1741" s="13" t="s">
        <v>543</v>
      </c>
      <c r="B1741" s="13" t="s">
        <v>15</v>
      </c>
      <c r="C1741" s="13" t="s">
        <v>91</v>
      </c>
      <c r="D1741" s="14" t="s">
        <v>544</v>
      </c>
      <c r="E1741" s="15">
        <v>2.46</v>
      </c>
      <c r="F1741" s="15">
        <v>113.44</v>
      </c>
      <c r="G1741" s="16">
        <f>ROUND(E1741*F1741,2)</f>
        <v>279.06</v>
      </c>
    </row>
    <row r="1742" spans="1:7" ht="31.2" x14ac:dyDescent="0.3">
      <c r="A1742" s="13" t="s">
        <v>545</v>
      </c>
      <c r="B1742" s="13" t="s">
        <v>15</v>
      </c>
      <c r="C1742" s="13" t="s">
        <v>22</v>
      </c>
      <c r="D1742" s="14" t="s">
        <v>546</v>
      </c>
      <c r="E1742" s="15">
        <v>22.68</v>
      </c>
      <c r="F1742" s="15">
        <v>44.13</v>
      </c>
      <c r="G1742" s="16">
        <f>ROUND(E1742*F1742,2)</f>
        <v>1000.87</v>
      </c>
    </row>
    <row r="1743" spans="1:7" x14ac:dyDescent="0.3">
      <c r="A1743" s="13" t="s">
        <v>628</v>
      </c>
      <c r="B1743" s="13" t="s">
        <v>15</v>
      </c>
      <c r="C1743" s="13" t="s">
        <v>22</v>
      </c>
      <c r="D1743" s="14" t="s">
        <v>629</v>
      </c>
      <c r="E1743" s="15">
        <v>22.75</v>
      </c>
      <c r="F1743" s="15">
        <v>49.72</v>
      </c>
      <c r="G1743" s="16">
        <f>ROUND(E1743*F1743,2)</f>
        <v>1131.1300000000001</v>
      </c>
    </row>
    <row r="1744" spans="1:7" x14ac:dyDescent="0.3">
      <c r="A1744" s="13" t="s">
        <v>630</v>
      </c>
      <c r="B1744" s="13" t="s">
        <v>15</v>
      </c>
      <c r="C1744" s="13" t="s">
        <v>28</v>
      </c>
      <c r="D1744" s="14" t="s">
        <v>631</v>
      </c>
      <c r="E1744" s="15">
        <v>26</v>
      </c>
      <c r="F1744" s="15">
        <v>41.1</v>
      </c>
      <c r="G1744" s="16">
        <f>ROUND(E1744*F1744,2)</f>
        <v>1068.5999999999999</v>
      </c>
    </row>
    <row r="1745" spans="1:7" x14ac:dyDescent="0.3">
      <c r="A1745" s="17"/>
      <c r="B1745" s="17"/>
      <c r="C1745" s="17"/>
      <c r="D1745" s="18" t="s">
        <v>684</v>
      </c>
      <c r="E1745" s="15">
        <v>1</v>
      </c>
      <c r="F1745" s="12">
        <f>SUM(G1739:G1744)</f>
        <v>9975.9100000000017</v>
      </c>
      <c r="G1745" s="12">
        <f>ROUND(F1745*E1745,2)</f>
        <v>9975.91</v>
      </c>
    </row>
    <row r="1746" spans="1:7" ht="1.05" customHeight="1" x14ac:dyDescent="0.3">
      <c r="A1746" s="20"/>
      <c r="B1746" s="20"/>
      <c r="C1746" s="20"/>
      <c r="D1746" s="21"/>
      <c r="E1746" s="20"/>
      <c r="F1746" s="20"/>
      <c r="G1746" s="20"/>
    </row>
    <row r="1747" spans="1:7" x14ac:dyDescent="0.3">
      <c r="A1747" s="22" t="s">
        <v>685</v>
      </c>
      <c r="B1747" s="22" t="s">
        <v>11</v>
      </c>
      <c r="C1747" s="22" t="s">
        <v>12</v>
      </c>
      <c r="D1747" s="23" t="s">
        <v>176</v>
      </c>
      <c r="E1747" s="12">
        <f>E1797</f>
        <v>1</v>
      </c>
      <c r="F1747" s="12">
        <f>F1797</f>
        <v>23569.119999999999</v>
      </c>
      <c r="G1747" s="12">
        <f>G1797</f>
        <v>23569.119999999999</v>
      </c>
    </row>
    <row r="1748" spans="1:7" ht="31.2" x14ac:dyDescent="0.3">
      <c r="A1748" s="22" t="s">
        <v>686</v>
      </c>
      <c r="B1748" s="22" t="s">
        <v>11</v>
      </c>
      <c r="C1748" s="22" t="s">
        <v>12</v>
      </c>
      <c r="D1748" s="23" t="s">
        <v>229</v>
      </c>
      <c r="E1748" s="12">
        <f>E1761</f>
        <v>1</v>
      </c>
      <c r="F1748" s="12">
        <f>F1761</f>
        <v>3305.2500000000005</v>
      </c>
      <c r="G1748" s="12">
        <f>G1761</f>
        <v>3305.25</v>
      </c>
    </row>
    <row r="1749" spans="1:7" x14ac:dyDescent="0.3">
      <c r="A1749" s="13" t="s">
        <v>230</v>
      </c>
      <c r="B1749" s="13" t="s">
        <v>15</v>
      </c>
      <c r="C1749" s="13" t="s">
        <v>28</v>
      </c>
      <c r="D1749" s="14" t="s">
        <v>231</v>
      </c>
      <c r="E1749" s="15">
        <v>253.4</v>
      </c>
      <c r="F1749" s="15">
        <v>1.9</v>
      </c>
      <c r="G1749" s="16">
        <f>ROUND(E1749*F1749,2)</f>
        <v>481.46</v>
      </c>
    </row>
    <row r="1750" spans="1:7" x14ac:dyDescent="0.3">
      <c r="A1750" s="13" t="s">
        <v>232</v>
      </c>
      <c r="B1750" s="13" t="s">
        <v>15</v>
      </c>
      <c r="C1750" s="13" t="s">
        <v>28</v>
      </c>
      <c r="D1750" s="14" t="s">
        <v>233</v>
      </c>
      <c r="E1750" s="15">
        <v>253.4</v>
      </c>
      <c r="F1750" s="15">
        <v>4.3499999999999996</v>
      </c>
      <c r="G1750" s="16">
        <f>ROUND(E1750*F1750,2)</f>
        <v>1102.29</v>
      </c>
    </row>
    <row r="1751" spans="1:7" x14ac:dyDescent="0.3">
      <c r="A1751" s="13" t="s">
        <v>550</v>
      </c>
      <c r="B1751" s="13" t="s">
        <v>15</v>
      </c>
      <c r="C1751" s="13" t="s">
        <v>28</v>
      </c>
      <c r="D1751" s="14" t="s">
        <v>551</v>
      </c>
      <c r="E1751" s="15">
        <v>168.5</v>
      </c>
      <c r="F1751" s="15">
        <v>2.98</v>
      </c>
      <c r="G1751" s="16">
        <f>ROUND(E1751*F1751,2)</f>
        <v>502.13</v>
      </c>
    </row>
    <row r="1752" spans="1:7" x14ac:dyDescent="0.3">
      <c r="A1752" s="13" t="s">
        <v>234</v>
      </c>
      <c r="B1752" s="13" t="s">
        <v>15</v>
      </c>
      <c r="C1752" s="13" t="s">
        <v>28</v>
      </c>
      <c r="D1752" s="14" t="s">
        <v>235</v>
      </c>
      <c r="E1752" s="15">
        <v>62.15</v>
      </c>
      <c r="F1752" s="15">
        <v>3.07</v>
      </c>
      <c r="G1752" s="16">
        <f>ROUND(E1752*F1752,2)</f>
        <v>190.8</v>
      </c>
    </row>
    <row r="1753" spans="1:7" x14ac:dyDescent="0.3">
      <c r="A1753" s="13" t="s">
        <v>236</v>
      </c>
      <c r="B1753" s="13" t="s">
        <v>15</v>
      </c>
      <c r="C1753" s="13" t="s">
        <v>28</v>
      </c>
      <c r="D1753" s="14" t="s">
        <v>237</v>
      </c>
      <c r="E1753" s="15">
        <v>0</v>
      </c>
      <c r="F1753" s="15">
        <v>4.22</v>
      </c>
      <c r="G1753" s="16">
        <f>ROUND(E1753*F1753,2)</f>
        <v>0</v>
      </c>
    </row>
    <row r="1754" spans="1:7" x14ac:dyDescent="0.3">
      <c r="A1754" s="13" t="s">
        <v>238</v>
      </c>
      <c r="B1754" s="13" t="s">
        <v>15</v>
      </c>
      <c r="C1754" s="13" t="s">
        <v>28</v>
      </c>
      <c r="D1754" s="14" t="s">
        <v>239</v>
      </c>
      <c r="E1754" s="15">
        <v>0</v>
      </c>
      <c r="F1754" s="15">
        <v>13.9</v>
      </c>
      <c r="G1754" s="16">
        <f>ROUND(E1754*F1754,2)</f>
        <v>0</v>
      </c>
    </row>
    <row r="1755" spans="1:7" x14ac:dyDescent="0.3">
      <c r="A1755" s="13" t="s">
        <v>240</v>
      </c>
      <c r="B1755" s="13" t="s">
        <v>15</v>
      </c>
      <c r="C1755" s="13" t="s">
        <v>28</v>
      </c>
      <c r="D1755" s="14" t="s">
        <v>241</v>
      </c>
      <c r="E1755" s="15">
        <v>0</v>
      </c>
      <c r="F1755" s="15">
        <v>15.59</v>
      </c>
      <c r="G1755" s="16">
        <f>ROUND(E1755*F1755,2)</f>
        <v>0</v>
      </c>
    </row>
    <row r="1756" spans="1:7" ht="31.2" x14ac:dyDescent="0.3">
      <c r="A1756" s="13" t="s">
        <v>242</v>
      </c>
      <c r="B1756" s="13" t="s">
        <v>15</v>
      </c>
      <c r="C1756" s="13" t="s">
        <v>16</v>
      </c>
      <c r="D1756" s="14" t="s">
        <v>243</v>
      </c>
      <c r="E1756" s="15">
        <v>1</v>
      </c>
      <c r="F1756" s="15">
        <v>793.65</v>
      </c>
      <c r="G1756" s="16">
        <f>ROUND(E1756*F1756,2)</f>
        <v>793.65</v>
      </c>
    </row>
    <row r="1757" spans="1:7" x14ac:dyDescent="0.3">
      <c r="A1757" s="13" t="s">
        <v>244</v>
      </c>
      <c r="B1757" s="13" t="s">
        <v>15</v>
      </c>
      <c r="C1757" s="13" t="s">
        <v>215</v>
      </c>
      <c r="D1757" s="14" t="s">
        <v>245</v>
      </c>
      <c r="E1757" s="15">
        <v>0</v>
      </c>
      <c r="F1757" s="15">
        <v>13.5</v>
      </c>
      <c r="G1757" s="16">
        <f>ROUND(E1757*F1757,2)</f>
        <v>0</v>
      </c>
    </row>
    <row r="1758" spans="1:7" x14ac:dyDescent="0.3">
      <c r="A1758" s="13" t="s">
        <v>552</v>
      </c>
      <c r="B1758" s="13" t="s">
        <v>15</v>
      </c>
      <c r="C1758" s="13" t="s">
        <v>215</v>
      </c>
      <c r="D1758" s="14" t="s">
        <v>553</v>
      </c>
      <c r="E1758" s="15">
        <v>1</v>
      </c>
      <c r="F1758" s="15">
        <v>23.11</v>
      </c>
      <c r="G1758" s="16">
        <f>ROUND(E1758*F1758,2)</f>
        <v>23.11</v>
      </c>
    </row>
    <row r="1759" spans="1:7" x14ac:dyDescent="0.3">
      <c r="A1759" s="13" t="s">
        <v>554</v>
      </c>
      <c r="B1759" s="13" t="s">
        <v>15</v>
      </c>
      <c r="C1759" s="13" t="s">
        <v>215</v>
      </c>
      <c r="D1759" s="14" t="s">
        <v>555</v>
      </c>
      <c r="E1759" s="15">
        <v>5</v>
      </c>
      <c r="F1759" s="15">
        <v>30.9</v>
      </c>
      <c r="G1759" s="16">
        <f>ROUND(E1759*F1759,2)</f>
        <v>154.5</v>
      </c>
    </row>
    <row r="1760" spans="1:7" x14ac:dyDescent="0.3">
      <c r="A1760" s="13" t="s">
        <v>246</v>
      </c>
      <c r="B1760" s="13" t="s">
        <v>15</v>
      </c>
      <c r="C1760" s="13" t="s">
        <v>215</v>
      </c>
      <c r="D1760" s="14" t="s">
        <v>247</v>
      </c>
      <c r="E1760" s="15">
        <v>1</v>
      </c>
      <c r="F1760" s="15">
        <v>57.31</v>
      </c>
      <c r="G1760" s="16">
        <f>ROUND(E1760*F1760,2)</f>
        <v>57.31</v>
      </c>
    </row>
    <row r="1761" spans="1:7" x14ac:dyDescent="0.3">
      <c r="A1761" s="17"/>
      <c r="B1761" s="17"/>
      <c r="C1761" s="17"/>
      <c r="D1761" s="18" t="s">
        <v>687</v>
      </c>
      <c r="E1761" s="15">
        <v>1</v>
      </c>
      <c r="F1761" s="12">
        <f>SUM(G1749:G1760)</f>
        <v>3305.2500000000005</v>
      </c>
      <c r="G1761" s="12">
        <f>ROUND(F1761*E1761,2)</f>
        <v>3305.25</v>
      </c>
    </row>
    <row r="1762" spans="1:7" ht="1.05" customHeight="1" x14ac:dyDescent="0.3">
      <c r="A1762" s="20"/>
      <c r="B1762" s="20"/>
      <c r="C1762" s="20"/>
      <c r="D1762" s="21"/>
      <c r="E1762" s="20"/>
      <c r="F1762" s="20"/>
      <c r="G1762" s="20"/>
    </row>
    <row r="1763" spans="1:7" ht="31.2" x14ac:dyDescent="0.3">
      <c r="A1763" s="22" t="s">
        <v>688</v>
      </c>
      <c r="B1763" s="22" t="s">
        <v>11</v>
      </c>
      <c r="C1763" s="22" t="s">
        <v>12</v>
      </c>
      <c r="D1763" s="23" t="s">
        <v>250</v>
      </c>
      <c r="E1763" s="12">
        <f>E1774</f>
        <v>1</v>
      </c>
      <c r="F1763" s="12">
        <f>F1774</f>
        <v>3916.55</v>
      </c>
      <c r="G1763" s="12">
        <f>G1774</f>
        <v>3916.55</v>
      </c>
    </row>
    <row r="1764" spans="1:7" x14ac:dyDescent="0.3">
      <c r="A1764" s="13" t="s">
        <v>230</v>
      </c>
      <c r="B1764" s="13" t="s">
        <v>15</v>
      </c>
      <c r="C1764" s="13" t="s">
        <v>28</v>
      </c>
      <c r="D1764" s="14" t="s">
        <v>231</v>
      </c>
      <c r="E1764" s="15">
        <v>198.92</v>
      </c>
      <c r="F1764" s="15">
        <v>1.9</v>
      </c>
      <c r="G1764" s="16">
        <f>ROUND(E1764*F1764,2)</f>
        <v>377.95</v>
      </c>
    </row>
    <row r="1765" spans="1:7" x14ac:dyDescent="0.3">
      <c r="A1765" s="13" t="s">
        <v>558</v>
      </c>
      <c r="B1765" s="13" t="s">
        <v>15</v>
      </c>
      <c r="C1765" s="13" t="s">
        <v>28</v>
      </c>
      <c r="D1765" s="14" t="s">
        <v>559</v>
      </c>
      <c r="E1765" s="15">
        <v>29.68</v>
      </c>
      <c r="F1765" s="15">
        <v>9.15</v>
      </c>
      <c r="G1765" s="16">
        <f>ROUND(E1765*F1765,2)</f>
        <v>271.57</v>
      </c>
    </row>
    <row r="1766" spans="1:7" x14ac:dyDescent="0.3">
      <c r="A1766" s="13" t="s">
        <v>393</v>
      </c>
      <c r="B1766" s="13" t="s">
        <v>15</v>
      </c>
      <c r="C1766" s="13" t="s">
        <v>28</v>
      </c>
      <c r="D1766" s="14" t="s">
        <v>394</v>
      </c>
      <c r="E1766" s="15">
        <v>10.68</v>
      </c>
      <c r="F1766" s="15">
        <v>10.02</v>
      </c>
      <c r="G1766" s="16">
        <f>ROUND(E1766*F1766,2)</f>
        <v>107.01</v>
      </c>
    </row>
    <row r="1767" spans="1:7" x14ac:dyDescent="0.3">
      <c r="A1767" s="13" t="s">
        <v>395</v>
      </c>
      <c r="B1767" s="13" t="s">
        <v>15</v>
      </c>
      <c r="C1767" s="13" t="s">
        <v>28</v>
      </c>
      <c r="D1767" s="14" t="s">
        <v>396</v>
      </c>
      <c r="E1767" s="15">
        <v>29.85</v>
      </c>
      <c r="F1767" s="15">
        <v>11.7</v>
      </c>
      <c r="G1767" s="16">
        <f>ROUND(E1767*F1767,2)</f>
        <v>349.25</v>
      </c>
    </row>
    <row r="1768" spans="1:7" x14ac:dyDescent="0.3">
      <c r="A1768" s="13" t="s">
        <v>397</v>
      </c>
      <c r="B1768" s="13" t="s">
        <v>15</v>
      </c>
      <c r="C1768" s="13" t="s">
        <v>28</v>
      </c>
      <c r="D1768" s="14" t="s">
        <v>398</v>
      </c>
      <c r="E1768" s="15">
        <v>11.71</v>
      </c>
      <c r="F1768" s="15">
        <v>16.88</v>
      </c>
      <c r="G1768" s="16">
        <f>ROUND(E1768*F1768,2)</f>
        <v>197.66</v>
      </c>
    </row>
    <row r="1769" spans="1:7" ht="31.2" x14ac:dyDescent="0.3">
      <c r="A1769" s="13" t="s">
        <v>261</v>
      </c>
      <c r="B1769" s="13" t="s">
        <v>15</v>
      </c>
      <c r="C1769" s="13" t="s">
        <v>16</v>
      </c>
      <c r="D1769" s="14" t="s">
        <v>262</v>
      </c>
      <c r="E1769" s="15">
        <v>0.75</v>
      </c>
      <c r="F1769" s="15">
        <v>1031.75</v>
      </c>
      <c r="G1769" s="16">
        <f>ROUND(E1769*F1769,2)</f>
        <v>773.81</v>
      </c>
    </row>
    <row r="1770" spans="1:7" x14ac:dyDescent="0.3">
      <c r="A1770" s="13" t="s">
        <v>399</v>
      </c>
      <c r="B1770" s="13" t="s">
        <v>15</v>
      </c>
      <c r="C1770" s="13" t="s">
        <v>215</v>
      </c>
      <c r="D1770" s="14" t="s">
        <v>400</v>
      </c>
      <c r="E1770" s="15">
        <v>6</v>
      </c>
      <c r="F1770" s="15">
        <v>30.14</v>
      </c>
      <c r="G1770" s="16">
        <f>ROUND(E1770*F1770,2)</f>
        <v>180.84</v>
      </c>
    </row>
    <row r="1771" spans="1:7" ht="31.2" x14ac:dyDescent="0.3">
      <c r="A1771" s="13" t="s">
        <v>265</v>
      </c>
      <c r="B1771" s="13" t="s">
        <v>15</v>
      </c>
      <c r="C1771" s="13" t="s">
        <v>215</v>
      </c>
      <c r="D1771" s="14" t="s">
        <v>266</v>
      </c>
      <c r="E1771" s="15">
        <v>20</v>
      </c>
      <c r="F1771" s="15">
        <v>32.25</v>
      </c>
      <c r="G1771" s="16">
        <f>ROUND(E1771*F1771,2)</f>
        <v>645</v>
      </c>
    </row>
    <row r="1772" spans="1:7" ht="31.2" x14ac:dyDescent="0.3">
      <c r="A1772" s="13" t="s">
        <v>267</v>
      </c>
      <c r="B1772" s="13" t="s">
        <v>15</v>
      </c>
      <c r="C1772" s="13" t="s">
        <v>215</v>
      </c>
      <c r="D1772" s="14" t="s">
        <v>268</v>
      </c>
      <c r="E1772" s="15">
        <v>10</v>
      </c>
      <c r="F1772" s="15">
        <v>44.38</v>
      </c>
      <c r="G1772" s="16">
        <f>ROUND(E1772*F1772,2)</f>
        <v>443.8</v>
      </c>
    </row>
    <row r="1773" spans="1:7" x14ac:dyDescent="0.3">
      <c r="A1773" s="13" t="s">
        <v>401</v>
      </c>
      <c r="B1773" s="13" t="s">
        <v>15</v>
      </c>
      <c r="C1773" s="13" t="s">
        <v>215</v>
      </c>
      <c r="D1773" s="14" t="s">
        <v>402</v>
      </c>
      <c r="E1773" s="15">
        <v>7</v>
      </c>
      <c r="F1773" s="15">
        <v>81.38</v>
      </c>
      <c r="G1773" s="16">
        <f>ROUND(E1773*F1773,2)</f>
        <v>569.66</v>
      </c>
    </row>
    <row r="1774" spans="1:7" x14ac:dyDescent="0.3">
      <c r="A1774" s="17"/>
      <c r="B1774" s="17"/>
      <c r="C1774" s="17"/>
      <c r="D1774" s="18" t="s">
        <v>689</v>
      </c>
      <c r="E1774" s="15">
        <v>1</v>
      </c>
      <c r="F1774" s="12">
        <f>SUM(G1764:G1773)</f>
        <v>3916.55</v>
      </c>
      <c r="G1774" s="12">
        <f>ROUND(F1774*E1774,2)</f>
        <v>3916.55</v>
      </c>
    </row>
    <row r="1775" spans="1:7" ht="1.05" customHeight="1" x14ac:dyDescent="0.3">
      <c r="A1775" s="20"/>
      <c r="B1775" s="20"/>
      <c r="C1775" s="20"/>
      <c r="D1775" s="21"/>
      <c r="E1775" s="20"/>
      <c r="F1775" s="20"/>
      <c r="G1775" s="20"/>
    </row>
    <row r="1776" spans="1:7" x14ac:dyDescent="0.3">
      <c r="A1776" s="22" t="s">
        <v>690</v>
      </c>
      <c r="B1776" s="22" t="s">
        <v>11</v>
      </c>
      <c r="C1776" s="22" t="s">
        <v>12</v>
      </c>
      <c r="D1776" s="23" t="s">
        <v>275</v>
      </c>
      <c r="E1776" s="12">
        <f>E1780</f>
        <v>1</v>
      </c>
      <c r="F1776" s="12">
        <f>F1780</f>
        <v>2310.96</v>
      </c>
      <c r="G1776" s="12">
        <f>G1780</f>
        <v>2310.96</v>
      </c>
    </row>
    <row r="1777" spans="1:7" ht="31.2" x14ac:dyDescent="0.3">
      <c r="A1777" s="13" t="s">
        <v>276</v>
      </c>
      <c r="B1777" s="13" t="s">
        <v>15</v>
      </c>
      <c r="C1777" s="13" t="s">
        <v>28</v>
      </c>
      <c r="D1777" s="14" t="s">
        <v>277</v>
      </c>
      <c r="E1777" s="15">
        <v>3.25</v>
      </c>
      <c r="F1777" s="15">
        <v>27.3</v>
      </c>
      <c r="G1777" s="16">
        <f>ROUND(E1777*F1777,2)</f>
        <v>88.73</v>
      </c>
    </row>
    <row r="1778" spans="1:7" x14ac:dyDescent="0.3">
      <c r="A1778" s="13" t="s">
        <v>278</v>
      </c>
      <c r="B1778" s="13" t="s">
        <v>15</v>
      </c>
      <c r="C1778" s="13" t="s">
        <v>215</v>
      </c>
      <c r="D1778" s="14" t="s">
        <v>279</v>
      </c>
      <c r="E1778" s="15">
        <v>1</v>
      </c>
      <c r="F1778" s="15">
        <v>1666.67</v>
      </c>
      <c r="G1778" s="16">
        <f>ROUND(E1778*F1778,2)</f>
        <v>1666.67</v>
      </c>
    </row>
    <row r="1779" spans="1:7" ht="31.2" x14ac:dyDescent="0.3">
      <c r="A1779" s="13" t="s">
        <v>280</v>
      </c>
      <c r="B1779" s="13" t="s">
        <v>15</v>
      </c>
      <c r="C1779" s="13" t="s">
        <v>215</v>
      </c>
      <c r="D1779" s="14" t="s">
        <v>281</v>
      </c>
      <c r="E1779" s="15">
        <v>1</v>
      </c>
      <c r="F1779" s="15">
        <v>555.55999999999995</v>
      </c>
      <c r="G1779" s="16">
        <f>ROUND(E1779*F1779,2)</f>
        <v>555.55999999999995</v>
      </c>
    </row>
    <row r="1780" spans="1:7" x14ac:dyDescent="0.3">
      <c r="A1780" s="17"/>
      <c r="B1780" s="17"/>
      <c r="C1780" s="17"/>
      <c r="D1780" s="18" t="s">
        <v>691</v>
      </c>
      <c r="E1780" s="15">
        <v>1</v>
      </c>
      <c r="F1780" s="12">
        <f>SUM(G1777:G1779)</f>
        <v>2310.96</v>
      </c>
      <c r="G1780" s="12">
        <f>ROUND(F1780*E1780,2)</f>
        <v>2310.96</v>
      </c>
    </row>
    <row r="1781" spans="1:7" ht="1.05" customHeight="1" x14ac:dyDescent="0.3">
      <c r="A1781" s="20"/>
      <c r="B1781" s="20"/>
      <c r="C1781" s="20"/>
      <c r="D1781" s="21"/>
      <c r="E1781" s="20"/>
      <c r="F1781" s="20"/>
      <c r="G1781" s="20"/>
    </row>
    <row r="1782" spans="1:7" x14ac:dyDescent="0.3">
      <c r="A1782" s="22" t="s">
        <v>692</v>
      </c>
      <c r="B1782" s="22" t="s">
        <v>11</v>
      </c>
      <c r="C1782" s="22" t="s">
        <v>12</v>
      </c>
      <c r="D1782" s="23" t="s">
        <v>407</v>
      </c>
      <c r="E1782" s="12">
        <f>E1790</f>
        <v>1</v>
      </c>
      <c r="F1782" s="12">
        <f>F1790</f>
        <v>12581.050000000001</v>
      </c>
      <c r="G1782" s="12">
        <f>G1790</f>
        <v>12581.05</v>
      </c>
    </row>
    <row r="1783" spans="1:7" ht="31.2" x14ac:dyDescent="0.3">
      <c r="A1783" s="13" t="s">
        <v>564</v>
      </c>
      <c r="B1783" s="13" t="s">
        <v>15</v>
      </c>
      <c r="C1783" s="13" t="s">
        <v>215</v>
      </c>
      <c r="D1783" s="14" t="s">
        <v>565</v>
      </c>
      <c r="E1783" s="15">
        <v>8</v>
      </c>
      <c r="F1783" s="15">
        <v>348.85</v>
      </c>
      <c r="G1783" s="16">
        <f>ROUND(E1783*F1783,2)</f>
        <v>2790.8</v>
      </c>
    </row>
    <row r="1784" spans="1:7" ht="31.2" x14ac:dyDescent="0.3">
      <c r="A1784" s="13" t="s">
        <v>566</v>
      </c>
      <c r="B1784" s="13" t="s">
        <v>15</v>
      </c>
      <c r="C1784" s="13" t="s">
        <v>215</v>
      </c>
      <c r="D1784" s="14" t="s">
        <v>567</v>
      </c>
      <c r="E1784" s="15">
        <v>7</v>
      </c>
      <c r="F1784" s="15">
        <v>365.25</v>
      </c>
      <c r="G1784" s="16">
        <f>ROUND(E1784*F1784,2)</f>
        <v>2556.75</v>
      </c>
    </row>
    <row r="1785" spans="1:7" x14ac:dyDescent="0.3">
      <c r="A1785" s="13" t="s">
        <v>568</v>
      </c>
      <c r="B1785" s="13" t="s">
        <v>15</v>
      </c>
      <c r="C1785" s="13" t="s">
        <v>215</v>
      </c>
      <c r="D1785" s="14" t="s">
        <v>569</v>
      </c>
      <c r="E1785" s="15">
        <v>7</v>
      </c>
      <c r="F1785" s="15">
        <v>442.68</v>
      </c>
      <c r="G1785" s="16">
        <f>ROUND(E1785*F1785,2)</f>
        <v>3098.76</v>
      </c>
    </row>
    <row r="1786" spans="1:7" ht="31.2" x14ac:dyDescent="0.3">
      <c r="A1786" s="13" t="s">
        <v>570</v>
      </c>
      <c r="B1786" s="13" t="s">
        <v>15</v>
      </c>
      <c r="C1786" s="13" t="s">
        <v>215</v>
      </c>
      <c r="D1786" s="14" t="s">
        <v>571</v>
      </c>
      <c r="E1786" s="15">
        <v>8</v>
      </c>
      <c r="F1786" s="15">
        <v>93.66</v>
      </c>
      <c r="G1786" s="16">
        <f>ROUND(E1786*F1786,2)</f>
        <v>749.28</v>
      </c>
    </row>
    <row r="1787" spans="1:7" ht="31.2" x14ac:dyDescent="0.3">
      <c r="A1787" s="13" t="s">
        <v>572</v>
      </c>
      <c r="B1787" s="13" t="s">
        <v>15</v>
      </c>
      <c r="C1787" s="13" t="s">
        <v>151</v>
      </c>
      <c r="D1787" s="14" t="s">
        <v>573</v>
      </c>
      <c r="E1787" s="15">
        <v>4</v>
      </c>
      <c r="F1787" s="15">
        <v>405.16</v>
      </c>
      <c r="G1787" s="16">
        <f>ROUND(E1787*F1787,2)</f>
        <v>1620.64</v>
      </c>
    </row>
    <row r="1788" spans="1:7" ht="31.2" x14ac:dyDescent="0.3">
      <c r="A1788" s="13" t="s">
        <v>574</v>
      </c>
      <c r="B1788" s="13" t="s">
        <v>15</v>
      </c>
      <c r="C1788" s="13" t="s">
        <v>151</v>
      </c>
      <c r="D1788" s="14" t="s">
        <v>575</v>
      </c>
      <c r="E1788" s="15">
        <v>2</v>
      </c>
      <c r="F1788" s="15">
        <v>295.79000000000002</v>
      </c>
      <c r="G1788" s="16">
        <f>ROUND(E1788*F1788,2)</f>
        <v>591.58000000000004</v>
      </c>
    </row>
    <row r="1789" spans="1:7" x14ac:dyDescent="0.3">
      <c r="A1789" s="13" t="s">
        <v>576</v>
      </c>
      <c r="B1789" s="13" t="s">
        <v>15</v>
      </c>
      <c r="C1789" s="13" t="s">
        <v>151</v>
      </c>
      <c r="D1789" s="14" t="s">
        <v>577</v>
      </c>
      <c r="E1789" s="15">
        <v>4</v>
      </c>
      <c r="F1789" s="15">
        <v>293.31</v>
      </c>
      <c r="G1789" s="16">
        <f>ROUND(E1789*F1789,2)</f>
        <v>1173.24</v>
      </c>
    </row>
    <row r="1790" spans="1:7" x14ac:dyDescent="0.3">
      <c r="A1790" s="17"/>
      <c r="B1790" s="17"/>
      <c r="C1790" s="17"/>
      <c r="D1790" s="18" t="s">
        <v>693</v>
      </c>
      <c r="E1790" s="15">
        <v>1</v>
      </c>
      <c r="F1790" s="12">
        <f>SUM(G1783:G1789)</f>
        <v>12581.050000000001</v>
      </c>
      <c r="G1790" s="12">
        <f>ROUND(F1790*E1790,2)</f>
        <v>12581.05</v>
      </c>
    </row>
    <row r="1791" spans="1:7" ht="1.05" customHeight="1" x14ac:dyDescent="0.3">
      <c r="A1791" s="20"/>
      <c r="B1791" s="20"/>
      <c r="C1791" s="20"/>
      <c r="D1791" s="21"/>
      <c r="E1791" s="20"/>
      <c r="F1791" s="20"/>
      <c r="G1791" s="20"/>
    </row>
    <row r="1792" spans="1:7" x14ac:dyDescent="0.3">
      <c r="A1792" s="22" t="s">
        <v>694</v>
      </c>
      <c r="B1792" s="22" t="s">
        <v>11</v>
      </c>
      <c r="C1792" s="22" t="s">
        <v>12</v>
      </c>
      <c r="D1792" s="23" t="s">
        <v>165</v>
      </c>
      <c r="E1792" s="12">
        <f>E1795</f>
        <v>1</v>
      </c>
      <c r="F1792" s="12">
        <f>F1795</f>
        <v>1455.31</v>
      </c>
      <c r="G1792" s="12">
        <f>G1795</f>
        <v>1455.31</v>
      </c>
    </row>
    <row r="1793" spans="1:7" x14ac:dyDescent="0.3">
      <c r="A1793" s="13" t="s">
        <v>582</v>
      </c>
      <c r="B1793" s="13" t="s">
        <v>15</v>
      </c>
      <c r="C1793" s="13" t="s">
        <v>151</v>
      </c>
      <c r="D1793" s="14" t="s">
        <v>583</v>
      </c>
      <c r="E1793" s="15">
        <v>5</v>
      </c>
      <c r="F1793" s="15">
        <v>74.39</v>
      </c>
      <c r="G1793" s="16">
        <f>ROUND(E1793*F1793,2)</f>
        <v>371.95</v>
      </c>
    </row>
    <row r="1794" spans="1:7" ht="31.2" x14ac:dyDescent="0.3">
      <c r="A1794" s="13" t="s">
        <v>584</v>
      </c>
      <c r="B1794" s="13" t="s">
        <v>15</v>
      </c>
      <c r="C1794" s="13" t="s">
        <v>215</v>
      </c>
      <c r="D1794" s="14" t="s">
        <v>585</v>
      </c>
      <c r="E1794" s="15">
        <v>4</v>
      </c>
      <c r="F1794" s="15">
        <v>270.83999999999997</v>
      </c>
      <c r="G1794" s="16">
        <f>ROUND(E1794*F1794,2)</f>
        <v>1083.3599999999999</v>
      </c>
    </row>
    <row r="1795" spans="1:7" x14ac:dyDescent="0.3">
      <c r="A1795" s="17"/>
      <c r="B1795" s="17"/>
      <c r="C1795" s="17"/>
      <c r="D1795" s="18" t="s">
        <v>695</v>
      </c>
      <c r="E1795" s="15">
        <v>1</v>
      </c>
      <c r="F1795" s="12">
        <f>SUM(G1793:G1794)</f>
        <v>1455.31</v>
      </c>
      <c r="G1795" s="12">
        <f>ROUND(F1795*E1795,2)</f>
        <v>1455.31</v>
      </c>
    </row>
    <row r="1796" spans="1:7" ht="1.05" customHeight="1" x14ac:dyDescent="0.3">
      <c r="A1796" s="20"/>
      <c r="B1796" s="20"/>
      <c r="C1796" s="20"/>
      <c r="D1796" s="21"/>
      <c r="E1796" s="20"/>
      <c r="F1796" s="20"/>
      <c r="G1796" s="20"/>
    </row>
    <row r="1797" spans="1:7" x14ac:dyDescent="0.3">
      <c r="A1797" s="17"/>
      <c r="B1797" s="17"/>
      <c r="C1797" s="17"/>
      <c r="D1797" s="18" t="s">
        <v>696</v>
      </c>
      <c r="E1797" s="15">
        <v>1</v>
      </c>
      <c r="F1797" s="12">
        <f>G1761+G1774+G1780+G1790+G1795</f>
        <v>23569.119999999999</v>
      </c>
      <c r="G1797" s="12">
        <f>ROUND(F1797*E1797,2)</f>
        <v>23569.119999999999</v>
      </c>
    </row>
    <row r="1798" spans="1:7" ht="1.05" customHeight="1" x14ac:dyDescent="0.3">
      <c r="A1798" s="20"/>
      <c r="B1798" s="20"/>
      <c r="C1798" s="20"/>
      <c r="D1798" s="21"/>
      <c r="E1798" s="20"/>
      <c r="F1798" s="20"/>
      <c r="G1798" s="20"/>
    </row>
    <row r="1799" spans="1:7" x14ac:dyDescent="0.3">
      <c r="A1799" s="22" t="s">
        <v>697</v>
      </c>
      <c r="B1799" s="22" t="s">
        <v>11</v>
      </c>
      <c r="C1799" s="22" t="s">
        <v>12</v>
      </c>
      <c r="D1799" s="23" t="s">
        <v>285</v>
      </c>
      <c r="E1799" s="12">
        <f>E1813</f>
        <v>1</v>
      </c>
      <c r="F1799" s="12">
        <f>F1813</f>
        <v>14191.579999999998</v>
      </c>
      <c r="G1799" s="12">
        <f>G1813</f>
        <v>14191.58</v>
      </c>
    </row>
    <row r="1800" spans="1:7" x14ac:dyDescent="0.3">
      <c r="A1800" s="13" t="s">
        <v>589</v>
      </c>
      <c r="B1800" s="13" t="s">
        <v>15</v>
      </c>
      <c r="C1800" s="13" t="s">
        <v>215</v>
      </c>
      <c r="D1800" s="14" t="s">
        <v>590</v>
      </c>
      <c r="E1800" s="15">
        <v>4</v>
      </c>
      <c r="F1800" s="15">
        <v>51.04</v>
      </c>
      <c r="G1800" s="16">
        <f>ROUND(E1800*F1800,2)</f>
        <v>204.16</v>
      </c>
    </row>
    <row r="1801" spans="1:7" x14ac:dyDescent="0.3">
      <c r="A1801" s="13" t="s">
        <v>591</v>
      </c>
      <c r="B1801" s="13" t="s">
        <v>15</v>
      </c>
      <c r="C1801" s="13" t="s">
        <v>215</v>
      </c>
      <c r="D1801" s="14" t="s">
        <v>592</v>
      </c>
      <c r="E1801" s="15">
        <v>4</v>
      </c>
      <c r="F1801" s="15">
        <v>37.28</v>
      </c>
      <c r="G1801" s="16">
        <f>ROUND(E1801*F1801,2)</f>
        <v>149.12</v>
      </c>
    </row>
    <row r="1802" spans="1:7" x14ac:dyDescent="0.3">
      <c r="A1802" s="13" t="s">
        <v>593</v>
      </c>
      <c r="B1802" s="13" t="s">
        <v>15</v>
      </c>
      <c r="C1802" s="13" t="s">
        <v>215</v>
      </c>
      <c r="D1802" s="14" t="s">
        <v>594</v>
      </c>
      <c r="E1802" s="15">
        <v>4</v>
      </c>
      <c r="F1802" s="15">
        <v>30.48</v>
      </c>
      <c r="G1802" s="16">
        <f>ROUND(E1802*F1802,2)</f>
        <v>121.92</v>
      </c>
    </row>
    <row r="1803" spans="1:7" x14ac:dyDescent="0.3">
      <c r="A1803" s="13" t="s">
        <v>595</v>
      </c>
      <c r="B1803" s="13" t="s">
        <v>15</v>
      </c>
      <c r="C1803" s="13" t="s">
        <v>215</v>
      </c>
      <c r="D1803" s="14" t="s">
        <v>596</v>
      </c>
      <c r="E1803" s="15">
        <v>28</v>
      </c>
      <c r="F1803" s="15">
        <v>31.59</v>
      </c>
      <c r="G1803" s="16">
        <f>ROUND(E1803*F1803,2)</f>
        <v>884.52</v>
      </c>
    </row>
    <row r="1804" spans="1:7" x14ac:dyDescent="0.3">
      <c r="A1804" s="13" t="s">
        <v>296</v>
      </c>
      <c r="B1804" s="13" t="s">
        <v>15</v>
      </c>
      <c r="C1804" s="13" t="s">
        <v>215</v>
      </c>
      <c r="D1804" s="14" t="s">
        <v>297</v>
      </c>
      <c r="E1804" s="15">
        <v>54</v>
      </c>
      <c r="F1804" s="15">
        <v>50.07</v>
      </c>
      <c r="G1804" s="16">
        <f>ROUND(E1804*F1804,2)</f>
        <v>2703.78</v>
      </c>
    </row>
    <row r="1805" spans="1:7" x14ac:dyDescent="0.3">
      <c r="A1805" s="13" t="s">
        <v>298</v>
      </c>
      <c r="B1805" s="13" t="s">
        <v>15</v>
      </c>
      <c r="C1805" s="13" t="s">
        <v>215</v>
      </c>
      <c r="D1805" s="14" t="s">
        <v>299</v>
      </c>
      <c r="E1805" s="15">
        <v>0</v>
      </c>
      <c r="F1805" s="15">
        <v>42.74</v>
      </c>
      <c r="G1805" s="16">
        <f>ROUND(E1805*F1805,2)</f>
        <v>0</v>
      </c>
    </row>
    <row r="1806" spans="1:7" x14ac:dyDescent="0.3">
      <c r="A1806" s="13" t="s">
        <v>300</v>
      </c>
      <c r="B1806" s="13" t="s">
        <v>15</v>
      </c>
      <c r="C1806" s="13" t="s">
        <v>215</v>
      </c>
      <c r="D1806" s="14" t="s">
        <v>301</v>
      </c>
      <c r="E1806" s="15">
        <v>31</v>
      </c>
      <c r="F1806" s="15">
        <v>45.93</v>
      </c>
      <c r="G1806" s="16">
        <f>ROUND(E1806*F1806,2)</f>
        <v>1423.83</v>
      </c>
    </row>
    <row r="1807" spans="1:7" x14ac:dyDescent="0.3">
      <c r="A1807" s="13" t="s">
        <v>302</v>
      </c>
      <c r="B1807" s="13" t="s">
        <v>15</v>
      </c>
      <c r="C1807" s="13" t="s">
        <v>215</v>
      </c>
      <c r="D1807" s="14" t="s">
        <v>303</v>
      </c>
      <c r="E1807" s="15">
        <v>7</v>
      </c>
      <c r="F1807" s="15">
        <v>51.73</v>
      </c>
      <c r="G1807" s="16">
        <f>ROUND(E1807*F1807,2)</f>
        <v>362.11</v>
      </c>
    </row>
    <row r="1808" spans="1:7" x14ac:dyDescent="0.3">
      <c r="A1808" s="13" t="s">
        <v>304</v>
      </c>
      <c r="B1808" s="13" t="s">
        <v>15</v>
      </c>
      <c r="C1808" s="13" t="s">
        <v>215</v>
      </c>
      <c r="D1808" s="14" t="s">
        <v>305</v>
      </c>
      <c r="E1808" s="15">
        <v>2</v>
      </c>
      <c r="F1808" s="15">
        <v>53.67</v>
      </c>
      <c r="G1808" s="16">
        <f>ROUND(E1808*F1808,2)</f>
        <v>107.34</v>
      </c>
    </row>
    <row r="1809" spans="1:7" ht="31.2" x14ac:dyDescent="0.3">
      <c r="A1809" s="13" t="s">
        <v>306</v>
      </c>
      <c r="B1809" s="13" t="s">
        <v>15</v>
      </c>
      <c r="C1809" s="13" t="s">
        <v>215</v>
      </c>
      <c r="D1809" s="14" t="s">
        <v>307</v>
      </c>
      <c r="E1809" s="15">
        <v>88</v>
      </c>
      <c r="F1809" s="15">
        <v>61.18</v>
      </c>
      <c r="G1809" s="16">
        <f>ROUND(E1809*F1809,2)</f>
        <v>5383.84</v>
      </c>
    </row>
    <row r="1810" spans="1:7" ht="31.2" x14ac:dyDescent="0.3">
      <c r="A1810" s="13" t="s">
        <v>308</v>
      </c>
      <c r="B1810" s="13" t="s">
        <v>15</v>
      </c>
      <c r="C1810" s="13" t="s">
        <v>215</v>
      </c>
      <c r="D1810" s="14" t="s">
        <v>309</v>
      </c>
      <c r="E1810" s="15">
        <v>13</v>
      </c>
      <c r="F1810" s="15">
        <v>84.28</v>
      </c>
      <c r="G1810" s="16">
        <f>ROUND(E1810*F1810,2)</f>
        <v>1095.6400000000001</v>
      </c>
    </row>
    <row r="1811" spans="1:7" x14ac:dyDescent="0.3">
      <c r="A1811" s="13" t="s">
        <v>314</v>
      </c>
      <c r="B1811" s="13" t="s">
        <v>15</v>
      </c>
      <c r="C1811" s="13" t="s">
        <v>215</v>
      </c>
      <c r="D1811" s="14" t="s">
        <v>315</v>
      </c>
      <c r="E1811" s="15">
        <v>0</v>
      </c>
      <c r="F1811" s="15">
        <v>55.56</v>
      </c>
      <c r="G1811" s="16">
        <f>ROUND(E1811*F1811,2)</f>
        <v>0</v>
      </c>
    </row>
    <row r="1812" spans="1:7" x14ac:dyDescent="0.3">
      <c r="A1812" s="13" t="s">
        <v>415</v>
      </c>
      <c r="B1812" s="13" t="s">
        <v>15</v>
      </c>
      <c r="C1812" s="13" t="s">
        <v>215</v>
      </c>
      <c r="D1812" s="14" t="s">
        <v>416</v>
      </c>
      <c r="E1812" s="15">
        <v>4</v>
      </c>
      <c r="F1812" s="15">
        <v>438.83</v>
      </c>
      <c r="G1812" s="16">
        <f>ROUND(E1812*F1812,2)</f>
        <v>1755.32</v>
      </c>
    </row>
    <row r="1813" spans="1:7" x14ac:dyDescent="0.3">
      <c r="A1813" s="17"/>
      <c r="B1813" s="17"/>
      <c r="C1813" s="17"/>
      <c r="D1813" s="18" t="s">
        <v>698</v>
      </c>
      <c r="E1813" s="15">
        <v>1</v>
      </c>
      <c r="F1813" s="12">
        <f>SUM(G1800:G1812)</f>
        <v>14191.579999999998</v>
      </c>
      <c r="G1813" s="12">
        <f>ROUND(F1813*E1813,2)</f>
        <v>14191.58</v>
      </c>
    </row>
    <row r="1814" spans="1:7" ht="1.05" customHeight="1" x14ac:dyDescent="0.3">
      <c r="A1814" s="20"/>
      <c r="B1814" s="20"/>
      <c r="C1814" s="20"/>
      <c r="D1814" s="21"/>
      <c r="E1814" s="20"/>
      <c r="F1814" s="20"/>
      <c r="G1814" s="20"/>
    </row>
    <row r="1815" spans="1:7" x14ac:dyDescent="0.3">
      <c r="A1815" s="17"/>
      <c r="B1815" s="17"/>
      <c r="C1815" s="17"/>
      <c r="D1815" s="18" t="s">
        <v>705</v>
      </c>
      <c r="E1815" s="19">
        <v>1</v>
      </c>
      <c r="F1815" s="12">
        <f>G1681+G1686+G1697+G1702+G1706+G1711+G1719+G1723+G1730+G1736+G1745+G1797+G1813</f>
        <v>250975.13999999998</v>
      </c>
      <c r="G1815" s="12">
        <f>ROUND(F1815*E1815,2)</f>
        <v>250975.14</v>
      </c>
    </row>
    <row r="1816" spans="1:7" ht="1.05" customHeight="1" x14ac:dyDescent="0.3">
      <c r="A1816" s="20"/>
      <c r="B1816" s="20"/>
      <c r="C1816" s="20"/>
      <c r="D1816" s="21"/>
      <c r="E1816" s="20"/>
      <c r="F1816" s="20"/>
      <c r="G1816" s="20"/>
    </row>
    <row r="1817" spans="1:7" x14ac:dyDescent="0.3">
      <c r="A1817" s="9" t="s">
        <v>706</v>
      </c>
      <c r="B1817" s="9" t="s">
        <v>11</v>
      </c>
      <c r="C1817" s="9" t="s">
        <v>12</v>
      </c>
      <c r="D1817" s="10" t="s">
        <v>707</v>
      </c>
      <c r="E1817" s="11">
        <f>E1971</f>
        <v>1</v>
      </c>
      <c r="F1817" s="12">
        <f>F1971</f>
        <v>250975.13999999998</v>
      </c>
      <c r="G1817" s="12">
        <f>G1971</f>
        <v>250975.14</v>
      </c>
    </row>
    <row r="1818" spans="1:7" x14ac:dyDescent="0.3">
      <c r="A1818" s="22" t="s">
        <v>659</v>
      </c>
      <c r="B1818" s="22" t="s">
        <v>11</v>
      </c>
      <c r="C1818" s="22" t="s">
        <v>12</v>
      </c>
      <c r="D1818" s="23" t="s">
        <v>57</v>
      </c>
      <c r="E1818" s="12">
        <f>E1837</f>
        <v>1</v>
      </c>
      <c r="F1818" s="12">
        <f>F1837</f>
        <v>65542.62999999999</v>
      </c>
      <c r="G1818" s="12">
        <f>G1837</f>
        <v>65542.63</v>
      </c>
    </row>
    <row r="1819" spans="1:7" x14ac:dyDescent="0.3">
      <c r="A1819" s="13" t="s">
        <v>81</v>
      </c>
      <c r="B1819" s="13" t="s">
        <v>15</v>
      </c>
      <c r="C1819" s="13" t="s">
        <v>60</v>
      </c>
      <c r="D1819" s="14" t="s">
        <v>82</v>
      </c>
      <c r="E1819" s="15">
        <v>8.18</v>
      </c>
      <c r="F1819" s="15">
        <v>572.66999999999996</v>
      </c>
      <c r="G1819" s="16">
        <f>ROUND(E1819*F1819,2)</f>
        <v>4684.4399999999996</v>
      </c>
    </row>
    <row r="1820" spans="1:7" x14ac:dyDescent="0.3">
      <c r="A1820" s="13" t="s">
        <v>83</v>
      </c>
      <c r="B1820" s="13" t="s">
        <v>15</v>
      </c>
      <c r="C1820" s="13" t="s">
        <v>60</v>
      </c>
      <c r="D1820" s="14" t="s">
        <v>84</v>
      </c>
      <c r="E1820" s="15">
        <v>4.0599999999999996</v>
      </c>
      <c r="F1820" s="15">
        <v>545.57000000000005</v>
      </c>
      <c r="G1820" s="16">
        <f>ROUND(E1820*F1820,2)</f>
        <v>2215.0100000000002</v>
      </c>
    </row>
    <row r="1821" spans="1:7" ht="31.2" x14ac:dyDescent="0.3">
      <c r="A1821" s="13" t="s">
        <v>97</v>
      </c>
      <c r="B1821" s="13" t="s">
        <v>15</v>
      </c>
      <c r="C1821" s="13" t="s">
        <v>60</v>
      </c>
      <c r="D1821" s="14" t="s">
        <v>98</v>
      </c>
      <c r="E1821" s="15">
        <v>0</v>
      </c>
      <c r="F1821" s="15">
        <v>1055.26</v>
      </c>
      <c r="G1821" s="16">
        <f>ROUND(E1821*F1821,2)</f>
        <v>0</v>
      </c>
    </row>
    <row r="1822" spans="1:7" ht="31.2" x14ac:dyDescent="0.3">
      <c r="A1822" s="13" t="s">
        <v>99</v>
      </c>
      <c r="B1822" s="13" t="s">
        <v>15</v>
      </c>
      <c r="C1822" s="13" t="s">
        <v>60</v>
      </c>
      <c r="D1822" s="14" t="s">
        <v>100</v>
      </c>
      <c r="E1822" s="15">
        <v>5.18</v>
      </c>
      <c r="F1822" s="15">
        <v>779.5</v>
      </c>
      <c r="G1822" s="16">
        <f>ROUND(E1822*F1822,2)</f>
        <v>4037.81</v>
      </c>
    </row>
    <row r="1823" spans="1:7" ht="31.2" x14ac:dyDescent="0.3">
      <c r="A1823" s="13" t="s">
        <v>660</v>
      </c>
      <c r="B1823" s="13" t="s">
        <v>15</v>
      </c>
      <c r="C1823" s="13" t="s">
        <v>60</v>
      </c>
      <c r="D1823" s="14" t="s">
        <v>661</v>
      </c>
      <c r="E1823" s="15">
        <v>6.48</v>
      </c>
      <c r="F1823" s="15">
        <v>858.05</v>
      </c>
      <c r="G1823" s="16">
        <f>ROUND(E1823*F1823,2)</f>
        <v>5560.16</v>
      </c>
    </row>
    <row r="1824" spans="1:7" ht="31.2" x14ac:dyDescent="0.3">
      <c r="A1824" s="13" t="s">
        <v>662</v>
      </c>
      <c r="B1824" s="13" t="s">
        <v>15</v>
      </c>
      <c r="C1824" s="13" t="s">
        <v>60</v>
      </c>
      <c r="D1824" s="14" t="s">
        <v>663</v>
      </c>
      <c r="E1824" s="15">
        <v>4.8600000000000003</v>
      </c>
      <c r="F1824" s="15">
        <v>714.24</v>
      </c>
      <c r="G1824" s="16">
        <f>ROUND(E1824*F1824,2)</f>
        <v>3471.21</v>
      </c>
    </row>
    <row r="1825" spans="1:7" x14ac:dyDescent="0.3">
      <c r="A1825" s="13" t="s">
        <v>105</v>
      </c>
      <c r="B1825" s="13" t="s">
        <v>15</v>
      </c>
      <c r="C1825" s="13" t="s">
        <v>60</v>
      </c>
      <c r="D1825" s="14" t="s">
        <v>106</v>
      </c>
      <c r="E1825" s="15">
        <v>5.26</v>
      </c>
      <c r="F1825" s="15">
        <v>476.95</v>
      </c>
      <c r="G1825" s="16">
        <f>ROUND(E1825*F1825,2)</f>
        <v>2508.7600000000002</v>
      </c>
    </row>
    <row r="1826" spans="1:7" x14ac:dyDescent="0.3">
      <c r="A1826" s="13" t="s">
        <v>321</v>
      </c>
      <c r="B1826" s="13" t="s">
        <v>15</v>
      </c>
      <c r="C1826" s="13" t="s">
        <v>60</v>
      </c>
      <c r="D1826" s="14" t="s">
        <v>322</v>
      </c>
      <c r="E1826" s="15">
        <v>3.43</v>
      </c>
      <c r="F1826" s="15">
        <v>713.28</v>
      </c>
      <c r="G1826" s="16">
        <f>ROUND(E1826*F1826,2)</f>
        <v>2446.5500000000002</v>
      </c>
    </row>
    <row r="1827" spans="1:7" x14ac:dyDescent="0.3">
      <c r="A1827" s="13" t="s">
        <v>323</v>
      </c>
      <c r="B1827" s="13" t="s">
        <v>15</v>
      </c>
      <c r="C1827" s="13" t="s">
        <v>60</v>
      </c>
      <c r="D1827" s="14" t="s">
        <v>324</v>
      </c>
      <c r="E1827" s="15">
        <v>3.02</v>
      </c>
      <c r="F1827" s="15">
        <v>702.51</v>
      </c>
      <c r="G1827" s="16">
        <f>ROUND(E1827*F1827,2)</f>
        <v>2121.58</v>
      </c>
    </row>
    <row r="1828" spans="1:7" x14ac:dyDescent="0.3">
      <c r="A1828" s="13" t="s">
        <v>325</v>
      </c>
      <c r="B1828" s="13" t="s">
        <v>15</v>
      </c>
      <c r="C1828" s="13" t="s">
        <v>60</v>
      </c>
      <c r="D1828" s="14" t="s">
        <v>326</v>
      </c>
      <c r="E1828" s="15">
        <v>3.02</v>
      </c>
      <c r="F1828" s="15">
        <v>680.27</v>
      </c>
      <c r="G1828" s="16">
        <f>ROUND(E1828*F1828,2)</f>
        <v>2054.42</v>
      </c>
    </row>
    <row r="1829" spans="1:7" x14ac:dyDescent="0.3">
      <c r="A1829" s="13" t="s">
        <v>327</v>
      </c>
      <c r="B1829" s="13" t="s">
        <v>15</v>
      </c>
      <c r="C1829" s="13" t="s">
        <v>60</v>
      </c>
      <c r="D1829" s="14" t="s">
        <v>328</v>
      </c>
      <c r="E1829" s="15">
        <v>3.53</v>
      </c>
      <c r="F1829" s="15">
        <v>693.2</v>
      </c>
      <c r="G1829" s="16">
        <f>ROUND(E1829*F1829,2)</f>
        <v>2447</v>
      </c>
    </row>
    <row r="1830" spans="1:7" x14ac:dyDescent="0.3">
      <c r="A1830" s="13" t="s">
        <v>329</v>
      </c>
      <c r="B1830" s="13" t="s">
        <v>15</v>
      </c>
      <c r="C1830" s="13" t="s">
        <v>60</v>
      </c>
      <c r="D1830" s="14" t="s">
        <v>330</v>
      </c>
      <c r="E1830" s="15">
        <v>3.59</v>
      </c>
      <c r="F1830" s="15">
        <v>693.4</v>
      </c>
      <c r="G1830" s="16">
        <f>ROUND(E1830*F1830,2)</f>
        <v>2489.31</v>
      </c>
    </row>
    <row r="1831" spans="1:7" x14ac:dyDescent="0.3">
      <c r="A1831" s="13" t="s">
        <v>331</v>
      </c>
      <c r="B1831" s="13" t="s">
        <v>15</v>
      </c>
      <c r="C1831" s="13" t="s">
        <v>60</v>
      </c>
      <c r="D1831" s="14" t="s">
        <v>332</v>
      </c>
      <c r="E1831" s="15">
        <v>3.39</v>
      </c>
      <c r="F1831" s="15">
        <v>700.15</v>
      </c>
      <c r="G1831" s="16">
        <f>ROUND(E1831*F1831,2)</f>
        <v>2373.5100000000002</v>
      </c>
    </row>
    <row r="1832" spans="1:7" x14ac:dyDescent="0.3">
      <c r="A1832" s="13" t="s">
        <v>604</v>
      </c>
      <c r="B1832" s="13" t="s">
        <v>15</v>
      </c>
      <c r="C1832" s="13" t="s">
        <v>60</v>
      </c>
      <c r="D1832" s="14" t="s">
        <v>605</v>
      </c>
      <c r="E1832" s="15">
        <v>1.81</v>
      </c>
      <c r="F1832" s="15">
        <v>646.07000000000005</v>
      </c>
      <c r="G1832" s="16">
        <f>ROUND(E1832*F1832,2)</f>
        <v>1169.3900000000001</v>
      </c>
    </row>
    <row r="1833" spans="1:7" x14ac:dyDescent="0.3">
      <c r="A1833" s="13" t="s">
        <v>333</v>
      </c>
      <c r="B1833" s="13" t="s">
        <v>15</v>
      </c>
      <c r="C1833" s="13" t="s">
        <v>60</v>
      </c>
      <c r="D1833" s="14" t="s">
        <v>334</v>
      </c>
      <c r="E1833" s="15">
        <v>2.17</v>
      </c>
      <c r="F1833" s="15">
        <v>693.4</v>
      </c>
      <c r="G1833" s="16">
        <f>ROUND(E1833*F1833,2)</f>
        <v>1504.68</v>
      </c>
    </row>
    <row r="1834" spans="1:7" ht="31.2" x14ac:dyDescent="0.3">
      <c r="A1834" s="13" t="s">
        <v>432</v>
      </c>
      <c r="B1834" s="13" t="s">
        <v>15</v>
      </c>
      <c r="C1834" s="13" t="s">
        <v>60</v>
      </c>
      <c r="D1834" s="14" t="s">
        <v>433</v>
      </c>
      <c r="E1834" s="15">
        <v>0.47</v>
      </c>
      <c r="F1834" s="15">
        <v>700.07</v>
      </c>
      <c r="G1834" s="16">
        <f>ROUND(E1834*F1834,2)</f>
        <v>329.03</v>
      </c>
    </row>
    <row r="1835" spans="1:7" x14ac:dyDescent="0.3">
      <c r="A1835" s="13" t="s">
        <v>335</v>
      </c>
      <c r="B1835" s="13" t="s">
        <v>15</v>
      </c>
      <c r="C1835" s="13" t="s">
        <v>91</v>
      </c>
      <c r="D1835" s="14" t="s">
        <v>336</v>
      </c>
      <c r="E1835" s="15">
        <v>10.25</v>
      </c>
      <c r="F1835" s="15">
        <v>367.46</v>
      </c>
      <c r="G1835" s="16">
        <f>ROUND(E1835*F1835,2)</f>
        <v>3766.47</v>
      </c>
    </row>
    <row r="1836" spans="1:7" x14ac:dyDescent="0.3">
      <c r="A1836" s="13" t="s">
        <v>606</v>
      </c>
      <c r="B1836" s="13" t="s">
        <v>15</v>
      </c>
      <c r="C1836" s="13" t="s">
        <v>60</v>
      </c>
      <c r="D1836" s="14" t="s">
        <v>607</v>
      </c>
      <c r="E1836" s="15">
        <v>45.44</v>
      </c>
      <c r="F1836" s="15">
        <v>492.15</v>
      </c>
      <c r="G1836" s="16">
        <f>ROUND(E1836*F1836,2)</f>
        <v>22363.3</v>
      </c>
    </row>
    <row r="1837" spans="1:7" x14ac:dyDescent="0.3">
      <c r="A1837" s="17"/>
      <c r="B1837" s="17"/>
      <c r="C1837" s="17"/>
      <c r="D1837" s="18" t="s">
        <v>664</v>
      </c>
      <c r="E1837" s="15">
        <v>1</v>
      </c>
      <c r="F1837" s="12">
        <f>SUM(G1819:G1836)</f>
        <v>65542.62999999999</v>
      </c>
      <c r="G1837" s="12">
        <f>ROUND(F1837*E1837,2)</f>
        <v>65542.63</v>
      </c>
    </row>
    <row r="1838" spans="1:7" ht="1.05" customHeight="1" x14ac:dyDescent="0.3">
      <c r="A1838" s="20"/>
      <c r="B1838" s="20"/>
      <c r="C1838" s="20"/>
      <c r="D1838" s="21"/>
      <c r="E1838" s="20"/>
      <c r="F1838" s="20"/>
      <c r="G1838" s="20"/>
    </row>
    <row r="1839" spans="1:7" x14ac:dyDescent="0.3">
      <c r="A1839" s="22" t="s">
        <v>665</v>
      </c>
      <c r="B1839" s="22" t="s">
        <v>11</v>
      </c>
      <c r="C1839" s="22" t="s">
        <v>12</v>
      </c>
      <c r="D1839" s="23" t="s">
        <v>109</v>
      </c>
      <c r="E1839" s="12">
        <f>E1842</f>
        <v>1</v>
      </c>
      <c r="F1839" s="12">
        <f>F1842</f>
        <v>19577.670000000002</v>
      </c>
      <c r="G1839" s="12">
        <f>G1842</f>
        <v>19577.669999999998</v>
      </c>
    </row>
    <row r="1840" spans="1:7" ht="31.2" x14ac:dyDescent="0.3">
      <c r="A1840" s="13" t="s">
        <v>110</v>
      </c>
      <c r="B1840" s="13" t="s">
        <v>15</v>
      </c>
      <c r="C1840" s="13" t="s">
        <v>112</v>
      </c>
      <c r="D1840" s="14" t="s">
        <v>111</v>
      </c>
      <c r="E1840" s="15">
        <v>691.18</v>
      </c>
      <c r="F1840" s="15">
        <v>27.41</v>
      </c>
      <c r="G1840" s="16">
        <f>ROUND(E1840*F1840,2)</f>
        <v>18945.240000000002</v>
      </c>
    </row>
    <row r="1841" spans="1:7" ht="31.2" x14ac:dyDescent="0.3">
      <c r="A1841" s="13" t="s">
        <v>499</v>
      </c>
      <c r="B1841" s="13" t="s">
        <v>15</v>
      </c>
      <c r="C1841" s="13" t="s">
        <v>112</v>
      </c>
      <c r="D1841" s="14" t="s">
        <v>500</v>
      </c>
      <c r="E1841" s="15">
        <v>30.42</v>
      </c>
      <c r="F1841" s="15">
        <v>20.79</v>
      </c>
      <c r="G1841" s="16">
        <f>ROUND(E1841*F1841,2)</f>
        <v>632.42999999999995</v>
      </c>
    </row>
    <row r="1842" spans="1:7" x14ac:dyDescent="0.3">
      <c r="A1842" s="17"/>
      <c r="B1842" s="17"/>
      <c r="C1842" s="17"/>
      <c r="D1842" s="18" t="s">
        <v>666</v>
      </c>
      <c r="E1842" s="15">
        <v>1</v>
      </c>
      <c r="F1842" s="12">
        <f>SUM(G1840:G1841)</f>
        <v>19577.670000000002</v>
      </c>
      <c r="G1842" s="12">
        <f>ROUND(F1842*E1842,2)</f>
        <v>19577.669999999998</v>
      </c>
    </row>
    <row r="1843" spans="1:7" ht="1.05" customHeight="1" x14ac:dyDescent="0.3">
      <c r="A1843" s="20"/>
      <c r="B1843" s="20"/>
      <c r="C1843" s="20"/>
      <c r="D1843" s="21"/>
      <c r="E1843" s="20"/>
      <c r="F1843" s="20"/>
      <c r="G1843" s="20"/>
    </row>
    <row r="1844" spans="1:7" x14ac:dyDescent="0.3">
      <c r="A1844" s="22" t="s">
        <v>667</v>
      </c>
      <c r="B1844" s="22" t="s">
        <v>11</v>
      </c>
      <c r="C1844" s="22" t="s">
        <v>12</v>
      </c>
      <c r="D1844" s="23" t="s">
        <v>115</v>
      </c>
      <c r="E1844" s="12">
        <f>E1853</f>
        <v>1</v>
      </c>
      <c r="F1844" s="12">
        <f>F1853</f>
        <v>30748.529999999995</v>
      </c>
      <c r="G1844" s="12">
        <f>G1853</f>
        <v>30748.53</v>
      </c>
    </row>
    <row r="1845" spans="1:7" x14ac:dyDescent="0.3">
      <c r="A1845" s="13" t="s">
        <v>116</v>
      </c>
      <c r="B1845" s="13" t="s">
        <v>15</v>
      </c>
      <c r="C1845" s="13" t="s">
        <v>112</v>
      </c>
      <c r="D1845" s="14" t="s">
        <v>117</v>
      </c>
      <c r="E1845" s="15">
        <v>321.01</v>
      </c>
      <c r="F1845" s="15">
        <v>1.96</v>
      </c>
      <c r="G1845" s="16">
        <f>ROUND(E1845*F1845,2)</f>
        <v>629.17999999999995</v>
      </c>
    </row>
    <row r="1846" spans="1:7" ht="31.2" x14ac:dyDescent="0.3">
      <c r="A1846" s="13" t="s">
        <v>118</v>
      </c>
      <c r="B1846" s="13" t="s">
        <v>15</v>
      </c>
      <c r="C1846" s="13" t="s">
        <v>112</v>
      </c>
      <c r="D1846" s="14" t="s">
        <v>119</v>
      </c>
      <c r="E1846" s="15">
        <v>1293.1500000000001</v>
      </c>
      <c r="F1846" s="15">
        <v>8.4</v>
      </c>
      <c r="G1846" s="16">
        <f>ROUND(E1846*F1846,2)</f>
        <v>10862.46</v>
      </c>
    </row>
    <row r="1847" spans="1:7" x14ac:dyDescent="0.3">
      <c r="A1847" s="13" t="s">
        <v>503</v>
      </c>
      <c r="B1847" s="13" t="s">
        <v>15</v>
      </c>
      <c r="C1847" s="13" t="s">
        <v>112</v>
      </c>
      <c r="D1847" s="14" t="s">
        <v>504</v>
      </c>
      <c r="E1847" s="15">
        <v>1749.33</v>
      </c>
      <c r="F1847" s="15">
        <v>3.02</v>
      </c>
      <c r="G1847" s="16">
        <f>ROUND(E1847*F1847,2)</f>
        <v>5282.98</v>
      </c>
    </row>
    <row r="1848" spans="1:7" ht="31.2" x14ac:dyDescent="0.3">
      <c r="A1848" s="13" t="s">
        <v>120</v>
      </c>
      <c r="B1848" s="13" t="s">
        <v>15</v>
      </c>
      <c r="C1848" s="13" t="s">
        <v>112</v>
      </c>
      <c r="D1848" s="14" t="s">
        <v>121</v>
      </c>
      <c r="E1848" s="15">
        <v>228.79</v>
      </c>
      <c r="F1848" s="15">
        <v>8.4700000000000006</v>
      </c>
      <c r="G1848" s="16">
        <f>ROUND(E1848*F1848,2)</f>
        <v>1937.85</v>
      </c>
    </row>
    <row r="1849" spans="1:7" ht="31.2" x14ac:dyDescent="0.3">
      <c r="A1849" s="13" t="s">
        <v>122</v>
      </c>
      <c r="B1849" s="13" t="s">
        <v>15</v>
      </c>
      <c r="C1849" s="13" t="s">
        <v>112</v>
      </c>
      <c r="D1849" s="14" t="s">
        <v>123</v>
      </c>
      <c r="E1849" s="15">
        <v>456.18</v>
      </c>
      <c r="F1849" s="15">
        <v>11.87</v>
      </c>
      <c r="G1849" s="16">
        <f>ROUND(E1849*F1849,2)</f>
        <v>5414.86</v>
      </c>
    </row>
    <row r="1850" spans="1:7" ht="31.2" x14ac:dyDescent="0.3">
      <c r="A1850" s="13" t="s">
        <v>124</v>
      </c>
      <c r="B1850" s="13" t="s">
        <v>15</v>
      </c>
      <c r="C1850" s="13" t="s">
        <v>112</v>
      </c>
      <c r="D1850" s="14" t="s">
        <v>125</v>
      </c>
      <c r="E1850" s="15">
        <v>97.2</v>
      </c>
      <c r="F1850" s="15">
        <v>9.4600000000000009</v>
      </c>
      <c r="G1850" s="16">
        <f>ROUND(E1850*F1850,2)</f>
        <v>919.51</v>
      </c>
    </row>
    <row r="1851" spans="1:7" x14ac:dyDescent="0.3">
      <c r="A1851" s="13" t="s">
        <v>126</v>
      </c>
      <c r="B1851" s="13" t="s">
        <v>15</v>
      </c>
      <c r="C1851" s="13" t="s">
        <v>28</v>
      </c>
      <c r="D1851" s="14" t="s">
        <v>127</v>
      </c>
      <c r="E1851" s="15">
        <v>921.78</v>
      </c>
      <c r="F1851" s="15">
        <v>4.16</v>
      </c>
      <c r="G1851" s="16">
        <f>ROUND(E1851*F1851,2)</f>
        <v>3834.6</v>
      </c>
    </row>
    <row r="1852" spans="1:7" x14ac:dyDescent="0.3">
      <c r="A1852" s="13" t="s">
        <v>128</v>
      </c>
      <c r="B1852" s="13" t="s">
        <v>15</v>
      </c>
      <c r="C1852" s="13" t="s">
        <v>28</v>
      </c>
      <c r="D1852" s="14" t="s">
        <v>129</v>
      </c>
      <c r="E1852" s="15">
        <v>413.99</v>
      </c>
      <c r="F1852" s="15">
        <v>4.51</v>
      </c>
      <c r="G1852" s="16">
        <f>ROUND(E1852*F1852,2)</f>
        <v>1867.09</v>
      </c>
    </row>
    <row r="1853" spans="1:7" x14ac:dyDescent="0.3">
      <c r="A1853" s="17"/>
      <c r="B1853" s="17"/>
      <c r="C1853" s="17"/>
      <c r="D1853" s="18" t="s">
        <v>668</v>
      </c>
      <c r="E1853" s="15">
        <v>1</v>
      </c>
      <c r="F1853" s="12">
        <f>SUM(G1845:G1852)</f>
        <v>30748.529999999995</v>
      </c>
      <c r="G1853" s="12">
        <f>ROUND(F1853*E1853,2)</f>
        <v>30748.53</v>
      </c>
    </row>
    <row r="1854" spans="1:7" ht="1.05" customHeight="1" x14ac:dyDescent="0.3">
      <c r="A1854" s="20"/>
      <c r="B1854" s="20"/>
      <c r="C1854" s="20"/>
      <c r="D1854" s="21"/>
      <c r="E1854" s="20"/>
      <c r="F1854" s="20"/>
      <c r="G1854" s="20"/>
    </row>
    <row r="1855" spans="1:7" x14ac:dyDescent="0.3">
      <c r="A1855" s="22" t="s">
        <v>669</v>
      </c>
      <c r="B1855" s="22" t="s">
        <v>11</v>
      </c>
      <c r="C1855" s="22" t="s">
        <v>12</v>
      </c>
      <c r="D1855" s="23" t="s">
        <v>132</v>
      </c>
      <c r="E1855" s="12">
        <f>E1858</f>
        <v>1</v>
      </c>
      <c r="F1855" s="12">
        <f>F1858</f>
        <v>17180.560000000001</v>
      </c>
      <c r="G1855" s="12">
        <f>G1858</f>
        <v>17180.560000000001</v>
      </c>
    </row>
    <row r="1856" spans="1:7" ht="31.2" x14ac:dyDescent="0.3">
      <c r="A1856" s="13" t="s">
        <v>133</v>
      </c>
      <c r="B1856" s="13" t="s">
        <v>15</v>
      </c>
      <c r="C1856" s="13" t="s">
        <v>112</v>
      </c>
      <c r="D1856" s="14" t="s">
        <v>134</v>
      </c>
      <c r="E1856" s="15">
        <v>351.32</v>
      </c>
      <c r="F1856" s="15">
        <v>42.32</v>
      </c>
      <c r="G1856" s="16">
        <f>ROUND(E1856*F1856,2)</f>
        <v>14867.86</v>
      </c>
    </row>
    <row r="1857" spans="1:7" ht="31.2" x14ac:dyDescent="0.3">
      <c r="A1857" s="13" t="s">
        <v>135</v>
      </c>
      <c r="B1857" s="13" t="s">
        <v>15</v>
      </c>
      <c r="C1857" s="13" t="s">
        <v>28</v>
      </c>
      <c r="D1857" s="14" t="s">
        <v>136</v>
      </c>
      <c r="E1857" s="15">
        <v>399.43</v>
      </c>
      <c r="F1857" s="15">
        <v>5.79</v>
      </c>
      <c r="G1857" s="16">
        <f>ROUND(E1857*F1857,2)</f>
        <v>2312.6999999999998</v>
      </c>
    </row>
    <row r="1858" spans="1:7" x14ac:dyDescent="0.3">
      <c r="A1858" s="17"/>
      <c r="B1858" s="17"/>
      <c r="C1858" s="17"/>
      <c r="D1858" s="18" t="s">
        <v>670</v>
      </c>
      <c r="E1858" s="15">
        <v>1</v>
      </c>
      <c r="F1858" s="12">
        <f>SUM(G1856:G1857)</f>
        <v>17180.560000000001</v>
      </c>
      <c r="G1858" s="12">
        <f>ROUND(F1858*E1858,2)</f>
        <v>17180.560000000001</v>
      </c>
    </row>
    <row r="1859" spans="1:7" ht="1.05" customHeight="1" x14ac:dyDescent="0.3">
      <c r="A1859" s="20"/>
      <c r="B1859" s="20"/>
      <c r="C1859" s="20"/>
      <c r="D1859" s="21"/>
      <c r="E1859" s="20"/>
      <c r="F1859" s="20"/>
      <c r="G1859" s="20"/>
    </row>
    <row r="1860" spans="1:7" x14ac:dyDescent="0.3">
      <c r="A1860" s="22" t="s">
        <v>671</v>
      </c>
      <c r="B1860" s="22" t="s">
        <v>11</v>
      </c>
      <c r="C1860" s="22" t="s">
        <v>12</v>
      </c>
      <c r="D1860" s="23" t="s">
        <v>347</v>
      </c>
      <c r="E1860" s="12">
        <f>E1862</f>
        <v>1</v>
      </c>
      <c r="F1860" s="12">
        <f>F1862</f>
        <v>5947.28</v>
      </c>
      <c r="G1860" s="12">
        <f>G1862</f>
        <v>5947.28</v>
      </c>
    </row>
    <row r="1861" spans="1:7" ht="31.2" x14ac:dyDescent="0.3">
      <c r="A1861" s="13" t="s">
        <v>348</v>
      </c>
      <c r="B1861" s="13" t="s">
        <v>15</v>
      </c>
      <c r="C1861" s="13" t="s">
        <v>22</v>
      </c>
      <c r="D1861" s="14" t="s">
        <v>349</v>
      </c>
      <c r="E1861" s="15">
        <v>138.02000000000001</v>
      </c>
      <c r="F1861" s="15">
        <v>43.09</v>
      </c>
      <c r="G1861" s="16">
        <f>ROUND(E1861*F1861,2)</f>
        <v>5947.28</v>
      </c>
    </row>
    <row r="1862" spans="1:7" x14ac:dyDescent="0.3">
      <c r="A1862" s="17"/>
      <c r="B1862" s="17"/>
      <c r="C1862" s="17"/>
      <c r="D1862" s="18" t="s">
        <v>672</v>
      </c>
      <c r="E1862" s="15">
        <v>1</v>
      </c>
      <c r="F1862" s="12">
        <f>G1861</f>
        <v>5947.28</v>
      </c>
      <c r="G1862" s="12">
        <f>ROUND(F1862*E1862,2)</f>
        <v>5947.28</v>
      </c>
    </row>
    <row r="1863" spans="1:7" ht="1.05" customHeight="1" x14ac:dyDescent="0.3">
      <c r="A1863" s="20"/>
      <c r="B1863" s="20"/>
      <c r="C1863" s="20"/>
      <c r="D1863" s="21"/>
      <c r="E1863" s="20"/>
      <c r="F1863" s="20"/>
      <c r="G1863" s="20"/>
    </row>
    <row r="1864" spans="1:7" x14ac:dyDescent="0.3">
      <c r="A1864" s="22" t="s">
        <v>673</v>
      </c>
      <c r="B1864" s="22" t="s">
        <v>11</v>
      </c>
      <c r="C1864" s="22" t="s">
        <v>12</v>
      </c>
      <c r="D1864" s="23" t="s">
        <v>141</v>
      </c>
      <c r="E1864" s="12">
        <f>E1867</f>
        <v>1</v>
      </c>
      <c r="F1864" s="12">
        <f>F1867</f>
        <v>3149.3900000000003</v>
      </c>
      <c r="G1864" s="12">
        <f>G1867</f>
        <v>3149.39</v>
      </c>
    </row>
    <row r="1865" spans="1:7" ht="31.2" x14ac:dyDescent="0.3">
      <c r="A1865" s="13" t="s">
        <v>142</v>
      </c>
      <c r="B1865" s="13" t="s">
        <v>15</v>
      </c>
      <c r="C1865" s="13" t="s">
        <v>28</v>
      </c>
      <c r="D1865" s="14" t="s">
        <v>143</v>
      </c>
      <c r="E1865" s="15">
        <v>46.8</v>
      </c>
      <c r="F1865" s="15">
        <v>61.92</v>
      </c>
      <c r="G1865" s="16">
        <f>ROUND(E1865*F1865,2)</f>
        <v>2897.86</v>
      </c>
    </row>
    <row r="1866" spans="1:7" x14ac:dyDescent="0.3">
      <c r="A1866" s="13" t="s">
        <v>144</v>
      </c>
      <c r="B1866" s="13" t="s">
        <v>15</v>
      </c>
      <c r="C1866" s="13" t="s">
        <v>112</v>
      </c>
      <c r="D1866" s="14" t="s">
        <v>145</v>
      </c>
      <c r="E1866" s="15">
        <v>6.54</v>
      </c>
      <c r="F1866" s="15">
        <v>38.46</v>
      </c>
      <c r="G1866" s="16">
        <f>ROUND(E1866*F1866,2)</f>
        <v>251.53</v>
      </c>
    </row>
    <row r="1867" spans="1:7" x14ac:dyDescent="0.3">
      <c r="A1867" s="17"/>
      <c r="B1867" s="17"/>
      <c r="C1867" s="17"/>
      <c r="D1867" s="18" t="s">
        <v>674</v>
      </c>
      <c r="E1867" s="15">
        <v>1</v>
      </c>
      <c r="F1867" s="12">
        <f>SUM(G1865:G1866)</f>
        <v>3149.3900000000003</v>
      </c>
      <c r="G1867" s="12">
        <f>ROUND(F1867*E1867,2)</f>
        <v>3149.39</v>
      </c>
    </row>
    <row r="1868" spans="1:7" ht="1.05" customHeight="1" x14ac:dyDescent="0.3">
      <c r="A1868" s="20"/>
      <c r="B1868" s="20"/>
      <c r="C1868" s="20"/>
      <c r="D1868" s="21"/>
      <c r="E1868" s="20"/>
      <c r="F1868" s="20"/>
      <c r="G1868" s="20"/>
    </row>
    <row r="1869" spans="1:7" x14ac:dyDescent="0.3">
      <c r="A1869" s="22" t="s">
        <v>675</v>
      </c>
      <c r="B1869" s="22" t="s">
        <v>11</v>
      </c>
      <c r="C1869" s="22" t="s">
        <v>12</v>
      </c>
      <c r="D1869" s="23" t="s">
        <v>148</v>
      </c>
      <c r="E1869" s="12">
        <f>E1875</f>
        <v>1</v>
      </c>
      <c r="F1869" s="12">
        <f>F1875</f>
        <v>27012.5</v>
      </c>
      <c r="G1869" s="12">
        <f>G1875</f>
        <v>27012.5</v>
      </c>
    </row>
    <row r="1870" spans="1:7" ht="31.2" x14ac:dyDescent="0.3">
      <c r="A1870" s="13" t="s">
        <v>149</v>
      </c>
      <c r="B1870" s="13" t="s">
        <v>15</v>
      </c>
      <c r="C1870" s="13" t="s">
        <v>151</v>
      </c>
      <c r="D1870" s="14" t="s">
        <v>150</v>
      </c>
      <c r="E1870" s="15">
        <v>2</v>
      </c>
      <c r="F1870" s="15">
        <v>249.6</v>
      </c>
      <c r="G1870" s="16">
        <f>ROUND(E1870*F1870,2)</f>
        <v>499.2</v>
      </c>
    </row>
    <row r="1871" spans="1:7" ht="31.2" x14ac:dyDescent="0.3">
      <c r="A1871" s="13" t="s">
        <v>152</v>
      </c>
      <c r="B1871" s="13" t="s">
        <v>15</v>
      </c>
      <c r="C1871" s="13" t="s">
        <v>151</v>
      </c>
      <c r="D1871" s="14" t="s">
        <v>153</v>
      </c>
      <c r="E1871" s="15">
        <v>2</v>
      </c>
      <c r="F1871" s="15">
        <v>424.61</v>
      </c>
      <c r="G1871" s="16">
        <f>ROUND(E1871*F1871,2)</f>
        <v>849.22</v>
      </c>
    </row>
    <row r="1872" spans="1:7" ht="31.2" x14ac:dyDescent="0.3">
      <c r="A1872" s="13" t="s">
        <v>517</v>
      </c>
      <c r="B1872" s="13" t="s">
        <v>15</v>
      </c>
      <c r="C1872" s="13" t="s">
        <v>151</v>
      </c>
      <c r="D1872" s="14" t="s">
        <v>518</v>
      </c>
      <c r="E1872" s="15">
        <v>4</v>
      </c>
      <c r="F1872" s="15">
        <v>714</v>
      </c>
      <c r="G1872" s="16">
        <f>ROUND(E1872*F1872,2)</f>
        <v>2856</v>
      </c>
    </row>
    <row r="1873" spans="1:7" ht="31.2" x14ac:dyDescent="0.3">
      <c r="A1873" s="13" t="s">
        <v>519</v>
      </c>
      <c r="B1873" s="13" t="s">
        <v>15</v>
      </c>
      <c r="C1873" s="13" t="s">
        <v>151</v>
      </c>
      <c r="D1873" s="14" t="s">
        <v>520</v>
      </c>
      <c r="E1873" s="15">
        <v>22</v>
      </c>
      <c r="F1873" s="15">
        <v>538.34</v>
      </c>
      <c r="G1873" s="16">
        <f>ROUND(E1873*F1873,2)</f>
        <v>11843.48</v>
      </c>
    </row>
    <row r="1874" spans="1:7" ht="31.2" x14ac:dyDescent="0.3">
      <c r="A1874" s="13" t="s">
        <v>521</v>
      </c>
      <c r="B1874" s="13" t="s">
        <v>15</v>
      </c>
      <c r="C1874" s="13" t="s">
        <v>363</v>
      </c>
      <c r="D1874" s="14" t="s">
        <v>522</v>
      </c>
      <c r="E1874" s="15">
        <v>470.18</v>
      </c>
      <c r="F1874" s="15">
        <v>23.32</v>
      </c>
      <c r="G1874" s="16">
        <f>ROUND(E1874*F1874,2)</f>
        <v>10964.6</v>
      </c>
    </row>
    <row r="1875" spans="1:7" x14ac:dyDescent="0.3">
      <c r="A1875" s="17"/>
      <c r="B1875" s="17"/>
      <c r="C1875" s="17"/>
      <c r="D1875" s="18" t="s">
        <v>676</v>
      </c>
      <c r="E1875" s="15">
        <v>1</v>
      </c>
      <c r="F1875" s="12">
        <f>SUM(G1870:G1874)</f>
        <v>27012.5</v>
      </c>
      <c r="G1875" s="12">
        <f>ROUND(F1875*E1875,2)</f>
        <v>27012.5</v>
      </c>
    </row>
    <row r="1876" spans="1:7" ht="1.05" customHeight="1" x14ac:dyDescent="0.3">
      <c r="A1876" s="20"/>
      <c r="B1876" s="20"/>
      <c r="C1876" s="20"/>
      <c r="D1876" s="21"/>
      <c r="E1876" s="20"/>
      <c r="F1876" s="20"/>
      <c r="G1876" s="20"/>
    </row>
    <row r="1877" spans="1:7" x14ac:dyDescent="0.3">
      <c r="A1877" s="22" t="s">
        <v>677</v>
      </c>
      <c r="B1877" s="22" t="s">
        <v>11</v>
      </c>
      <c r="C1877" s="22" t="s">
        <v>12</v>
      </c>
      <c r="D1877" s="23" t="s">
        <v>360</v>
      </c>
      <c r="E1877" s="12">
        <f>E1879</f>
        <v>1</v>
      </c>
      <c r="F1877" s="12">
        <f>F1879</f>
        <v>4676.05</v>
      </c>
      <c r="G1877" s="12">
        <f>G1879</f>
        <v>4676.05</v>
      </c>
    </row>
    <row r="1878" spans="1:7" ht="31.2" x14ac:dyDescent="0.3">
      <c r="A1878" s="13" t="s">
        <v>361</v>
      </c>
      <c r="B1878" s="13" t="s">
        <v>15</v>
      </c>
      <c r="C1878" s="13" t="s">
        <v>363</v>
      </c>
      <c r="D1878" s="14" t="s">
        <v>362</v>
      </c>
      <c r="E1878" s="15">
        <v>525.99</v>
      </c>
      <c r="F1878" s="15">
        <v>8.89</v>
      </c>
      <c r="G1878" s="16">
        <f>ROUND(E1878*F1878,2)</f>
        <v>4676.05</v>
      </c>
    </row>
    <row r="1879" spans="1:7" x14ac:dyDescent="0.3">
      <c r="A1879" s="17"/>
      <c r="B1879" s="17"/>
      <c r="C1879" s="17"/>
      <c r="D1879" s="18" t="s">
        <v>678</v>
      </c>
      <c r="E1879" s="15">
        <v>1</v>
      </c>
      <c r="F1879" s="12">
        <f>G1878</f>
        <v>4676.05</v>
      </c>
      <c r="G1879" s="12">
        <f>ROUND(F1879*E1879,2)</f>
        <v>4676.05</v>
      </c>
    </row>
    <row r="1880" spans="1:7" ht="1.05" customHeight="1" x14ac:dyDescent="0.3">
      <c r="A1880" s="20"/>
      <c r="B1880" s="20"/>
      <c r="C1880" s="20"/>
      <c r="D1880" s="21"/>
      <c r="E1880" s="20"/>
      <c r="F1880" s="20"/>
      <c r="G1880" s="20"/>
    </row>
    <row r="1881" spans="1:7" x14ac:dyDescent="0.3">
      <c r="A1881" s="22" t="s">
        <v>679</v>
      </c>
      <c r="B1881" s="22" t="s">
        <v>11</v>
      </c>
      <c r="C1881" s="22" t="s">
        <v>12</v>
      </c>
      <c r="D1881" s="23" t="s">
        <v>156</v>
      </c>
      <c r="E1881" s="12">
        <f>E1886</f>
        <v>1</v>
      </c>
      <c r="F1881" s="12">
        <f>F1886</f>
        <v>20212.09</v>
      </c>
      <c r="G1881" s="12">
        <f>G1886</f>
        <v>20212.09</v>
      </c>
    </row>
    <row r="1882" spans="1:7" x14ac:dyDescent="0.3">
      <c r="A1882" s="13" t="s">
        <v>157</v>
      </c>
      <c r="B1882" s="13" t="s">
        <v>15</v>
      </c>
      <c r="C1882" s="13" t="s">
        <v>112</v>
      </c>
      <c r="D1882" s="14" t="s">
        <v>158</v>
      </c>
      <c r="E1882" s="15">
        <v>2137.42</v>
      </c>
      <c r="F1882" s="15">
        <v>4.0199999999999996</v>
      </c>
      <c r="G1882" s="16">
        <f>ROUND(E1882*F1882,2)</f>
        <v>8592.43</v>
      </c>
    </row>
    <row r="1883" spans="1:7" x14ac:dyDescent="0.3">
      <c r="A1883" s="13" t="s">
        <v>159</v>
      </c>
      <c r="B1883" s="13" t="s">
        <v>15</v>
      </c>
      <c r="C1883" s="13" t="s">
        <v>112</v>
      </c>
      <c r="D1883" s="14" t="s">
        <v>160</v>
      </c>
      <c r="E1883" s="15">
        <v>1452.45</v>
      </c>
      <c r="F1883" s="15">
        <v>4.37</v>
      </c>
      <c r="G1883" s="16">
        <f>ROUND(E1883*F1883,2)</f>
        <v>6347.21</v>
      </c>
    </row>
    <row r="1884" spans="1:7" x14ac:dyDescent="0.3">
      <c r="A1884" s="13" t="s">
        <v>527</v>
      </c>
      <c r="B1884" s="13" t="s">
        <v>15</v>
      </c>
      <c r="C1884" s="13" t="s">
        <v>112</v>
      </c>
      <c r="D1884" s="14" t="s">
        <v>528</v>
      </c>
      <c r="E1884" s="15">
        <v>228.79</v>
      </c>
      <c r="F1884" s="15">
        <v>8.35</v>
      </c>
      <c r="G1884" s="16">
        <f>ROUND(E1884*F1884,2)</f>
        <v>1910.4</v>
      </c>
    </row>
    <row r="1885" spans="1:7" x14ac:dyDescent="0.3">
      <c r="A1885" s="13" t="s">
        <v>161</v>
      </c>
      <c r="B1885" s="13" t="s">
        <v>15</v>
      </c>
      <c r="C1885" s="13" t="s">
        <v>112</v>
      </c>
      <c r="D1885" s="14" t="s">
        <v>162</v>
      </c>
      <c r="E1885" s="15">
        <v>456.18</v>
      </c>
      <c r="F1885" s="15">
        <v>7.37</v>
      </c>
      <c r="G1885" s="16">
        <f>ROUND(E1885*F1885,2)</f>
        <v>3362.05</v>
      </c>
    </row>
    <row r="1886" spans="1:7" x14ac:dyDescent="0.3">
      <c r="A1886" s="17"/>
      <c r="B1886" s="17"/>
      <c r="C1886" s="17"/>
      <c r="D1886" s="18" t="s">
        <v>680</v>
      </c>
      <c r="E1886" s="15">
        <v>1</v>
      </c>
      <c r="F1886" s="12">
        <f>SUM(G1882:G1885)</f>
        <v>20212.09</v>
      </c>
      <c r="G1886" s="12">
        <f>ROUND(F1886*E1886,2)</f>
        <v>20212.09</v>
      </c>
    </row>
    <row r="1887" spans="1:7" ht="1.05" customHeight="1" x14ac:dyDescent="0.3">
      <c r="A1887" s="20"/>
      <c r="B1887" s="20"/>
      <c r="C1887" s="20"/>
      <c r="D1887" s="21"/>
      <c r="E1887" s="20"/>
      <c r="F1887" s="20"/>
      <c r="G1887" s="20"/>
    </row>
    <row r="1888" spans="1:7" x14ac:dyDescent="0.3">
      <c r="A1888" s="22" t="s">
        <v>681</v>
      </c>
      <c r="B1888" s="22" t="s">
        <v>11</v>
      </c>
      <c r="C1888" s="22" t="s">
        <v>12</v>
      </c>
      <c r="D1888" s="23" t="s">
        <v>531</v>
      </c>
      <c r="E1888" s="12">
        <f>E1892</f>
        <v>1</v>
      </c>
      <c r="F1888" s="12">
        <f>F1892</f>
        <v>9191.83</v>
      </c>
      <c r="G1888" s="12">
        <f>G1892</f>
        <v>9191.83</v>
      </c>
    </row>
    <row r="1889" spans="1:7" ht="31.2" x14ac:dyDescent="0.3">
      <c r="A1889" s="13" t="s">
        <v>532</v>
      </c>
      <c r="B1889" s="13" t="s">
        <v>15</v>
      </c>
      <c r="C1889" s="13" t="s">
        <v>534</v>
      </c>
      <c r="D1889" s="14" t="s">
        <v>533</v>
      </c>
      <c r="E1889" s="15">
        <v>38.049999999999997</v>
      </c>
      <c r="F1889" s="15">
        <v>53.17</v>
      </c>
      <c r="G1889" s="16">
        <f>ROUND(E1889*F1889,2)</f>
        <v>2023.12</v>
      </c>
    </row>
    <row r="1890" spans="1:7" x14ac:dyDescent="0.3">
      <c r="A1890" s="13" t="s">
        <v>535</v>
      </c>
      <c r="B1890" s="13" t="s">
        <v>15</v>
      </c>
      <c r="C1890" s="13" t="s">
        <v>534</v>
      </c>
      <c r="D1890" s="14" t="s">
        <v>536</v>
      </c>
      <c r="E1890" s="15">
        <v>44.94</v>
      </c>
      <c r="F1890" s="15">
        <v>71.430000000000007</v>
      </c>
      <c r="G1890" s="16">
        <f>ROUND(E1890*F1890,2)</f>
        <v>3210.06</v>
      </c>
    </row>
    <row r="1891" spans="1:7" x14ac:dyDescent="0.3">
      <c r="A1891" s="13" t="s">
        <v>537</v>
      </c>
      <c r="B1891" s="13" t="s">
        <v>15</v>
      </c>
      <c r="C1891" s="13" t="s">
        <v>534</v>
      </c>
      <c r="D1891" s="14" t="s">
        <v>538</v>
      </c>
      <c r="E1891" s="15">
        <v>55.42</v>
      </c>
      <c r="F1891" s="15">
        <v>71.430000000000007</v>
      </c>
      <c r="G1891" s="16">
        <f>ROUND(E1891*F1891,2)</f>
        <v>3958.65</v>
      </c>
    </row>
    <row r="1892" spans="1:7" x14ac:dyDescent="0.3">
      <c r="A1892" s="17"/>
      <c r="B1892" s="17"/>
      <c r="C1892" s="17"/>
      <c r="D1892" s="18" t="s">
        <v>682</v>
      </c>
      <c r="E1892" s="15">
        <v>1</v>
      </c>
      <c r="F1892" s="12">
        <f>SUM(G1889:G1891)</f>
        <v>9191.83</v>
      </c>
      <c r="G1892" s="12">
        <f>ROUND(F1892*E1892,2)</f>
        <v>9191.83</v>
      </c>
    </row>
    <row r="1893" spans="1:7" ht="1.05" customHeight="1" x14ac:dyDescent="0.3">
      <c r="A1893" s="20"/>
      <c r="B1893" s="20"/>
      <c r="C1893" s="20"/>
      <c r="D1893" s="21"/>
      <c r="E1893" s="20"/>
      <c r="F1893" s="20"/>
      <c r="G1893" s="20"/>
    </row>
    <row r="1894" spans="1:7" x14ac:dyDescent="0.3">
      <c r="A1894" s="22" t="s">
        <v>683</v>
      </c>
      <c r="B1894" s="22" t="s">
        <v>11</v>
      </c>
      <c r="C1894" s="22" t="s">
        <v>12</v>
      </c>
      <c r="D1894" s="23" t="s">
        <v>165</v>
      </c>
      <c r="E1894" s="12">
        <f>E1901</f>
        <v>1</v>
      </c>
      <c r="F1894" s="12">
        <f>F1901</f>
        <v>9975.9100000000017</v>
      </c>
      <c r="G1894" s="12">
        <f>G1901</f>
        <v>9975.91</v>
      </c>
    </row>
    <row r="1895" spans="1:7" x14ac:dyDescent="0.3">
      <c r="A1895" s="13" t="s">
        <v>172</v>
      </c>
      <c r="B1895" s="13" t="s">
        <v>15</v>
      </c>
      <c r="C1895" s="13" t="s">
        <v>28</v>
      </c>
      <c r="D1895" s="14" t="s">
        <v>173</v>
      </c>
      <c r="E1895" s="15">
        <v>10</v>
      </c>
      <c r="F1895" s="15">
        <v>122.02</v>
      </c>
      <c r="G1895" s="16">
        <f>ROUND(E1895*F1895,2)</f>
        <v>1220.2</v>
      </c>
    </row>
    <row r="1896" spans="1:7" x14ac:dyDescent="0.3">
      <c r="A1896" s="13" t="s">
        <v>541</v>
      </c>
      <c r="B1896" s="13" t="s">
        <v>15</v>
      </c>
      <c r="C1896" s="13" t="s">
        <v>22</v>
      </c>
      <c r="D1896" s="14" t="s">
        <v>542</v>
      </c>
      <c r="E1896" s="15">
        <v>24.88</v>
      </c>
      <c r="F1896" s="15">
        <v>212.06</v>
      </c>
      <c r="G1896" s="16">
        <f>ROUND(E1896*F1896,2)</f>
        <v>5276.05</v>
      </c>
    </row>
    <row r="1897" spans="1:7" x14ac:dyDescent="0.3">
      <c r="A1897" s="13" t="s">
        <v>543</v>
      </c>
      <c r="B1897" s="13" t="s">
        <v>15</v>
      </c>
      <c r="C1897" s="13" t="s">
        <v>91</v>
      </c>
      <c r="D1897" s="14" t="s">
        <v>544</v>
      </c>
      <c r="E1897" s="15">
        <v>2.46</v>
      </c>
      <c r="F1897" s="15">
        <v>113.44</v>
      </c>
      <c r="G1897" s="16">
        <f>ROUND(E1897*F1897,2)</f>
        <v>279.06</v>
      </c>
    </row>
    <row r="1898" spans="1:7" ht="31.2" x14ac:dyDescent="0.3">
      <c r="A1898" s="13" t="s">
        <v>545</v>
      </c>
      <c r="B1898" s="13" t="s">
        <v>15</v>
      </c>
      <c r="C1898" s="13" t="s">
        <v>22</v>
      </c>
      <c r="D1898" s="14" t="s">
        <v>546</v>
      </c>
      <c r="E1898" s="15">
        <v>22.68</v>
      </c>
      <c r="F1898" s="15">
        <v>44.13</v>
      </c>
      <c r="G1898" s="16">
        <f>ROUND(E1898*F1898,2)</f>
        <v>1000.87</v>
      </c>
    </row>
    <row r="1899" spans="1:7" x14ac:dyDescent="0.3">
      <c r="A1899" s="13" t="s">
        <v>628</v>
      </c>
      <c r="B1899" s="13" t="s">
        <v>15</v>
      </c>
      <c r="C1899" s="13" t="s">
        <v>22</v>
      </c>
      <c r="D1899" s="14" t="s">
        <v>629</v>
      </c>
      <c r="E1899" s="15">
        <v>22.75</v>
      </c>
      <c r="F1899" s="15">
        <v>49.72</v>
      </c>
      <c r="G1899" s="16">
        <f>ROUND(E1899*F1899,2)</f>
        <v>1131.1300000000001</v>
      </c>
    </row>
    <row r="1900" spans="1:7" x14ac:dyDescent="0.3">
      <c r="A1900" s="13" t="s">
        <v>630</v>
      </c>
      <c r="B1900" s="13" t="s">
        <v>15</v>
      </c>
      <c r="C1900" s="13" t="s">
        <v>28</v>
      </c>
      <c r="D1900" s="14" t="s">
        <v>631</v>
      </c>
      <c r="E1900" s="15">
        <v>26</v>
      </c>
      <c r="F1900" s="15">
        <v>41.1</v>
      </c>
      <c r="G1900" s="16">
        <f>ROUND(E1900*F1900,2)</f>
        <v>1068.5999999999999</v>
      </c>
    </row>
    <row r="1901" spans="1:7" x14ac:dyDescent="0.3">
      <c r="A1901" s="17"/>
      <c r="B1901" s="17"/>
      <c r="C1901" s="17"/>
      <c r="D1901" s="18" t="s">
        <v>684</v>
      </c>
      <c r="E1901" s="15">
        <v>1</v>
      </c>
      <c r="F1901" s="12">
        <f>SUM(G1895:G1900)</f>
        <v>9975.9100000000017</v>
      </c>
      <c r="G1901" s="12">
        <f>ROUND(F1901*E1901,2)</f>
        <v>9975.91</v>
      </c>
    </row>
    <row r="1902" spans="1:7" ht="1.05" customHeight="1" x14ac:dyDescent="0.3">
      <c r="A1902" s="20"/>
      <c r="B1902" s="20"/>
      <c r="C1902" s="20"/>
      <c r="D1902" s="21"/>
      <c r="E1902" s="20"/>
      <c r="F1902" s="20"/>
      <c r="G1902" s="20"/>
    </row>
    <row r="1903" spans="1:7" x14ac:dyDescent="0.3">
      <c r="A1903" s="22" t="s">
        <v>685</v>
      </c>
      <c r="B1903" s="22" t="s">
        <v>11</v>
      </c>
      <c r="C1903" s="22" t="s">
        <v>12</v>
      </c>
      <c r="D1903" s="23" t="s">
        <v>176</v>
      </c>
      <c r="E1903" s="12">
        <f>E1953</f>
        <v>1</v>
      </c>
      <c r="F1903" s="12">
        <f>F1953</f>
        <v>23569.119999999999</v>
      </c>
      <c r="G1903" s="12">
        <f>G1953</f>
        <v>23569.119999999999</v>
      </c>
    </row>
    <row r="1904" spans="1:7" ht="31.2" x14ac:dyDescent="0.3">
      <c r="A1904" s="22" t="s">
        <v>686</v>
      </c>
      <c r="B1904" s="22" t="s">
        <v>11</v>
      </c>
      <c r="C1904" s="22" t="s">
        <v>12</v>
      </c>
      <c r="D1904" s="23" t="s">
        <v>229</v>
      </c>
      <c r="E1904" s="12">
        <f>E1917</f>
        <v>1</v>
      </c>
      <c r="F1904" s="12">
        <f>F1917</f>
        <v>3305.2500000000005</v>
      </c>
      <c r="G1904" s="12">
        <f>G1917</f>
        <v>3305.25</v>
      </c>
    </row>
    <row r="1905" spans="1:7" x14ac:dyDescent="0.3">
      <c r="A1905" s="13" t="s">
        <v>230</v>
      </c>
      <c r="B1905" s="13" t="s">
        <v>15</v>
      </c>
      <c r="C1905" s="13" t="s">
        <v>28</v>
      </c>
      <c r="D1905" s="14" t="s">
        <v>231</v>
      </c>
      <c r="E1905" s="15">
        <v>253.4</v>
      </c>
      <c r="F1905" s="15">
        <v>1.9</v>
      </c>
      <c r="G1905" s="16">
        <f>ROUND(E1905*F1905,2)</f>
        <v>481.46</v>
      </c>
    </row>
    <row r="1906" spans="1:7" x14ac:dyDescent="0.3">
      <c r="A1906" s="13" t="s">
        <v>232</v>
      </c>
      <c r="B1906" s="13" t="s">
        <v>15</v>
      </c>
      <c r="C1906" s="13" t="s">
        <v>28</v>
      </c>
      <c r="D1906" s="14" t="s">
        <v>233</v>
      </c>
      <c r="E1906" s="15">
        <v>253.4</v>
      </c>
      <c r="F1906" s="15">
        <v>4.3499999999999996</v>
      </c>
      <c r="G1906" s="16">
        <f>ROUND(E1906*F1906,2)</f>
        <v>1102.29</v>
      </c>
    </row>
    <row r="1907" spans="1:7" x14ac:dyDescent="0.3">
      <c r="A1907" s="13" t="s">
        <v>550</v>
      </c>
      <c r="B1907" s="13" t="s">
        <v>15</v>
      </c>
      <c r="C1907" s="13" t="s">
        <v>28</v>
      </c>
      <c r="D1907" s="14" t="s">
        <v>551</v>
      </c>
      <c r="E1907" s="15">
        <v>168.5</v>
      </c>
      <c r="F1907" s="15">
        <v>2.98</v>
      </c>
      <c r="G1907" s="16">
        <f>ROUND(E1907*F1907,2)</f>
        <v>502.13</v>
      </c>
    </row>
    <row r="1908" spans="1:7" x14ac:dyDescent="0.3">
      <c r="A1908" s="13" t="s">
        <v>234</v>
      </c>
      <c r="B1908" s="13" t="s">
        <v>15</v>
      </c>
      <c r="C1908" s="13" t="s">
        <v>28</v>
      </c>
      <c r="D1908" s="14" t="s">
        <v>235</v>
      </c>
      <c r="E1908" s="15">
        <v>62.15</v>
      </c>
      <c r="F1908" s="15">
        <v>3.07</v>
      </c>
      <c r="G1908" s="16">
        <f>ROUND(E1908*F1908,2)</f>
        <v>190.8</v>
      </c>
    </row>
    <row r="1909" spans="1:7" x14ac:dyDescent="0.3">
      <c r="A1909" s="13" t="s">
        <v>236</v>
      </c>
      <c r="B1909" s="13" t="s">
        <v>15</v>
      </c>
      <c r="C1909" s="13" t="s">
        <v>28</v>
      </c>
      <c r="D1909" s="14" t="s">
        <v>237</v>
      </c>
      <c r="E1909" s="15">
        <v>0</v>
      </c>
      <c r="F1909" s="15">
        <v>4.22</v>
      </c>
      <c r="G1909" s="16">
        <f>ROUND(E1909*F1909,2)</f>
        <v>0</v>
      </c>
    </row>
    <row r="1910" spans="1:7" x14ac:dyDescent="0.3">
      <c r="A1910" s="13" t="s">
        <v>238</v>
      </c>
      <c r="B1910" s="13" t="s">
        <v>15</v>
      </c>
      <c r="C1910" s="13" t="s">
        <v>28</v>
      </c>
      <c r="D1910" s="14" t="s">
        <v>239</v>
      </c>
      <c r="E1910" s="15">
        <v>0</v>
      </c>
      <c r="F1910" s="15">
        <v>13.9</v>
      </c>
      <c r="G1910" s="16">
        <f>ROUND(E1910*F1910,2)</f>
        <v>0</v>
      </c>
    </row>
    <row r="1911" spans="1:7" x14ac:dyDescent="0.3">
      <c r="A1911" s="13" t="s">
        <v>240</v>
      </c>
      <c r="B1911" s="13" t="s">
        <v>15</v>
      </c>
      <c r="C1911" s="13" t="s">
        <v>28</v>
      </c>
      <c r="D1911" s="14" t="s">
        <v>241</v>
      </c>
      <c r="E1911" s="15">
        <v>0</v>
      </c>
      <c r="F1911" s="15">
        <v>15.59</v>
      </c>
      <c r="G1911" s="16">
        <f>ROUND(E1911*F1911,2)</f>
        <v>0</v>
      </c>
    </row>
    <row r="1912" spans="1:7" ht="31.2" x14ac:dyDescent="0.3">
      <c r="A1912" s="13" t="s">
        <v>242</v>
      </c>
      <c r="B1912" s="13" t="s">
        <v>15</v>
      </c>
      <c r="C1912" s="13" t="s">
        <v>16</v>
      </c>
      <c r="D1912" s="14" t="s">
        <v>243</v>
      </c>
      <c r="E1912" s="15">
        <v>1</v>
      </c>
      <c r="F1912" s="15">
        <v>793.65</v>
      </c>
      <c r="G1912" s="16">
        <f>ROUND(E1912*F1912,2)</f>
        <v>793.65</v>
      </c>
    </row>
    <row r="1913" spans="1:7" x14ac:dyDescent="0.3">
      <c r="A1913" s="13" t="s">
        <v>244</v>
      </c>
      <c r="B1913" s="13" t="s">
        <v>15</v>
      </c>
      <c r="C1913" s="13" t="s">
        <v>215</v>
      </c>
      <c r="D1913" s="14" t="s">
        <v>245</v>
      </c>
      <c r="E1913" s="15">
        <v>0</v>
      </c>
      <c r="F1913" s="15">
        <v>13.5</v>
      </c>
      <c r="G1913" s="16">
        <f>ROUND(E1913*F1913,2)</f>
        <v>0</v>
      </c>
    </row>
    <row r="1914" spans="1:7" x14ac:dyDescent="0.3">
      <c r="A1914" s="13" t="s">
        <v>552</v>
      </c>
      <c r="B1914" s="13" t="s">
        <v>15</v>
      </c>
      <c r="C1914" s="13" t="s">
        <v>215</v>
      </c>
      <c r="D1914" s="14" t="s">
        <v>553</v>
      </c>
      <c r="E1914" s="15">
        <v>1</v>
      </c>
      <c r="F1914" s="15">
        <v>23.11</v>
      </c>
      <c r="G1914" s="16">
        <f>ROUND(E1914*F1914,2)</f>
        <v>23.11</v>
      </c>
    </row>
    <row r="1915" spans="1:7" x14ac:dyDescent="0.3">
      <c r="A1915" s="13" t="s">
        <v>554</v>
      </c>
      <c r="B1915" s="13" t="s">
        <v>15</v>
      </c>
      <c r="C1915" s="13" t="s">
        <v>215</v>
      </c>
      <c r="D1915" s="14" t="s">
        <v>555</v>
      </c>
      <c r="E1915" s="15">
        <v>5</v>
      </c>
      <c r="F1915" s="15">
        <v>30.9</v>
      </c>
      <c r="G1915" s="16">
        <f>ROUND(E1915*F1915,2)</f>
        <v>154.5</v>
      </c>
    </row>
    <row r="1916" spans="1:7" x14ac:dyDescent="0.3">
      <c r="A1916" s="13" t="s">
        <v>246</v>
      </c>
      <c r="B1916" s="13" t="s">
        <v>15</v>
      </c>
      <c r="C1916" s="13" t="s">
        <v>215</v>
      </c>
      <c r="D1916" s="14" t="s">
        <v>247</v>
      </c>
      <c r="E1916" s="15">
        <v>1</v>
      </c>
      <c r="F1916" s="15">
        <v>57.31</v>
      </c>
      <c r="G1916" s="16">
        <f>ROUND(E1916*F1916,2)</f>
        <v>57.31</v>
      </c>
    </row>
    <row r="1917" spans="1:7" x14ac:dyDescent="0.3">
      <c r="A1917" s="17"/>
      <c r="B1917" s="17"/>
      <c r="C1917" s="17"/>
      <c r="D1917" s="18" t="s">
        <v>687</v>
      </c>
      <c r="E1917" s="15">
        <v>1</v>
      </c>
      <c r="F1917" s="12">
        <f>SUM(G1905:G1916)</f>
        <v>3305.2500000000005</v>
      </c>
      <c r="G1917" s="12">
        <f>ROUND(F1917*E1917,2)</f>
        <v>3305.25</v>
      </c>
    </row>
    <row r="1918" spans="1:7" ht="1.05" customHeight="1" x14ac:dyDescent="0.3">
      <c r="A1918" s="20"/>
      <c r="B1918" s="20"/>
      <c r="C1918" s="20"/>
      <c r="D1918" s="21"/>
      <c r="E1918" s="20"/>
      <c r="F1918" s="20"/>
      <c r="G1918" s="20"/>
    </row>
    <row r="1919" spans="1:7" ht="31.2" x14ac:dyDescent="0.3">
      <c r="A1919" s="22" t="s">
        <v>688</v>
      </c>
      <c r="B1919" s="22" t="s">
        <v>11</v>
      </c>
      <c r="C1919" s="22" t="s">
        <v>12</v>
      </c>
      <c r="D1919" s="23" t="s">
        <v>250</v>
      </c>
      <c r="E1919" s="12">
        <f>E1930</f>
        <v>1</v>
      </c>
      <c r="F1919" s="12">
        <f>F1930</f>
        <v>3916.55</v>
      </c>
      <c r="G1919" s="12">
        <f>G1930</f>
        <v>3916.55</v>
      </c>
    </row>
    <row r="1920" spans="1:7" x14ac:dyDescent="0.3">
      <c r="A1920" s="13" t="s">
        <v>230</v>
      </c>
      <c r="B1920" s="13" t="s">
        <v>15</v>
      </c>
      <c r="C1920" s="13" t="s">
        <v>28</v>
      </c>
      <c r="D1920" s="14" t="s">
        <v>231</v>
      </c>
      <c r="E1920" s="15">
        <v>198.92</v>
      </c>
      <c r="F1920" s="15">
        <v>1.9</v>
      </c>
      <c r="G1920" s="16">
        <f>ROUND(E1920*F1920,2)</f>
        <v>377.95</v>
      </c>
    </row>
    <row r="1921" spans="1:7" x14ac:dyDescent="0.3">
      <c r="A1921" s="13" t="s">
        <v>558</v>
      </c>
      <c r="B1921" s="13" t="s">
        <v>15</v>
      </c>
      <c r="C1921" s="13" t="s">
        <v>28</v>
      </c>
      <c r="D1921" s="14" t="s">
        <v>559</v>
      </c>
      <c r="E1921" s="15">
        <v>29.68</v>
      </c>
      <c r="F1921" s="15">
        <v>9.15</v>
      </c>
      <c r="G1921" s="16">
        <f>ROUND(E1921*F1921,2)</f>
        <v>271.57</v>
      </c>
    </row>
    <row r="1922" spans="1:7" x14ac:dyDescent="0.3">
      <c r="A1922" s="13" t="s">
        <v>393</v>
      </c>
      <c r="B1922" s="13" t="s">
        <v>15</v>
      </c>
      <c r="C1922" s="13" t="s">
        <v>28</v>
      </c>
      <c r="D1922" s="14" t="s">
        <v>394</v>
      </c>
      <c r="E1922" s="15">
        <v>10.68</v>
      </c>
      <c r="F1922" s="15">
        <v>10.02</v>
      </c>
      <c r="G1922" s="16">
        <f>ROUND(E1922*F1922,2)</f>
        <v>107.01</v>
      </c>
    </row>
    <row r="1923" spans="1:7" x14ac:dyDescent="0.3">
      <c r="A1923" s="13" t="s">
        <v>395</v>
      </c>
      <c r="B1923" s="13" t="s">
        <v>15</v>
      </c>
      <c r="C1923" s="13" t="s">
        <v>28</v>
      </c>
      <c r="D1923" s="14" t="s">
        <v>396</v>
      </c>
      <c r="E1923" s="15">
        <v>29.85</v>
      </c>
      <c r="F1923" s="15">
        <v>11.7</v>
      </c>
      <c r="G1923" s="16">
        <f>ROUND(E1923*F1923,2)</f>
        <v>349.25</v>
      </c>
    </row>
    <row r="1924" spans="1:7" x14ac:dyDescent="0.3">
      <c r="A1924" s="13" t="s">
        <v>397</v>
      </c>
      <c r="B1924" s="13" t="s">
        <v>15</v>
      </c>
      <c r="C1924" s="13" t="s">
        <v>28</v>
      </c>
      <c r="D1924" s="14" t="s">
        <v>398</v>
      </c>
      <c r="E1924" s="15">
        <v>11.71</v>
      </c>
      <c r="F1924" s="15">
        <v>16.88</v>
      </c>
      <c r="G1924" s="16">
        <f>ROUND(E1924*F1924,2)</f>
        <v>197.66</v>
      </c>
    </row>
    <row r="1925" spans="1:7" ht="31.2" x14ac:dyDescent="0.3">
      <c r="A1925" s="13" t="s">
        <v>261</v>
      </c>
      <c r="B1925" s="13" t="s">
        <v>15</v>
      </c>
      <c r="C1925" s="13" t="s">
        <v>16</v>
      </c>
      <c r="D1925" s="14" t="s">
        <v>262</v>
      </c>
      <c r="E1925" s="15">
        <v>0.75</v>
      </c>
      <c r="F1925" s="15">
        <v>1031.75</v>
      </c>
      <c r="G1925" s="16">
        <f>ROUND(E1925*F1925,2)</f>
        <v>773.81</v>
      </c>
    </row>
    <row r="1926" spans="1:7" x14ac:dyDescent="0.3">
      <c r="A1926" s="13" t="s">
        <v>399</v>
      </c>
      <c r="B1926" s="13" t="s">
        <v>15</v>
      </c>
      <c r="C1926" s="13" t="s">
        <v>215</v>
      </c>
      <c r="D1926" s="14" t="s">
        <v>400</v>
      </c>
      <c r="E1926" s="15">
        <v>6</v>
      </c>
      <c r="F1926" s="15">
        <v>30.14</v>
      </c>
      <c r="G1926" s="16">
        <f>ROUND(E1926*F1926,2)</f>
        <v>180.84</v>
      </c>
    </row>
    <row r="1927" spans="1:7" ht="31.2" x14ac:dyDescent="0.3">
      <c r="A1927" s="13" t="s">
        <v>265</v>
      </c>
      <c r="B1927" s="13" t="s">
        <v>15</v>
      </c>
      <c r="C1927" s="13" t="s">
        <v>215</v>
      </c>
      <c r="D1927" s="14" t="s">
        <v>266</v>
      </c>
      <c r="E1927" s="15">
        <v>20</v>
      </c>
      <c r="F1927" s="15">
        <v>32.25</v>
      </c>
      <c r="G1927" s="16">
        <f>ROUND(E1927*F1927,2)</f>
        <v>645</v>
      </c>
    </row>
    <row r="1928" spans="1:7" ht="31.2" x14ac:dyDescent="0.3">
      <c r="A1928" s="13" t="s">
        <v>267</v>
      </c>
      <c r="B1928" s="13" t="s">
        <v>15</v>
      </c>
      <c r="C1928" s="13" t="s">
        <v>215</v>
      </c>
      <c r="D1928" s="14" t="s">
        <v>268</v>
      </c>
      <c r="E1928" s="15">
        <v>10</v>
      </c>
      <c r="F1928" s="15">
        <v>44.38</v>
      </c>
      <c r="G1928" s="16">
        <f>ROUND(E1928*F1928,2)</f>
        <v>443.8</v>
      </c>
    </row>
    <row r="1929" spans="1:7" x14ac:dyDescent="0.3">
      <c r="A1929" s="13" t="s">
        <v>401</v>
      </c>
      <c r="B1929" s="13" t="s">
        <v>15</v>
      </c>
      <c r="C1929" s="13" t="s">
        <v>215</v>
      </c>
      <c r="D1929" s="14" t="s">
        <v>402</v>
      </c>
      <c r="E1929" s="15">
        <v>7</v>
      </c>
      <c r="F1929" s="15">
        <v>81.38</v>
      </c>
      <c r="G1929" s="16">
        <f>ROUND(E1929*F1929,2)</f>
        <v>569.66</v>
      </c>
    </row>
    <row r="1930" spans="1:7" x14ac:dyDescent="0.3">
      <c r="A1930" s="17"/>
      <c r="B1930" s="17"/>
      <c r="C1930" s="17"/>
      <c r="D1930" s="18" t="s">
        <v>689</v>
      </c>
      <c r="E1930" s="15">
        <v>1</v>
      </c>
      <c r="F1930" s="12">
        <f>SUM(G1920:G1929)</f>
        <v>3916.55</v>
      </c>
      <c r="G1930" s="12">
        <f>ROUND(F1930*E1930,2)</f>
        <v>3916.55</v>
      </c>
    </row>
    <row r="1931" spans="1:7" ht="1.05" customHeight="1" x14ac:dyDescent="0.3">
      <c r="A1931" s="20"/>
      <c r="B1931" s="20"/>
      <c r="C1931" s="20"/>
      <c r="D1931" s="21"/>
      <c r="E1931" s="20"/>
      <c r="F1931" s="20"/>
      <c r="G1931" s="20"/>
    </row>
    <row r="1932" spans="1:7" x14ac:dyDescent="0.3">
      <c r="A1932" s="22" t="s">
        <v>690</v>
      </c>
      <c r="B1932" s="22" t="s">
        <v>11</v>
      </c>
      <c r="C1932" s="22" t="s">
        <v>12</v>
      </c>
      <c r="D1932" s="23" t="s">
        <v>275</v>
      </c>
      <c r="E1932" s="12">
        <f>E1936</f>
        <v>1</v>
      </c>
      <c r="F1932" s="12">
        <f>F1936</f>
        <v>2310.96</v>
      </c>
      <c r="G1932" s="12">
        <f>G1936</f>
        <v>2310.96</v>
      </c>
    </row>
    <row r="1933" spans="1:7" ht="31.2" x14ac:dyDescent="0.3">
      <c r="A1933" s="13" t="s">
        <v>276</v>
      </c>
      <c r="B1933" s="13" t="s">
        <v>15</v>
      </c>
      <c r="C1933" s="13" t="s">
        <v>28</v>
      </c>
      <c r="D1933" s="14" t="s">
        <v>277</v>
      </c>
      <c r="E1933" s="15">
        <v>3.25</v>
      </c>
      <c r="F1933" s="15">
        <v>27.3</v>
      </c>
      <c r="G1933" s="16">
        <f>ROUND(E1933*F1933,2)</f>
        <v>88.73</v>
      </c>
    </row>
    <row r="1934" spans="1:7" x14ac:dyDescent="0.3">
      <c r="A1934" s="13" t="s">
        <v>278</v>
      </c>
      <c r="B1934" s="13" t="s">
        <v>15</v>
      </c>
      <c r="C1934" s="13" t="s">
        <v>215</v>
      </c>
      <c r="D1934" s="14" t="s">
        <v>279</v>
      </c>
      <c r="E1934" s="15">
        <v>1</v>
      </c>
      <c r="F1934" s="15">
        <v>1666.67</v>
      </c>
      <c r="G1934" s="16">
        <f>ROUND(E1934*F1934,2)</f>
        <v>1666.67</v>
      </c>
    </row>
    <row r="1935" spans="1:7" ht="31.2" x14ac:dyDescent="0.3">
      <c r="A1935" s="13" t="s">
        <v>280</v>
      </c>
      <c r="B1935" s="13" t="s">
        <v>15</v>
      </c>
      <c r="C1935" s="13" t="s">
        <v>215</v>
      </c>
      <c r="D1935" s="14" t="s">
        <v>281</v>
      </c>
      <c r="E1935" s="15">
        <v>1</v>
      </c>
      <c r="F1935" s="15">
        <v>555.55999999999995</v>
      </c>
      <c r="G1935" s="16">
        <f>ROUND(E1935*F1935,2)</f>
        <v>555.55999999999995</v>
      </c>
    </row>
    <row r="1936" spans="1:7" x14ac:dyDescent="0.3">
      <c r="A1936" s="17"/>
      <c r="B1936" s="17"/>
      <c r="C1936" s="17"/>
      <c r="D1936" s="18" t="s">
        <v>691</v>
      </c>
      <c r="E1936" s="15">
        <v>1</v>
      </c>
      <c r="F1936" s="12">
        <f>SUM(G1933:G1935)</f>
        <v>2310.96</v>
      </c>
      <c r="G1936" s="12">
        <f>ROUND(F1936*E1936,2)</f>
        <v>2310.96</v>
      </c>
    </row>
    <row r="1937" spans="1:7" ht="1.05" customHeight="1" x14ac:dyDescent="0.3">
      <c r="A1937" s="20"/>
      <c r="B1937" s="20"/>
      <c r="C1937" s="20"/>
      <c r="D1937" s="21"/>
      <c r="E1937" s="20"/>
      <c r="F1937" s="20"/>
      <c r="G1937" s="20"/>
    </row>
    <row r="1938" spans="1:7" x14ac:dyDescent="0.3">
      <c r="A1938" s="22" t="s">
        <v>692</v>
      </c>
      <c r="B1938" s="22" t="s">
        <v>11</v>
      </c>
      <c r="C1938" s="22" t="s">
        <v>12</v>
      </c>
      <c r="D1938" s="23" t="s">
        <v>407</v>
      </c>
      <c r="E1938" s="12">
        <f>E1946</f>
        <v>1</v>
      </c>
      <c r="F1938" s="12">
        <f>F1946</f>
        <v>12581.050000000001</v>
      </c>
      <c r="G1938" s="12">
        <f>G1946</f>
        <v>12581.05</v>
      </c>
    </row>
    <row r="1939" spans="1:7" ht="31.2" x14ac:dyDescent="0.3">
      <c r="A1939" s="13" t="s">
        <v>564</v>
      </c>
      <c r="B1939" s="13" t="s">
        <v>15</v>
      </c>
      <c r="C1939" s="13" t="s">
        <v>215</v>
      </c>
      <c r="D1939" s="14" t="s">
        <v>565</v>
      </c>
      <c r="E1939" s="15">
        <v>8</v>
      </c>
      <c r="F1939" s="15">
        <v>348.85</v>
      </c>
      <c r="G1939" s="16">
        <f>ROUND(E1939*F1939,2)</f>
        <v>2790.8</v>
      </c>
    </row>
    <row r="1940" spans="1:7" ht="31.2" x14ac:dyDescent="0.3">
      <c r="A1940" s="13" t="s">
        <v>566</v>
      </c>
      <c r="B1940" s="13" t="s">
        <v>15</v>
      </c>
      <c r="C1940" s="13" t="s">
        <v>215</v>
      </c>
      <c r="D1940" s="14" t="s">
        <v>567</v>
      </c>
      <c r="E1940" s="15">
        <v>7</v>
      </c>
      <c r="F1940" s="15">
        <v>365.25</v>
      </c>
      <c r="G1940" s="16">
        <f>ROUND(E1940*F1940,2)</f>
        <v>2556.75</v>
      </c>
    </row>
    <row r="1941" spans="1:7" x14ac:dyDescent="0.3">
      <c r="A1941" s="13" t="s">
        <v>568</v>
      </c>
      <c r="B1941" s="13" t="s">
        <v>15</v>
      </c>
      <c r="C1941" s="13" t="s">
        <v>215</v>
      </c>
      <c r="D1941" s="14" t="s">
        <v>569</v>
      </c>
      <c r="E1941" s="15">
        <v>7</v>
      </c>
      <c r="F1941" s="15">
        <v>442.68</v>
      </c>
      <c r="G1941" s="16">
        <f>ROUND(E1941*F1941,2)</f>
        <v>3098.76</v>
      </c>
    </row>
    <row r="1942" spans="1:7" ht="31.2" x14ac:dyDescent="0.3">
      <c r="A1942" s="13" t="s">
        <v>570</v>
      </c>
      <c r="B1942" s="13" t="s">
        <v>15</v>
      </c>
      <c r="C1942" s="13" t="s">
        <v>215</v>
      </c>
      <c r="D1942" s="14" t="s">
        <v>571</v>
      </c>
      <c r="E1942" s="15">
        <v>8</v>
      </c>
      <c r="F1942" s="15">
        <v>93.66</v>
      </c>
      <c r="G1942" s="16">
        <f>ROUND(E1942*F1942,2)</f>
        <v>749.28</v>
      </c>
    </row>
    <row r="1943" spans="1:7" ht="31.2" x14ac:dyDescent="0.3">
      <c r="A1943" s="13" t="s">
        <v>572</v>
      </c>
      <c r="B1943" s="13" t="s">
        <v>15</v>
      </c>
      <c r="C1943" s="13" t="s">
        <v>151</v>
      </c>
      <c r="D1943" s="14" t="s">
        <v>573</v>
      </c>
      <c r="E1943" s="15">
        <v>4</v>
      </c>
      <c r="F1943" s="15">
        <v>405.16</v>
      </c>
      <c r="G1943" s="16">
        <f>ROUND(E1943*F1943,2)</f>
        <v>1620.64</v>
      </c>
    </row>
    <row r="1944" spans="1:7" ht="31.2" x14ac:dyDescent="0.3">
      <c r="A1944" s="13" t="s">
        <v>574</v>
      </c>
      <c r="B1944" s="13" t="s">
        <v>15</v>
      </c>
      <c r="C1944" s="13" t="s">
        <v>151</v>
      </c>
      <c r="D1944" s="14" t="s">
        <v>575</v>
      </c>
      <c r="E1944" s="15">
        <v>2</v>
      </c>
      <c r="F1944" s="15">
        <v>295.79000000000002</v>
      </c>
      <c r="G1944" s="16">
        <f>ROUND(E1944*F1944,2)</f>
        <v>591.58000000000004</v>
      </c>
    </row>
    <row r="1945" spans="1:7" x14ac:dyDescent="0.3">
      <c r="A1945" s="13" t="s">
        <v>576</v>
      </c>
      <c r="B1945" s="13" t="s">
        <v>15</v>
      </c>
      <c r="C1945" s="13" t="s">
        <v>151</v>
      </c>
      <c r="D1945" s="14" t="s">
        <v>577</v>
      </c>
      <c r="E1945" s="15">
        <v>4</v>
      </c>
      <c r="F1945" s="15">
        <v>293.31</v>
      </c>
      <c r="G1945" s="16">
        <f>ROUND(E1945*F1945,2)</f>
        <v>1173.24</v>
      </c>
    </row>
    <row r="1946" spans="1:7" x14ac:dyDescent="0.3">
      <c r="A1946" s="17"/>
      <c r="B1946" s="17"/>
      <c r="C1946" s="17"/>
      <c r="D1946" s="18" t="s">
        <v>693</v>
      </c>
      <c r="E1946" s="15">
        <v>1</v>
      </c>
      <c r="F1946" s="12">
        <f>SUM(G1939:G1945)</f>
        <v>12581.050000000001</v>
      </c>
      <c r="G1946" s="12">
        <f>ROUND(F1946*E1946,2)</f>
        <v>12581.05</v>
      </c>
    </row>
    <row r="1947" spans="1:7" ht="1.05" customHeight="1" x14ac:dyDescent="0.3">
      <c r="A1947" s="20"/>
      <c r="B1947" s="20"/>
      <c r="C1947" s="20"/>
      <c r="D1947" s="21"/>
      <c r="E1947" s="20"/>
      <c r="F1947" s="20"/>
      <c r="G1947" s="20"/>
    </row>
    <row r="1948" spans="1:7" x14ac:dyDescent="0.3">
      <c r="A1948" s="22" t="s">
        <v>694</v>
      </c>
      <c r="B1948" s="22" t="s">
        <v>11</v>
      </c>
      <c r="C1948" s="22" t="s">
        <v>12</v>
      </c>
      <c r="D1948" s="23" t="s">
        <v>165</v>
      </c>
      <c r="E1948" s="12">
        <f>E1951</f>
        <v>1</v>
      </c>
      <c r="F1948" s="12">
        <f>F1951</f>
        <v>1455.31</v>
      </c>
      <c r="G1948" s="12">
        <f>G1951</f>
        <v>1455.31</v>
      </c>
    </row>
    <row r="1949" spans="1:7" x14ac:dyDescent="0.3">
      <c r="A1949" s="13" t="s">
        <v>582</v>
      </c>
      <c r="B1949" s="13" t="s">
        <v>15</v>
      </c>
      <c r="C1949" s="13" t="s">
        <v>151</v>
      </c>
      <c r="D1949" s="14" t="s">
        <v>583</v>
      </c>
      <c r="E1949" s="15">
        <v>5</v>
      </c>
      <c r="F1949" s="15">
        <v>74.39</v>
      </c>
      <c r="G1949" s="16">
        <f>ROUND(E1949*F1949,2)</f>
        <v>371.95</v>
      </c>
    </row>
    <row r="1950" spans="1:7" ht="31.2" x14ac:dyDescent="0.3">
      <c r="A1950" s="13" t="s">
        <v>584</v>
      </c>
      <c r="B1950" s="13" t="s">
        <v>15</v>
      </c>
      <c r="C1950" s="13" t="s">
        <v>215</v>
      </c>
      <c r="D1950" s="14" t="s">
        <v>585</v>
      </c>
      <c r="E1950" s="15">
        <v>4</v>
      </c>
      <c r="F1950" s="15">
        <v>270.83999999999997</v>
      </c>
      <c r="G1950" s="16">
        <f>ROUND(E1950*F1950,2)</f>
        <v>1083.3599999999999</v>
      </c>
    </row>
    <row r="1951" spans="1:7" x14ac:dyDescent="0.3">
      <c r="A1951" s="17"/>
      <c r="B1951" s="17"/>
      <c r="C1951" s="17"/>
      <c r="D1951" s="18" t="s">
        <v>695</v>
      </c>
      <c r="E1951" s="15">
        <v>1</v>
      </c>
      <c r="F1951" s="12">
        <f>SUM(G1949:G1950)</f>
        <v>1455.31</v>
      </c>
      <c r="G1951" s="12">
        <f>ROUND(F1951*E1951,2)</f>
        <v>1455.31</v>
      </c>
    </row>
    <row r="1952" spans="1:7" ht="1.05" customHeight="1" x14ac:dyDescent="0.3">
      <c r="A1952" s="20"/>
      <c r="B1952" s="20"/>
      <c r="C1952" s="20"/>
      <c r="D1952" s="21"/>
      <c r="E1952" s="20"/>
      <c r="F1952" s="20"/>
      <c r="G1952" s="20"/>
    </row>
    <row r="1953" spans="1:7" x14ac:dyDescent="0.3">
      <c r="A1953" s="17"/>
      <c r="B1953" s="17"/>
      <c r="C1953" s="17"/>
      <c r="D1953" s="18" t="s">
        <v>696</v>
      </c>
      <c r="E1953" s="15">
        <v>1</v>
      </c>
      <c r="F1953" s="12">
        <f>G1917+G1930+G1936+G1946+G1951</f>
        <v>23569.119999999999</v>
      </c>
      <c r="G1953" s="12">
        <f>ROUND(F1953*E1953,2)</f>
        <v>23569.119999999999</v>
      </c>
    </row>
    <row r="1954" spans="1:7" ht="1.05" customHeight="1" x14ac:dyDescent="0.3">
      <c r="A1954" s="20"/>
      <c r="B1954" s="20"/>
      <c r="C1954" s="20"/>
      <c r="D1954" s="21"/>
      <c r="E1954" s="20"/>
      <c r="F1954" s="20"/>
      <c r="G1954" s="20"/>
    </row>
    <row r="1955" spans="1:7" x14ac:dyDescent="0.3">
      <c r="A1955" s="22" t="s">
        <v>697</v>
      </c>
      <c r="B1955" s="22" t="s">
        <v>11</v>
      </c>
      <c r="C1955" s="22" t="s">
        <v>12</v>
      </c>
      <c r="D1955" s="23" t="s">
        <v>285</v>
      </c>
      <c r="E1955" s="12">
        <f>E1969</f>
        <v>1</v>
      </c>
      <c r="F1955" s="12">
        <f>F1969</f>
        <v>14191.579999999998</v>
      </c>
      <c r="G1955" s="12">
        <f>G1969</f>
        <v>14191.58</v>
      </c>
    </row>
    <row r="1956" spans="1:7" x14ac:dyDescent="0.3">
      <c r="A1956" s="13" t="s">
        <v>589</v>
      </c>
      <c r="B1956" s="13" t="s">
        <v>15</v>
      </c>
      <c r="C1956" s="13" t="s">
        <v>215</v>
      </c>
      <c r="D1956" s="14" t="s">
        <v>590</v>
      </c>
      <c r="E1956" s="15">
        <v>4</v>
      </c>
      <c r="F1956" s="15">
        <v>51.04</v>
      </c>
      <c r="G1956" s="16">
        <f>ROUND(E1956*F1956,2)</f>
        <v>204.16</v>
      </c>
    </row>
    <row r="1957" spans="1:7" x14ac:dyDescent="0.3">
      <c r="A1957" s="13" t="s">
        <v>591</v>
      </c>
      <c r="B1957" s="13" t="s">
        <v>15</v>
      </c>
      <c r="C1957" s="13" t="s">
        <v>215</v>
      </c>
      <c r="D1957" s="14" t="s">
        <v>592</v>
      </c>
      <c r="E1957" s="15">
        <v>4</v>
      </c>
      <c r="F1957" s="15">
        <v>37.28</v>
      </c>
      <c r="G1957" s="16">
        <f>ROUND(E1957*F1957,2)</f>
        <v>149.12</v>
      </c>
    </row>
    <row r="1958" spans="1:7" x14ac:dyDescent="0.3">
      <c r="A1958" s="13" t="s">
        <v>593</v>
      </c>
      <c r="B1958" s="13" t="s">
        <v>15</v>
      </c>
      <c r="C1958" s="13" t="s">
        <v>215</v>
      </c>
      <c r="D1958" s="14" t="s">
        <v>594</v>
      </c>
      <c r="E1958" s="15">
        <v>4</v>
      </c>
      <c r="F1958" s="15">
        <v>30.48</v>
      </c>
      <c r="G1958" s="16">
        <f>ROUND(E1958*F1958,2)</f>
        <v>121.92</v>
      </c>
    </row>
    <row r="1959" spans="1:7" x14ac:dyDescent="0.3">
      <c r="A1959" s="13" t="s">
        <v>595</v>
      </c>
      <c r="B1959" s="13" t="s">
        <v>15</v>
      </c>
      <c r="C1959" s="13" t="s">
        <v>215</v>
      </c>
      <c r="D1959" s="14" t="s">
        <v>596</v>
      </c>
      <c r="E1959" s="15">
        <v>28</v>
      </c>
      <c r="F1959" s="15">
        <v>31.59</v>
      </c>
      <c r="G1959" s="16">
        <f>ROUND(E1959*F1959,2)</f>
        <v>884.52</v>
      </c>
    </row>
    <row r="1960" spans="1:7" x14ac:dyDescent="0.3">
      <c r="A1960" s="13" t="s">
        <v>296</v>
      </c>
      <c r="B1960" s="13" t="s">
        <v>15</v>
      </c>
      <c r="C1960" s="13" t="s">
        <v>215</v>
      </c>
      <c r="D1960" s="14" t="s">
        <v>297</v>
      </c>
      <c r="E1960" s="15">
        <v>54</v>
      </c>
      <c r="F1960" s="15">
        <v>50.07</v>
      </c>
      <c r="G1960" s="16">
        <f>ROUND(E1960*F1960,2)</f>
        <v>2703.78</v>
      </c>
    </row>
    <row r="1961" spans="1:7" x14ac:dyDescent="0.3">
      <c r="A1961" s="13" t="s">
        <v>298</v>
      </c>
      <c r="B1961" s="13" t="s">
        <v>15</v>
      </c>
      <c r="C1961" s="13" t="s">
        <v>215</v>
      </c>
      <c r="D1961" s="14" t="s">
        <v>299</v>
      </c>
      <c r="E1961" s="15">
        <v>0</v>
      </c>
      <c r="F1961" s="15">
        <v>42.74</v>
      </c>
      <c r="G1961" s="16">
        <f>ROUND(E1961*F1961,2)</f>
        <v>0</v>
      </c>
    </row>
    <row r="1962" spans="1:7" x14ac:dyDescent="0.3">
      <c r="A1962" s="13" t="s">
        <v>300</v>
      </c>
      <c r="B1962" s="13" t="s">
        <v>15</v>
      </c>
      <c r="C1962" s="13" t="s">
        <v>215</v>
      </c>
      <c r="D1962" s="14" t="s">
        <v>301</v>
      </c>
      <c r="E1962" s="15">
        <v>31</v>
      </c>
      <c r="F1962" s="15">
        <v>45.93</v>
      </c>
      <c r="G1962" s="16">
        <f>ROUND(E1962*F1962,2)</f>
        <v>1423.83</v>
      </c>
    </row>
    <row r="1963" spans="1:7" x14ac:dyDescent="0.3">
      <c r="A1963" s="13" t="s">
        <v>302</v>
      </c>
      <c r="B1963" s="13" t="s">
        <v>15</v>
      </c>
      <c r="C1963" s="13" t="s">
        <v>215</v>
      </c>
      <c r="D1963" s="14" t="s">
        <v>303</v>
      </c>
      <c r="E1963" s="15">
        <v>7</v>
      </c>
      <c r="F1963" s="15">
        <v>51.73</v>
      </c>
      <c r="G1963" s="16">
        <f>ROUND(E1963*F1963,2)</f>
        <v>362.11</v>
      </c>
    </row>
    <row r="1964" spans="1:7" x14ac:dyDescent="0.3">
      <c r="A1964" s="13" t="s">
        <v>304</v>
      </c>
      <c r="B1964" s="13" t="s">
        <v>15</v>
      </c>
      <c r="C1964" s="13" t="s">
        <v>215</v>
      </c>
      <c r="D1964" s="14" t="s">
        <v>305</v>
      </c>
      <c r="E1964" s="15">
        <v>2</v>
      </c>
      <c r="F1964" s="15">
        <v>53.67</v>
      </c>
      <c r="G1964" s="16">
        <f>ROUND(E1964*F1964,2)</f>
        <v>107.34</v>
      </c>
    </row>
    <row r="1965" spans="1:7" ht="31.2" x14ac:dyDescent="0.3">
      <c r="A1965" s="13" t="s">
        <v>306</v>
      </c>
      <c r="B1965" s="13" t="s">
        <v>15</v>
      </c>
      <c r="C1965" s="13" t="s">
        <v>215</v>
      </c>
      <c r="D1965" s="14" t="s">
        <v>307</v>
      </c>
      <c r="E1965" s="15">
        <v>88</v>
      </c>
      <c r="F1965" s="15">
        <v>61.18</v>
      </c>
      <c r="G1965" s="16">
        <f>ROUND(E1965*F1965,2)</f>
        <v>5383.84</v>
      </c>
    </row>
    <row r="1966" spans="1:7" ht="31.2" x14ac:dyDescent="0.3">
      <c r="A1966" s="13" t="s">
        <v>308</v>
      </c>
      <c r="B1966" s="13" t="s">
        <v>15</v>
      </c>
      <c r="C1966" s="13" t="s">
        <v>215</v>
      </c>
      <c r="D1966" s="14" t="s">
        <v>309</v>
      </c>
      <c r="E1966" s="15">
        <v>13</v>
      </c>
      <c r="F1966" s="15">
        <v>84.28</v>
      </c>
      <c r="G1966" s="16">
        <f>ROUND(E1966*F1966,2)</f>
        <v>1095.6400000000001</v>
      </c>
    </row>
    <row r="1967" spans="1:7" x14ac:dyDescent="0.3">
      <c r="A1967" s="13" t="s">
        <v>314</v>
      </c>
      <c r="B1967" s="13" t="s">
        <v>15</v>
      </c>
      <c r="C1967" s="13" t="s">
        <v>215</v>
      </c>
      <c r="D1967" s="14" t="s">
        <v>315</v>
      </c>
      <c r="E1967" s="15">
        <v>0</v>
      </c>
      <c r="F1967" s="15">
        <v>55.56</v>
      </c>
      <c r="G1967" s="16">
        <f>ROUND(E1967*F1967,2)</f>
        <v>0</v>
      </c>
    </row>
    <row r="1968" spans="1:7" x14ac:dyDescent="0.3">
      <c r="A1968" s="13" t="s">
        <v>415</v>
      </c>
      <c r="B1968" s="13" t="s">
        <v>15</v>
      </c>
      <c r="C1968" s="13" t="s">
        <v>215</v>
      </c>
      <c r="D1968" s="14" t="s">
        <v>416</v>
      </c>
      <c r="E1968" s="15">
        <v>4</v>
      </c>
      <c r="F1968" s="15">
        <v>438.83</v>
      </c>
      <c r="G1968" s="16">
        <f>ROUND(E1968*F1968,2)</f>
        <v>1755.32</v>
      </c>
    </row>
    <row r="1969" spans="1:7" x14ac:dyDescent="0.3">
      <c r="A1969" s="17"/>
      <c r="B1969" s="17"/>
      <c r="C1969" s="17"/>
      <c r="D1969" s="18" t="s">
        <v>698</v>
      </c>
      <c r="E1969" s="15">
        <v>1</v>
      </c>
      <c r="F1969" s="12">
        <f>SUM(G1956:G1968)</f>
        <v>14191.579999999998</v>
      </c>
      <c r="G1969" s="12">
        <f>ROUND(F1969*E1969,2)</f>
        <v>14191.58</v>
      </c>
    </row>
    <row r="1970" spans="1:7" ht="1.05" customHeight="1" x14ac:dyDescent="0.3">
      <c r="A1970" s="20"/>
      <c r="B1970" s="20"/>
      <c r="C1970" s="20"/>
      <c r="D1970" s="21"/>
      <c r="E1970" s="20"/>
      <c r="F1970" s="20"/>
      <c r="G1970" s="20"/>
    </row>
    <row r="1971" spans="1:7" x14ac:dyDescent="0.3">
      <c r="A1971" s="17"/>
      <c r="B1971" s="17"/>
      <c r="C1971" s="17"/>
      <c r="D1971" s="18" t="s">
        <v>708</v>
      </c>
      <c r="E1971" s="19">
        <v>1</v>
      </c>
      <c r="F1971" s="12">
        <f>G1837+G1842+G1853+G1858+G1862+G1867+G1875+G1879+G1886+G1892+G1901+G1953+G1969</f>
        <v>250975.13999999998</v>
      </c>
      <c r="G1971" s="12">
        <f>ROUND(F1971*E1971,2)</f>
        <v>250975.14</v>
      </c>
    </row>
    <row r="1972" spans="1:7" ht="1.05" customHeight="1" x14ac:dyDescent="0.3">
      <c r="A1972" s="20"/>
      <c r="B1972" s="20"/>
      <c r="C1972" s="20"/>
      <c r="D1972" s="21"/>
      <c r="E1972" s="20"/>
      <c r="F1972" s="20"/>
      <c r="G1972" s="20"/>
    </row>
    <row r="1973" spans="1:7" x14ac:dyDescent="0.3">
      <c r="A1973" s="9" t="s">
        <v>709</v>
      </c>
      <c r="B1973" s="9" t="s">
        <v>11</v>
      </c>
      <c r="C1973" s="9" t="s">
        <v>12</v>
      </c>
      <c r="D1973" s="10" t="s">
        <v>710</v>
      </c>
      <c r="E1973" s="11">
        <f>E2127</f>
        <v>1</v>
      </c>
      <c r="F1973" s="12">
        <f>F2127</f>
        <v>259622.23</v>
      </c>
      <c r="G1973" s="12">
        <f>G2127</f>
        <v>259622.23</v>
      </c>
    </row>
    <row r="1974" spans="1:7" x14ac:dyDescent="0.3">
      <c r="A1974" s="22" t="s">
        <v>711</v>
      </c>
      <c r="B1974" s="22" t="s">
        <v>11</v>
      </c>
      <c r="C1974" s="22" t="s">
        <v>12</v>
      </c>
      <c r="D1974" s="23" t="s">
        <v>57</v>
      </c>
      <c r="E1974" s="12">
        <f>E1993</f>
        <v>1</v>
      </c>
      <c r="F1974" s="12">
        <f>F1993</f>
        <v>68785.89</v>
      </c>
      <c r="G1974" s="12">
        <f>G1993</f>
        <v>68785.89</v>
      </c>
    </row>
    <row r="1975" spans="1:7" x14ac:dyDescent="0.3">
      <c r="A1975" s="13" t="s">
        <v>81</v>
      </c>
      <c r="B1975" s="13" t="s">
        <v>15</v>
      </c>
      <c r="C1975" s="13" t="s">
        <v>60</v>
      </c>
      <c r="D1975" s="14" t="s">
        <v>82</v>
      </c>
      <c r="E1975" s="15">
        <v>8.18</v>
      </c>
      <c r="F1975" s="15">
        <v>572.66999999999996</v>
      </c>
      <c r="G1975" s="16">
        <f>ROUND(E1975*F1975,2)</f>
        <v>4684.4399999999996</v>
      </c>
    </row>
    <row r="1976" spans="1:7" x14ac:dyDescent="0.3">
      <c r="A1976" s="13" t="s">
        <v>83</v>
      </c>
      <c r="B1976" s="13" t="s">
        <v>15</v>
      </c>
      <c r="C1976" s="13" t="s">
        <v>60</v>
      </c>
      <c r="D1976" s="14" t="s">
        <v>84</v>
      </c>
      <c r="E1976" s="15">
        <v>4.0599999999999996</v>
      </c>
      <c r="F1976" s="15">
        <v>545.57000000000005</v>
      </c>
      <c r="G1976" s="16">
        <f>ROUND(E1976*F1976,2)</f>
        <v>2215.0100000000002</v>
      </c>
    </row>
    <row r="1977" spans="1:7" ht="31.2" x14ac:dyDescent="0.3">
      <c r="A1977" s="13" t="s">
        <v>97</v>
      </c>
      <c r="B1977" s="13" t="s">
        <v>15</v>
      </c>
      <c r="C1977" s="13" t="s">
        <v>60</v>
      </c>
      <c r="D1977" s="14" t="s">
        <v>98</v>
      </c>
      <c r="E1977" s="15">
        <v>0</v>
      </c>
      <c r="F1977" s="15">
        <v>1055.26</v>
      </c>
      <c r="G1977" s="16">
        <f>ROUND(E1977*F1977,2)</f>
        <v>0</v>
      </c>
    </row>
    <row r="1978" spans="1:7" ht="31.2" x14ac:dyDescent="0.3">
      <c r="A1978" s="13" t="s">
        <v>99</v>
      </c>
      <c r="B1978" s="13" t="s">
        <v>15</v>
      </c>
      <c r="C1978" s="13" t="s">
        <v>60</v>
      </c>
      <c r="D1978" s="14" t="s">
        <v>100</v>
      </c>
      <c r="E1978" s="15">
        <v>5.18</v>
      </c>
      <c r="F1978" s="15">
        <v>779.5</v>
      </c>
      <c r="G1978" s="16">
        <f>ROUND(E1978*F1978,2)</f>
        <v>4037.81</v>
      </c>
    </row>
    <row r="1979" spans="1:7" ht="31.2" x14ac:dyDescent="0.3">
      <c r="A1979" s="13" t="s">
        <v>660</v>
      </c>
      <c r="B1979" s="13" t="s">
        <v>15</v>
      </c>
      <c r="C1979" s="13" t="s">
        <v>60</v>
      </c>
      <c r="D1979" s="14" t="s">
        <v>661</v>
      </c>
      <c r="E1979" s="15">
        <v>6.48</v>
      </c>
      <c r="F1979" s="15">
        <v>858.05</v>
      </c>
      <c r="G1979" s="16">
        <f>ROUND(E1979*F1979,2)</f>
        <v>5560.16</v>
      </c>
    </row>
    <row r="1980" spans="1:7" ht="31.2" x14ac:dyDescent="0.3">
      <c r="A1980" s="13" t="s">
        <v>662</v>
      </c>
      <c r="B1980" s="13" t="s">
        <v>15</v>
      </c>
      <c r="C1980" s="13" t="s">
        <v>60</v>
      </c>
      <c r="D1980" s="14" t="s">
        <v>663</v>
      </c>
      <c r="E1980" s="15">
        <v>4.8600000000000003</v>
      </c>
      <c r="F1980" s="15">
        <v>714.24</v>
      </c>
      <c r="G1980" s="16">
        <f>ROUND(E1980*F1980,2)</f>
        <v>3471.21</v>
      </c>
    </row>
    <row r="1981" spans="1:7" x14ac:dyDescent="0.3">
      <c r="A1981" s="13" t="s">
        <v>105</v>
      </c>
      <c r="B1981" s="13" t="s">
        <v>15</v>
      </c>
      <c r="C1981" s="13" t="s">
        <v>60</v>
      </c>
      <c r="D1981" s="14" t="s">
        <v>106</v>
      </c>
      <c r="E1981" s="15">
        <v>12.06</v>
      </c>
      <c r="F1981" s="15">
        <v>476.95</v>
      </c>
      <c r="G1981" s="16">
        <f>ROUND(E1981*F1981,2)</f>
        <v>5752.02</v>
      </c>
    </row>
    <row r="1982" spans="1:7" x14ac:dyDescent="0.3">
      <c r="A1982" s="13" t="s">
        <v>321</v>
      </c>
      <c r="B1982" s="13" t="s">
        <v>15</v>
      </c>
      <c r="C1982" s="13" t="s">
        <v>60</v>
      </c>
      <c r="D1982" s="14" t="s">
        <v>322</v>
      </c>
      <c r="E1982" s="15">
        <v>3.43</v>
      </c>
      <c r="F1982" s="15">
        <v>713.28</v>
      </c>
      <c r="G1982" s="16">
        <f>ROUND(E1982*F1982,2)</f>
        <v>2446.5500000000002</v>
      </c>
    </row>
    <row r="1983" spans="1:7" x14ac:dyDescent="0.3">
      <c r="A1983" s="13" t="s">
        <v>323</v>
      </c>
      <c r="B1983" s="13" t="s">
        <v>15</v>
      </c>
      <c r="C1983" s="13" t="s">
        <v>60</v>
      </c>
      <c r="D1983" s="14" t="s">
        <v>324</v>
      </c>
      <c r="E1983" s="15">
        <v>3.02</v>
      </c>
      <c r="F1983" s="15">
        <v>702.51</v>
      </c>
      <c r="G1983" s="16">
        <f>ROUND(E1983*F1983,2)</f>
        <v>2121.58</v>
      </c>
    </row>
    <row r="1984" spans="1:7" x14ac:dyDescent="0.3">
      <c r="A1984" s="13" t="s">
        <v>325</v>
      </c>
      <c r="B1984" s="13" t="s">
        <v>15</v>
      </c>
      <c r="C1984" s="13" t="s">
        <v>60</v>
      </c>
      <c r="D1984" s="14" t="s">
        <v>326</v>
      </c>
      <c r="E1984" s="15">
        <v>3.02</v>
      </c>
      <c r="F1984" s="15">
        <v>680.27</v>
      </c>
      <c r="G1984" s="16">
        <f>ROUND(E1984*F1984,2)</f>
        <v>2054.42</v>
      </c>
    </row>
    <row r="1985" spans="1:7" x14ac:dyDescent="0.3">
      <c r="A1985" s="13" t="s">
        <v>327</v>
      </c>
      <c r="B1985" s="13" t="s">
        <v>15</v>
      </c>
      <c r="C1985" s="13" t="s">
        <v>60</v>
      </c>
      <c r="D1985" s="14" t="s">
        <v>328</v>
      </c>
      <c r="E1985" s="15">
        <v>3.53</v>
      </c>
      <c r="F1985" s="15">
        <v>693.2</v>
      </c>
      <c r="G1985" s="16">
        <f>ROUND(E1985*F1985,2)</f>
        <v>2447</v>
      </c>
    </row>
    <row r="1986" spans="1:7" x14ac:dyDescent="0.3">
      <c r="A1986" s="13" t="s">
        <v>329</v>
      </c>
      <c r="B1986" s="13" t="s">
        <v>15</v>
      </c>
      <c r="C1986" s="13" t="s">
        <v>60</v>
      </c>
      <c r="D1986" s="14" t="s">
        <v>330</v>
      </c>
      <c r="E1986" s="15">
        <v>3.59</v>
      </c>
      <c r="F1986" s="15">
        <v>693.4</v>
      </c>
      <c r="G1986" s="16">
        <f>ROUND(E1986*F1986,2)</f>
        <v>2489.31</v>
      </c>
    </row>
    <row r="1987" spans="1:7" x14ac:dyDescent="0.3">
      <c r="A1987" s="13" t="s">
        <v>331</v>
      </c>
      <c r="B1987" s="13" t="s">
        <v>15</v>
      </c>
      <c r="C1987" s="13" t="s">
        <v>60</v>
      </c>
      <c r="D1987" s="14" t="s">
        <v>332</v>
      </c>
      <c r="E1987" s="15">
        <v>3.39</v>
      </c>
      <c r="F1987" s="15">
        <v>700.15</v>
      </c>
      <c r="G1987" s="16">
        <f>ROUND(E1987*F1987,2)</f>
        <v>2373.5100000000002</v>
      </c>
    </row>
    <row r="1988" spans="1:7" x14ac:dyDescent="0.3">
      <c r="A1988" s="13" t="s">
        <v>604</v>
      </c>
      <c r="B1988" s="13" t="s">
        <v>15</v>
      </c>
      <c r="C1988" s="13" t="s">
        <v>60</v>
      </c>
      <c r="D1988" s="14" t="s">
        <v>605</v>
      </c>
      <c r="E1988" s="15">
        <v>1.81</v>
      </c>
      <c r="F1988" s="15">
        <v>646.07000000000005</v>
      </c>
      <c r="G1988" s="16">
        <f>ROUND(E1988*F1988,2)</f>
        <v>1169.3900000000001</v>
      </c>
    </row>
    <row r="1989" spans="1:7" x14ac:dyDescent="0.3">
      <c r="A1989" s="13" t="s">
        <v>333</v>
      </c>
      <c r="B1989" s="13" t="s">
        <v>15</v>
      </c>
      <c r="C1989" s="13" t="s">
        <v>60</v>
      </c>
      <c r="D1989" s="14" t="s">
        <v>334</v>
      </c>
      <c r="E1989" s="15">
        <v>2.17</v>
      </c>
      <c r="F1989" s="15">
        <v>693.4</v>
      </c>
      <c r="G1989" s="16">
        <f>ROUND(E1989*F1989,2)</f>
        <v>1504.68</v>
      </c>
    </row>
    <row r="1990" spans="1:7" ht="31.2" x14ac:dyDescent="0.3">
      <c r="A1990" s="13" t="s">
        <v>432</v>
      </c>
      <c r="B1990" s="13" t="s">
        <v>15</v>
      </c>
      <c r="C1990" s="13" t="s">
        <v>60</v>
      </c>
      <c r="D1990" s="14" t="s">
        <v>433</v>
      </c>
      <c r="E1990" s="15">
        <v>0.47</v>
      </c>
      <c r="F1990" s="15">
        <v>700.07</v>
      </c>
      <c r="G1990" s="16">
        <f>ROUND(E1990*F1990,2)</f>
        <v>329.03</v>
      </c>
    </row>
    <row r="1991" spans="1:7" x14ac:dyDescent="0.3">
      <c r="A1991" s="13" t="s">
        <v>335</v>
      </c>
      <c r="B1991" s="13" t="s">
        <v>15</v>
      </c>
      <c r="C1991" s="13" t="s">
        <v>91</v>
      </c>
      <c r="D1991" s="14" t="s">
        <v>336</v>
      </c>
      <c r="E1991" s="15">
        <v>10.25</v>
      </c>
      <c r="F1991" s="15">
        <v>367.46</v>
      </c>
      <c r="G1991" s="16">
        <f>ROUND(E1991*F1991,2)</f>
        <v>3766.47</v>
      </c>
    </row>
    <row r="1992" spans="1:7" x14ac:dyDescent="0.3">
      <c r="A1992" s="13" t="s">
        <v>606</v>
      </c>
      <c r="B1992" s="13" t="s">
        <v>15</v>
      </c>
      <c r="C1992" s="13" t="s">
        <v>60</v>
      </c>
      <c r="D1992" s="14" t="s">
        <v>607</v>
      </c>
      <c r="E1992" s="15">
        <v>45.44</v>
      </c>
      <c r="F1992" s="15">
        <v>492.15</v>
      </c>
      <c r="G1992" s="16">
        <f>ROUND(E1992*F1992,2)</f>
        <v>22363.3</v>
      </c>
    </row>
    <row r="1993" spans="1:7" x14ac:dyDescent="0.3">
      <c r="A1993" s="17"/>
      <c r="B1993" s="17"/>
      <c r="C1993" s="17"/>
      <c r="D1993" s="18" t="s">
        <v>712</v>
      </c>
      <c r="E1993" s="15">
        <v>1</v>
      </c>
      <c r="F1993" s="12">
        <f>SUM(G1975:G1992)</f>
        <v>68785.89</v>
      </c>
      <c r="G1993" s="12">
        <f>ROUND(F1993*E1993,2)</f>
        <v>68785.89</v>
      </c>
    </row>
    <row r="1994" spans="1:7" ht="1.05" customHeight="1" x14ac:dyDescent="0.3">
      <c r="A1994" s="20"/>
      <c r="B1994" s="20"/>
      <c r="C1994" s="20"/>
      <c r="D1994" s="21"/>
      <c r="E1994" s="20"/>
      <c r="F1994" s="20"/>
      <c r="G1994" s="20"/>
    </row>
    <row r="1995" spans="1:7" x14ac:dyDescent="0.3">
      <c r="A1995" s="22" t="s">
        <v>713</v>
      </c>
      <c r="B1995" s="22" t="s">
        <v>11</v>
      </c>
      <c r="C1995" s="22" t="s">
        <v>12</v>
      </c>
      <c r="D1995" s="23" t="s">
        <v>109</v>
      </c>
      <c r="E1995" s="12">
        <f>E1998</f>
        <v>1</v>
      </c>
      <c r="F1995" s="12">
        <f>F1998</f>
        <v>16405.87</v>
      </c>
      <c r="G1995" s="12">
        <f>G1998</f>
        <v>16405.87</v>
      </c>
    </row>
    <row r="1996" spans="1:7" ht="31.2" x14ac:dyDescent="0.3">
      <c r="A1996" s="13" t="s">
        <v>110</v>
      </c>
      <c r="B1996" s="13" t="s">
        <v>15</v>
      </c>
      <c r="C1996" s="13" t="s">
        <v>112</v>
      </c>
      <c r="D1996" s="14" t="s">
        <v>111</v>
      </c>
      <c r="E1996" s="15">
        <v>564.70000000000005</v>
      </c>
      <c r="F1996" s="15">
        <v>27.41</v>
      </c>
      <c r="G1996" s="16">
        <f>ROUND(E1996*F1996,2)</f>
        <v>15478.43</v>
      </c>
    </row>
    <row r="1997" spans="1:7" ht="31.2" x14ac:dyDescent="0.3">
      <c r="A1997" s="13" t="s">
        <v>499</v>
      </c>
      <c r="B1997" s="13" t="s">
        <v>15</v>
      </c>
      <c r="C1997" s="13" t="s">
        <v>112</v>
      </c>
      <c r="D1997" s="14" t="s">
        <v>500</v>
      </c>
      <c r="E1997" s="15">
        <v>44.61</v>
      </c>
      <c r="F1997" s="15">
        <v>20.79</v>
      </c>
      <c r="G1997" s="16">
        <f>ROUND(E1997*F1997,2)</f>
        <v>927.44</v>
      </c>
    </row>
    <row r="1998" spans="1:7" x14ac:dyDescent="0.3">
      <c r="A1998" s="17"/>
      <c r="B1998" s="17"/>
      <c r="C1998" s="17"/>
      <c r="D1998" s="18" t="s">
        <v>714</v>
      </c>
      <c r="E1998" s="15">
        <v>1</v>
      </c>
      <c r="F1998" s="12">
        <f>SUM(G1996:G1997)</f>
        <v>16405.87</v>
      </c>
      <c r="G1998" s="12">
        <f>ROUND(F1998*E1998,2)</f>
        <v>16405.87</v>
      </c>
    </row>
    <row r="1999" spans="1:7" ht="1.05" customHeight="1" x14ac:dyDescent="0.3">
      <c r="A1999" s="20"/>
      <c r="B1999" s="20"/>
      <c r="C1999" s="20"/>
      <c r="D1999" s="21"/>
      <c r="E1999" s="20"/>
      <c r="F1999" s="20"/>
      <c r="G1999" s="20"/>
    </row>
    <row r="2000" spans="1:7" x14ac:dyDescent="0.3">
      <c r="A2000" s="22" t="s">
        <v>715</v>
      </c>
      <c r="B2000" s="22" t="s">
        <v>11</v>
      </c>
      <c r="C2000" s="22" t="s">
        <v>12</v>
      </c>
      <c r="D2000" s="23" t="s">
        <v>115</v>
      </c>
      <c r="E2000" s="12">
        <f>E2009</f>
        <v>1</v>
      </c>
      <c r="F2000" s="12">
        <f>F2009</f>
        <v>27743.32</v>
      </c>
      <c r="G2000" s="12">
        <f>G2009</f>
        <v>27743.32</v>
      </c>
    </row>
    <row r="2001" spans="1:7" x14ac:dyDescent="0.3">
      <c r="A2001" s="13" t="s">
        <v>116</v>
      </c>
      <c r="B2001" s="13" t="s">
        <v>15</v>
      </c>
      <c r="C2001" s="13" t="s">
        <v>112</v>
      </c>
      <c r="D2001" s="14" t="s">
        <v>117</v>
      </c>
      <c r="E2001" s="15">
        <v>321.01</v>
      </c>
      <c r="F2001" s="15">
        <v>1.96</v>
      </c>
      <c r="G2001" s="16">
        <f>ROUND(E2001*F2001,2)</f>
        <v>629.17999999999995</v>
      </c>
    </row>
    <row r="2002" spans="1:7" ht="31.2" x14ac:dyDescent="0.3">
      <c r="A2002" s="13" t="s">
        <v>118</v>
      </c>
      <c r="B2002" s="13" t="s">
        <v>15</v>
      </c>
      <c r="C2002" s="13" t="s">
        <v>112</v>
      </c>
      <c r="D2002" s="14" t="s">
        <v>119</v>
      </c>
      <c r="E2002" s="15">
        <v>1068.57</v>
      </c>
      <c r="F2002" s="15">
        <v>8.4</v>
      </c>
      <c r="G2002" s="16">
        <f>ROUND(E2002*F2002,2)</f>
        <v>8975.99</v>
      </c>
    </row>
    <row r="2003" spans="1:7" x14ac:dyDescent="0.3">
      <c r="A2003" s="13" t="s">
        <v>503</v>
      </c>
      <c r="B2003" s="13" t="s">
        <v>15</v>
      </c>
      <c r="C2003" s="13" t="s">
        <v>112</v>
      </c>
      <c r="D2003" s="14" t="s">
        <v>504</v>
      </c>
      <c r="E2003" s="15">
        <v>1524.75</v>
      </c>
      <c r="F2003" s="15">
        <v>3.02</v>
      </c>
      <c r="G2003" s="16">
        <f>ROUND(E2003*F2003,2)</f>
        <v>4604.75</v>
      </c>
    </row>
    <row r="2004" spans="1:7" ht="31.2" x14ac:dyDescent="0.3">
      <c r="A2004" s="13" t="s">
        <v>120</v>
      </c>
      <c r="B2004" s="13" t="s">
        <v>15</v>
      </c>
      <c r="C2004" s="13" t="s">
        <v>112</v>
      </c>
      <c r="D2004" s="14" t="s">
        <v>121</v>
      </c>
      <c r="E2004" s="15">
        <v>228.79</v>
      </c>
      <c r="F2004" s="15">
        <v>8.4700000000000006</v>
      </c>
      <c r="G2004" s="16">
        <f>ROUND(E2004*F2004,2)</f>
        <v>1937.85</v>
      </c>
    </row>
    <row r="2005" spans="1:7" ht="31.2" x14ac:dyDescent="0.3">
      <c r="A2005" s="13" t="s">
        <v>122</v>
      </c>
      <c r="B2005" s="13" t="s">
        <v>15</v>
      </c>
      <c r="C2005" s="13" t="s">
        <v>112</v>
      </c>
      <c r="D2005" s="14" t="s">
        <v>123</v>
      </c>
      <c r="E2005" s="15">
        <v>456.18</v>
      </c>
      <c r="F2005" s="15">
        <v>11.87</v>
      </c>
      <c r="G2005" s="16">
        <f>ROUND(E2005*F2005,2)</f>
        <v>5414.86</v>
      </c>
    </row>
    <row r="2006" spans="1:7" ht="31.2" x14ac:dyDescent="0.3">
      <c r="A2006" s="13" t="s">
        <v>124</v>
      </c>
      <c r="B2006" s="13" t="s">
        <v>15</v>
      </c>
      <c r="C2006" s="13" t="s">
        <v>112</v>
      </c>
      <c r="D2006" s="14" t="s">
        <v>125</v>
      </c>
      <c r="E2006" s="15">
        <v>97.2</v>
      </c>
      <c r="F2006" s="15">
        <v>9.4600000000000009</v>
      </c>
      <c r="G2006" s="16">
        <f>ROUND(E2006*F2006,2)</f>
        <v>919.51</v>
      </c>
    </row>
    <row r="2007" spans="1:7" x14ac:dyDescent="0.3">
      <c r="A2007" s="13" t="s">
        <v>126</v>
      </c>
      <c r="B2007" s="13" t="s">
        <v>15</v>
      </c>
      <c r="C2007" s="13" t="s">
        <v>28</v>
      </c>
      <c r="D2007" s="14" t="s">
        <v>127</v>
      </c>
      <c r="E2007" s="15">
        <v>853.18</v>
      </c>
      <c r="F2007" s="15">
        <v>4.16</v>
      </c>
      <c r="G2007" s="16">
        <f>ROUND(E2007*F2007,2)</f>
        <v>3549.23</v>
      </c>
    </row>
    <row r="2008" spans="1:7" x14ac:dyDescent="0.3">
      <c r="A2008" s="13" t="s">
        <v>128</v>
      </c>
      <c r="B2008" s="13" t="s">
        <v>15</v>
      </c>
      <c r="C2008" s="13" t="s">
        <v>28</v>
      </c>
      <c r="D2008" s="14" t="s">
        <v>129</v>
      </c>
      <c r="E2008" s="15">
        <v>379.59</v>
      </c>
      <c r="F2008" s="15">
        <v>4.51</v>
      </c>
      <c r="G2008" s="16">
        <f>ROUND(E2008*F2008,2)</f>
        <v>1711.95</v>
      </c>
    </row>
    <row r="2009" spans="1:7" x14ac:dyDescent="0.3">
      <c r="A2009" s="17"/>
      <c r="B2009" s="17"/>
      <c r="C2009" s="17"/>
      <c r="D2009" s="18" t="s">
        <v>716</v>
      </c>
      <c r="E2009" s="15">
        <v>1</v>
      </c>
      <c r="F2009" s="12">
        <f>SUM(G2001:G2008)</f>
        <v>27743.32</v>
      </c>
      <c r="G2009" s="12">
        <f>ROUND(F2009*E2009,2)</f>
        <v>27743.32</v>
      </c>
    </row>
    <row r="2010" spans="1:7" ht="1.05" customHeight="1" x14ac:dyDescent="0.3">
      <c r="A2010" s="20"/>
      <c r="B2010" s="20"/>
      <c r="C2010" s="20"/>
      <c r="D2010" s="21"/>
      <c r="E2010" s="20"/>
      <c r="F2010" s="20"/>
      <c r="G2010" s="20"/>
    </row>
    <row r="2011" spans="1:7" x14ac:dyDescent="0.3">
      <c r="A2011" s="22" t="s">
        <v>717</v>
      </c>
      <c r="B2011" s="22" t="s">
        <v>11</v>
      </c>
      <c r="C2011" s="22" t="s">
        <v>12</v>
      </c>
      <c r="D2011" s="23" t="s">
        <v>132</v>
      </c>
      <c r="E2011" s="12">
        <f>E2014</f>
        <v>1</v>
      </c>
      <c r="F2011" s="12">
        <f>F2014</f>
        <v>17148.740000000002</v>
      </c>
      <c r="G2011" s="12">
        <f>G2014</f>
        <v>17148.740000000002</v>
      </c>
    </row>
    <row r="2012" spans="1:7" ht="31.2" x14ac:dyDescent="0.3">
      <c r="A2012" s="13" t="s">
        <v>133</v>
      </c>
      <c r="B2012" s="13" t="s">
        <v>15</v>
      </c>
      <c r="C2012" s="13" t="s">
        <v>112</v>
      </c>
      <c r="D2012" s="14" t="s">
        <v>134</v>
      </c>
      <c r="E2012" s="15">
        <v>355.28</v>
      </c>
      <c r="F2012" s="15">
        <v>42.32</v>
      </c>
      <c r="G2012" s="16">
        <f>ROUND(E2012*F2012,2)</f>
        <v>15035.45</v>
      </c>
    </row>
    <row r="2013" spans="1:7" ht="31.2" x14ac:dyDescent="0.3">
      <c r="A2013" s="13" t="s">
        <v>135</v>
      </c>
      <c r="B2013" s="13" t="s">
        <v>15</v>
      </c>
      <c r="C2013" s="13" t="s">
        <v>28</v>
      </c>
      <c r="D2013" s="14" t="s">
        <v>136</v>
      </c>
      <c r="E2013" s="15">
        <v>364.99</v>
      </c>
      <c r="F2013" s="15">
        <v>5.79</v>
      </c>
      <c r="G2013" s="16">
        <f>ROUND(E2013*F2013,2)</f>
        <v>2113.29</v>
      </c>
    </row>
    <row r="2014" spans="1:7" x14ac:dyDescent="0.3">
      <c r="A2014" s="17"/>
      <c r="B2014" s="17"/>
      <c r="C2014" s="17"/>
      <c r="D2014" s="18" t="s">
        <v>718</v>
      </c>
      <c r="E2014" s="15">
        <v>1</v>
      </c>
      <c r="F2014" s="12">
        <f>SUM(G2012:G2013)</f>
        <v>17148.740000000002</v>
      </c>
      <c r="G2014" s="12">
        <f>ROUND(F2014*E2014,2)</f>
        <v>17148.740000000002</v>
      </c>
    </row>
    <row r="2015" spans="1:7" ht="1.05" customHeight="1" x14ac:dyDescent="0.3">
      <c r="A2015" s="20"/>
      <c r="B2015" s="20"/>
      <c r="C2015" s="20"/>
      <c r="D2015" s="21"/>
      <c r="E2015" s="20"/>
      <c r="F2015" s="20"/>
      <c r="G2015" s="20"/>
    </row>
    <row r="2016" spans="1:7" x14ac:dyDescent="0.3">
      <c r="A2016" s="22" t="s">
        <v>719</v>
      </c>
      <c r="B2016" s="22" t="s">
        <v>11</v>
      </c>
      <c r="C2016" s="22" t="s">
        <v>12</v>
      </c>
      <c r="D2016" s="23" t="s">
        <v>347</v>
      </c>
      <c r="E2016" s="12">
        <f>E2018</f>
        <v>1</v>
      </c>
      <c r="F2016" s="12">
        <f>F2018</f>
        <v>7604.09</v>
      </c>
      <c r="G2016" s="12">
        <f>G2018</f>
        <v>7604.09</v>
      </c>
    </row>
    <row r="2017" spans="1:7" ht="31.2" x14ac:dyDescent="0.3">
      <c r="A2017" s="13" t="s">
        <v>348</v>
      </c>
      <c r="B2017" s="13" t="s">
        <v>15</v>
      </c>
      <c r="C2017" s="13" t="s">
        <v>22</v>
      </c>
      <c r="D2017" s="14" t="s">
        <v>349</v>
      </c>
      <c r="E2017" s="15">
        <v>176.47</v>
      </c>
      <c r="F2017" s="15">
        <v>43.09</v>
      </c>
      <c r="G2017" s="16">
        <f>ROUND(E2017*F2017,2)</f>
        <v>7604.09</v>
      </c>
    </row>
    <row r="2018" spans="1:7" x14ac:dyDescent="0.3">
      <c r="A2018" s="17"/>
      <c r="B2018" s="17"/>
      <c r="C2018" s="17"/>
      <c r="D2018" s="18" t="s">
        <v>720</v>
      </c>
      <c r="E2018" s="15">
        <v>1</v>
      </c>
      <c r="F2018" s="12">
        <f>G2017</f>
        <v>7604.09</v>
      </c>
      <c r="G2018" s="12">
        <f>ROUND(F2018*E2018,2)</f>
        <v>7604.09</v>
      </c>
    </row>
    <row r="2019" spans="1:7" ht="1.05" customHeight="1" x14ac:dyDescent="0.3">
      <c r="A2019" s="20"/>
      <c r="B2019" s="20"/>
      <c r="C2019" s="20"/>
      <c r="D2019" s="21"/>
      <c r="E2019" s="20"/>
      <c r="F2019" s="20"/>
      <c r="G2019" s="20"/>
    </row>
    <row r="2020" spans="1:7" x14ac:dyDescent="0.3">
      <c r="A2020" s="22" t="s">
        <v>721</v>
      </c>
      <c r="B2020" s="22" t="s">
        <v>11</v>
      </c>
      <c r="C2020" s="22" t="s">
        <v>12</v>
      </c>
      <c r="D2020" s="23" t="s">
        <v>141</v>
      </c>
      <c r="E2020" s="12">
        <f>E2023</f>
        <v>1</v>
      </c>
      <c r="F2020" s="12">
        <f>F2023</f>
        <v>7173.8799999999992</v>
      </c>
      <c r="G2020" s="12">
        <f>G2023</f>
        <v>7173.88</v>
      </c>
    </row>
    <row r="2021" spans="1:7" ht="31.2" x14ac:dyDescent="0.3">
      <c r="A2021" s="13" t="s">
        <v>142</v>
      </c>
      <c r="B2021" s="13" t="s">
        <v>15</v>
      </c>
      <c r="C2021" s="13" t="s">
        <v>28</v>
      </c>
      <c r="D2021" s="14" t="s">
        <v>143</v>
      </c>
      <c r="E2021" s="15">
        <v>108</v>
      </c>
      <c r="F2021" s="15">
        <v>61.92</v>
      </c>
      <c r="G2021" s="16">
        <f>ROUND(E2021*F2021,2)</f>
        <v>6687.36</v>
      </c>
    </row>
    <row r="2022" spans="1:7" x14ac:dyDescent="0.3">
      <c r="A2022" s="13" t="s">
        <v>144</v>
      </c>
      <c r="B2022" s="13" t="s">
        <v>15</v>
      </c>
      <c r="C2022" s="13" t="s">
        <v>112</v>
      </c>
      <c r="D2022" s="14" t="s">
        <v>145</v>
      </c>
      <c r="E2022" s="15">
        <v>12.65</v>
      </c>
      <c r="F2022" s="15">
        <v>38.46</v>
      </c>
      <c r="G2022" s="16">
        <f>ROUND(E2022*F2022,2)</f>
        <v>486.52</v>
      </c>
    </row>
    <row r="2023" spans="1:7" x14ac:dyDescent="0.3">
      <c r="A2023" s="17"/>
      <c r="B2023" s="17"/>
      <c r="C2023" s="17"/>
      <c r="D2023" s="18" t="s">
        <v>722</v>
      </c>
      <c r="E2023" s="15">
        <v>1</v>
      </c>
      <c r="F2023" s="12">
        <f>SUM(G2021:G2022)</f>
        <v>7173.8799999999992</v>
      </c>
      <c r="G2023" s="12">
        <f>ROUND(F2023*E2023,2)</f>
        <v>7173.88</v>
      </c>
    </row>
    <row r="2024" spans="1:7" ht="1.05" customHeight="1" x14ac:dyDescent="0.3">
      <c r="A2024" s="20"/>
      <c r="B2024" s="20"/>
      <c r="C2024" s="20"/>
      <c r="D2024" s="21"/>
      <c r="E2024" s="20"/>
      <c r="F2024" s="20"/>
      <c r="G2024" s="20"/>
    </row>
    <row r="2025" spans="1:7" x14ac:dyDescent="0.3">
      <c r="A2025" s="22" t="s">
        <v>723</v>
      </c>
      <c r="B2025" s="22" t="s">
        <v>11</v>
      </c>
      <c r="C2025" s="22" t="s">
        <v>12</v>
      </c>
      <c r="D2025" s="23" t="s">
        <v>148</v>
      </c>
      <c r="E2025" s="12">
        <f>E2031</f>
        <v>1</v>
      </c>
      <c r="F2025" s="12">
        <f>F2031</f>
        <v>23709.97</v>
      </c>
      <c r="G2025" s="12">
        <f>G2031</f>
        <v>23709.97</v>
      </c>
    </row>
    <row r="2026" spans="1:7" ht="31.2" x14ac:dyDescent="0.3">
      <c r="A2026" s="13" t="s">
        <v>149</v>
      </c>
      <c r="B2026" s="13" t="s">
        <v>15</v>
      </c>
      <c r="C2026" s="13" t="s">
        <v>151</v>
      </c>
      <c r="D2026" s="14" t="s">
        <v>150</v>
      </c>
      <c r="E2026" s="15">
        <v>4</v>
      </c>
      <c r="F2026" s="15">
        <v>249.6</v>
      </c>
      <c r="G2026" s="16">
        <f>ROUND(E2026*F2026,2)</f>
        <v>998.4</v>
      </c>
    </row>
    <row r="2027" spans="1:7" ht="31.2" x14ac:dyDescent="0.3">
      <c r="A2027" s="13" t="s">
        <v>152</v>
      </c>
      <c r="B2027" s="13" t="s">
        <v>15</v>
      </c>
      <c r="C2027" s="13" t="s">
        <v>151</v>
      </c>
      <c r="D2027" s="14" t="s">
        <v>153</v>
      </c>
      <c r="E2027" s="15">
        <v>2</v>
      </c>
      <c r="F2027" s="15">
        <v>424.61</v>
      </c>
      <c r="G2027" s="16">
        <f>ROUND(E2027*F2027,2)</f>
        <v>849.22</v>
      </c>
    </row>
    <row r="2028" spans="1:7" ht="31.2" x14ac:dyDescent="0.3">
      <c r="A2028" s="13" t="s">
        <v>517</v>
      </c>
      <c r="B2028" s="13" t="s">
        <v>15</v>
      </c>
      <c r="C2028" s="13" t="s">
        <v>151</v>
      </c>
      <c r="D2028" s="14" t="s">
        <v>518</v>
      </c>
      <c r="E2028" s="15">
        <v>4</v>
      </c>
      <c r="F2028" s="15">
        <v>714</v>
      </c>
      <c r="G2028" s="16">
        <f>ROUND(E2028*F2028,2)</f>
        <v>2856</v>
      </c>
    </row>
    <row r="2029" spans="1:7" ht="31.2" x14ac:dyDescent="0.3">
      <c r="A2029" s="13" t="s">
        <v>519</v>
      </c>
      <c r="B2029" s="13" t="s">
        <v>15</v>
      </c>
      <c r="C2029" s="13" t="s">
        <v>151</v>
      </c>
      <c r="D2029" s="14" t="s">
        <v>520</v>
      </c>
      <c r="E2029" s="15">
        <v>17</v>
      </c>
      <c r="F2029" s="15">
        <v>538.34</v>
      </c>
      <c r="G2029" s="16">
        <f>ROUND(E2029*F2029,2)</f>
        <v>9151.7800000000007</v>
      </c>
    </row>
    <row r="2030" spans="1:7" ht="31.2" x14ac:dyDescent="0.3">
      <c r="A2030" s="13" t="s">
        <v>521</v>
      </c>
      <c r="B2030" s="13" t="s">
        <v>15</v>
      </c>
      <c r="C2030" s="13" t="s">
        <v>363</v>
      </c>
      <c r="D2030" s="14" t="s">
        <v>522</v>
      </c>
      <c r="E2030" s="15">
        <v>422.58</v>
      </c>
      <c r="F2030" s="15">
        <v>23.32</v>
      </c>
      <c r="G2030" s="16">
        <f>ROUND(E2030*F2030,2)</f>
        <v>9854.57</v>
      </c>
    </row>
    <row r="2031" spans="1:7" x14ac:dyDescent="0.3">
      <c r="A2031" s="17"/>
      <c r="B2031" s="17"/>
      <c r="C2031" s="17"/>
      <c r="D2031" s="18" t="s">
        <v>724</v>
      </c>
      <c r="E2031" s="15">
        <v>1</v>
      </c>
      <c r="F2031" s="12">
        <f>SUM(G2026:G2030)</f>
        <v>23709.97</v>
      </c>
      <c r="G2031" s="12">
        <f>ROUND(F2031*E2031,2)</f>
        <v>23709.97</v>
      </c>
    </row>
    <row r="2032" spans="1:7" ht="1.05" customHeight="1" x14ac:dyDescent="0.3">
      <c r="A2032" s="20"/>
      <c r="B2032" s="20"/>
      <c r="C2032" s="20"/>
      <c r="D2032" s="21"/>
      <c r="E2032" s="20"/>
      <c r="F2032" s="20"/>
      <c r="G2032" s="20"/>
    </row>
    <row r="2033" spans="1:7" x14ac:dyDescent="0.3">
      <c r="A2033" s="22" t="s">
        <v>725</v>
      </c>
      <c r="B2033" s="22" t="s">
        <v>11</v>
      </c>
      <c r="C2033" s="22" t="s">
        <v>12</v>
      </c>
      <c r="D2033" s="23" t="s">
        <v>360</v>
      </c>
      <c r="E2033" s="12">
        <f>E2035</f>
        <v>1</v>
      </c>
      <c r="F2033" s="12">
        <f>F2035</f>
        <v>4591.95</v>
      </c>
      <c r="G2033" s="12">
        <f>G2035</f>
        <v>4591.95</v>
      </c>
    </row>
    <row r="2034" spans="1:7" ht="31.2" x14ac:dyDescent="0.3">
      <c r="A2034" s="13" t="s">
        <v>361</v>
      </c>
      <c r="B2034" s="13" t="s">
        <v>15</v>
      </c>
      <c r="C2034" s="13" t="s">
        <v>363</v>
      </c>
      <c r="D2034" s="14" t="s">
        <v>362</v>
      </c>
      <c r="E2034" s="15">
        <v>516.53</v>
      </c>
      <c r="F2034" s="15">
        <v>8.89</v>
      </c>
      <c r="G2034" s="16">
        <f>ROUND(E2034*F2034,2)</f>
        <v>4591.95</v>
      </c>
    </row>
    <row r="2035" spans="1:7" x14ac:dyDescent="0.3">
      <c r="A2035" s="17"/>
      <c r="B2035" s="17"/>
      <c r="C2035" s="17"/>
      <c r="D2035" s="18" t="s">
        <v>726</v>
      </c>
      <c r="E2035" s="15">
        <v>1</v>
      </c>
      <c r="F2035" s="12">
        <f>G2034</f>
        <v>4591.95</v>
      </c>
      <c r="G2035" s="12">
        <f>ROUND(F2035*E2035,2)</f>
        <v>4591.95</v>
      </c>
    </row>
    <row r="2036" spans="1:7" ht="1.05" customHeight="1" x14ac:dyDescent="0.3">
      <c r="A2036" s="20"/>
      <c r="B2036" s="20"/>
      <c r="C2036" s="20"/>
      <c r="D2036" s="21"/>
      <c r="E2036" s="20"/>
      <c r="F2036" s="20"/>
      <c r="G2036" s="20"/>
    </row>
    <row r="2037" spans="1:7" x14ac:dyDescent="0.3">
      <c r="A2037" s="22" t="s">
        <v>727</v>
      </c>
      <c r="B2037" s="22" t="s">
        <v>11</v>
      </c>
      <c r="C2037" s="22" t="s">
        <v>12</v>
      </c>
      <c r="D2037" s="23" t="s">
        <v>156</v>
      </c>
      <c r="E2037" s="12">
        <f>E2042</f>
        <v>1</v>
      </c>
      <c r="F2037" s="12">
        <f>F2042</f>
        <v>18284.560000000001</v>
      </c>
      <c r="G2037" s="12">
        <f>G2042</f>
        <v>18284.560000000001</v>
      </c>
    </row>
    <row r="2038" spans="1:7" x14ac:dyDescent="0.3">
      <c r="A2038" s="13" t="s">
        <v>157</v>
      </c>
      <c r="B2038" s="13" t="s">
        <v>15</v>
      </c>
      <c r="C2038" s="13" t="s">
        <v>112</v>
      </c>
      <c r="D2038" s="14" t="s">
        <v>158</v>
      </c>
      <c r="E2038" s="15">
        <v>1907.68</v>
      </c>
      <c r="F2038" s="15">
        <v>4.0199999999999996</v>
      </c>
      <c r="G2038" s="16">
        <f>ROUND(E2038*F2038,2)</f>
        <v>7668.87</v>
      </c>
    </row>
    <row r="2039" spans="1:7" x14ac:dyDescent="0.3">
      <c r="A2039" s="13" t="s">
        <v>159</v>
      </c>
      <c r="B2039" s="13" t="s">
        <v>15</v>
      </c>
      <c r="C2039" s="13" t="s">
        <v>112</v>
      </c>
      <c r="D2039" s="14" t="s">
        <v>160</v>
      </c>
      <c r="E2039" s="15">
        <v>1222.71</v>
      </c>
      <c r="F2039" s="15">
        <v>4.37</v>
      </c>
      <c r="G2039" s="16">
        <f>ROUND(E2039*F2039,2)</f>
        <v>5343.24</v>
      </c>
    </row>
    <row r="2040" spans="1:7" x14ac:dyDescent="0.3">
      <c r="A2040" s="13" t="s">
        <v>527</v>
      </c>
      <c r="B2040" s="13" t="s">
        <v>15</v>
      </c>
      <c r="C2040" s="13" t="s">
        <v>112</v>
      </c>
      <c r="D2040" s="14" t="s">
        <v>528</v>
      </c>
      <c r="E2040" s="15">
        <v>228.79</v>
      </c>
      <c r="F2040" s="15">
        <v>8.35</v>
      </c>
      <c r="G2040" s="16">
        <f>ROUND(E2040*F2040,2)</f>
        <v>1910.4</v>
      </c>
    </row>
    <row r="2041" spans="1:7" x14ac:dyDescent="0.3">
      <c r="A2041" s="13" t="s">
        <v>161</v>
      </c>
      <c r="B2041" s="13" t="s">
        <v>15</v>
      </c>
      <c r="C2041" s="13" t="s">
        <v>112</v>
      </c>
      <c r="D2041" s="14" t="s">
        <v>162</v>
      </c>
      <c r="E2041" s="15">
        <v>456.18</v>
      </c>
      <c r="F2041" s="15">
        <v>7.37</v>
      </c>
      <c r="G2041" s="16">
        <f>ROUND(E2041*F2041,2)</f>
        <v>3362.05</v>
      </c>
    </row>
    <row r="2042" spans="1:7" x14ac:dyDescent="0.3">
      <c r="A2042" s="17"/>
      <c r="B2042" s="17"/>
      <c r="C2042" s="17"/>
      <c r="D2042" s="18" t="s">
        <v>728</v>
      </c>
      <c r="E2042" s="15">
        <v>1</v>
      </c>
      <c r="F2042" s="12">
        <f>SUM(G2038:G2041)</f>
        <v>18284.560000000001</v>
      </c>
      <c r="G2042" s="12">
        <f>ROUND(F2042*E2042,2)</f>
        <v>18284.560000000001</v>
      </c>
    </row>
    <row r="2043" spans="1:7" ht="1.05" customHeight="1" x14ac:dyDescent="0.3">
      <c r="A2043" s="20"/>
      <c r="B2043" s="20"/>
      <c r="C2043" s="20"/>
      <c r="D2043" s="21"/>
      <c r="E2043" s="20"/>
      <c r="F2043" s="20"/>
      <c r="G2043" s="20"/>
    </row>
    <row r="2044" spans="1:7" x14ac:dyDescent="0.3">
      <c r="A2044" s="22" t="s">
        <v>729</v>
      </c>
      <c r="B2044" s="22" t="s">
        <v>11</v>
      </c>
      <c r="C2044" s="22" t="s">
        <v>12</v>
      </c>
      <c r="D2044" s="23" t="s">
        <v>531</v>
      </c>
      <c r="E2044" s="12">
        <f>E2048</f>
        <v>1</v>
      </c>
      <c r="F2044" s="12">
        <f>F2048</f>
        <v>14622.880000000001</v>
      </c>
      <c r="G2044" s="12">
        <f>G2048</f>
        <v>14622.88</v>
      </c>
    </row>
    <row r="2045" spans="1:7" ht="31.2" x14ac:dyDescent="0.3">
      <c r="A2045" s="13" t="s">
        <v>532</v>
      </c>
      <c r="B2045" s="13" t="s">
        <v>15</v>
      </c>
      <c r="C2045" s="13" t="s">
        <v>534</v>
      </c>
      <c r="D2045" s="14" t="s">
        <v>533</v>
      </c>
      <c r="E2045" s="15">
        <v>63.66</v>
      </c>
      <c r="F2045" s="15">
        <v>53.17</v>
      </c>
      <c r="G2045" s="16">
        <f>ROUND(E2045*F2045,2)</f>
        <v>3384.8</v>
      </c>
    </row>
    <row r="2046" spans="1:7" x14ac:dyDescent="0.3">
      <c r="A2046" s="13" t="s">
        <v>535</v>
      </c>
      <c r="B2046" s="13" t="s">
        <v>15</v>
      </c>
      <c r="C2046" s="13" t="s">
        <v>534</v>
      </c>
      <c r="D2046" s="14" t="s">
        <v>536</v>
      </c>
      <c r="E2046" s="15">
        <v>69.56</v>
      </c>
      <c r="F2046" s="15">
        <v>71.430000000000007</v>
      </c>
      <c r="G2046" s="16">
        <f>ROUND(E2046*F2046,2)</f>
        <v>4968.67</v>
      </c>
    </row>
    <row r="2047" spans="1:7" x14ac:dyDescent="0.3">
      <c r="A2047" s="13" t="s">
        <v>537</v>
      </c>
      <c r="B2047" s="13" t="s">
        <v>15</v>
      </c>
      <c r="C2047" s="13" t="s">
        <v>534</v>
      </c>
      <c r="D2047" s="14" t="s">
        <v>538</v>
      </c>
      <c r="E2047" s="15">
        <v>87.77</v>
      </c>
      <c r="F2047" s="15">
        <v>71.430000000000007</v>
      </c>
      <c r="G2047" s="16">
        <f>ROUND(E2047*F2047,2)</f>
        <v>6269.41</v>
      </c>
    </row>
    <row r="2048" spans="1:7" x14ac:dyDescent="0.3">
      <c r="A2048" s="17"/>
      <c r="B2048" s="17"/>
      <c r="C2048" s="17"/>
      <c r="D2048" s="18" t="s">
        <v>730</v>
      </c>
      <c r="E2048" s="15">
        <v>1</v>
      </c>
      <c r="F2048" s="12">
        <f>SUM(G2045:G2047)</f>
        <v>14622.880000000001</v>
      </c>
      <c r="G2048" s="12">
        <f>ROUND(F2048*E2048,2)</f>
        <v>14622.88</v>
      </c>
    </row>
    <row r="2049" spans="1:7" ht="1.05" customHeight="1" x14ac:dyDescent="0.3">
      <c r="A2049" s="20"/>
      <c r="B2049" s="20"/>
      <c r="C2049" s="20"/>
      <c r="D2049" s="21"/>
      <c r="E2049" s="20"/>
      <c r="F2049" s="20"/>
      <c r="G2049" s="20"/>
    </row>
    <row r="2050" spans="1:7" x14ac:dyDescent="0.3">
      <c r="A2050" s="22" t="s">
        <v>731</v>
      </c>
      <c r="B2050" s="22" t="s">
        <v>11</v>
      </c>
      <c r="C2050" s="22" t="s">
        <v>12</v>
      </c>
      <c r="D2050" s="23" t="s">
        <v>165</v>
      </c>
      <c r="E2050" s="12">
        <f>E2057</f>
        <v>1</v>
      </c>
      <c r="F2050" s="12">
        <f>F2057</f>
        <v>13496.310000000001</v>
      </c>
      <c r="G2050" s="12">
        <f>G2057</f>
        <v>13496.31</v>
      </c>
    </row>
    <row r="2051" spans="1:7" x14ac:dyDescent="0.3">
      <c r="A2051" s="13" t="s">
        <v>172</v>
      </c>
      <c r="B2051" s="13" t="s">
        <v>15</v>
      </c>
      <c r="C2051" s="13" t="s">
        <v>28</v>
      </c>
      <c r="D2051" s="14" t="s">
        <v>173</v>
      </c>
      <c r="E2051" s="15">
        <v>23.8</v>
      </c>
      <c r="F2051" s="15">
        <v>122.02</v>
      </c>
      <c r="G2051" s="16">
        <f>ROUND(E2051*F2051,2)</f>
        <v>2904.08</v>
      </c>
    </row>
    <row r="2052" spans="1:7" x14ac:dyDescent="0.3">
      <c r="A2052" s="13" t="s">
        <v>541</v>
      </c>
      <c r="B2052" s="13" t="s">
        <v>15</v>
      </c>
      <c r="C2052" s="13" t="s">
        <v>22</v>
      </c>
      <c r="D2052" s="14" t="s">
        <v>542</v>
      </c>
      <c r="E2052" s="15">
        <v>24.8</v>
      </c>
      <c r="F2052" s="15">
        <v>212.06</v>
      </c>
      <c r="G2052" s="16">
        <f>ROUND(E2052*F2052,2)</f>
        <v>5259.09</v>
      </c>
    </row>
    <row r="2053" spans="1:7" x14ac:dyDescent="0.3">
      <c r="A2053" s="13" t="s">
        <v>543</v>
      </c>
      <c r="B2053" s="13" t="s">
        <v>15</v>
      </c>
      <c r="C2053" s="13" t="s">
        <v>91</v>
      </c>
      <c r="D2053" s="14" t="s">
        <v>544</v>
      </c>
      <c r="E2053" s="15">
        <v>2.33</v>
      </c>
      <c r="F2053" s="15">
        <v>113.44</v>
      </c>
      <c r="G2053" s="16">
        <f>ROUND(E2053*F2053,2)</f>
        <v>264.32</v>
      </c>
    </row>
    <row r="2054" spans="1:7" ht="31.2" x14ac:dyDescent="0.3">
      <c r="A2054" s="13" t="s">
        <v>545</v>
      </c>
      <c r="B2054" s="13" t="s">
        <v>15</v>
      </c>
      <c r="C2054" s="13" t="s">
        <v>22</v>
      </c>
      <c r="D2054" s="14" t="s">
        <v>546</v>
      </c>
      <c r="E2054" s="15">
        <v>25.06</v>
      </c>
      <c r="F2054" s="15">
        <v>44.13</v>
      </c>
      <c r="G2054" s="16">
        <f>ROUND(E2054*F2054,2)</f>
        <v>1105.9000000000001</v>
      </c>
    </row>
    <row r="2055" spans="1:7" x14ac:dyDescent="0.3">
      <c r="A2055" s="13" t="s">
        <v>628</v>
      </c>
      <c r="B2055" s="13" t="s">
        <v>15</v>
      </c>
      <c r="C2055" s="13" t="s">
        <v>22</v>
      </c>
      <c r="D2055" s="14" t="s">
        <v>629</v>
      </c>
      <c r="E2055" s="15">
        <v>22.75</v>
      </c>
      <c r="F2055" s="15">
        <v>49.72</v>
      </c>
      <c r="G2055" s="16">
        <f>ROUND(E2055*F2055,2)</f>
        <v>1131.1300000000001</v>
      </c>
    </row>
    <row r="2056" spans="1:7" x14ac:dyDescent="0.3">
      <c r="A2056" s="13" t="s">
        <v>630</v>
      </c>
      <c r="B2056" s="13" t="s">
        <v>15</v>
      </c>
      <c r="C2056" s="13" t="s">
        <v>28</v>
      </c>
      <c r="D2056" s="14" t="s">
        <v>631</v>
      </c>
      <c r="E2056" s="15">
        <v>68.900000000000006</v>
      </c>
      <c r="F2056" s="15">
        <v>41.1</v>
      </c>
      <c r="G2056" s="16">
        <f>ROUND(E2056*F2056,2)</f>
        <v>2831.79</v>
      </c>
    </row>
    <row r="2057" spans="1:7" x14ac:dyDescent="0.3">
      <c r="A2057" s="17"/>
      <c r="B2057" s="17"/>
      <c r="C2057" s="17"/>
      <c r="D2057" s="18" t="s">
        <v>732</v>
      </c>
      <c r="E2057" s="15">
        <v>1</v>
      </c>
      <c r="F2057" s="12">
        <f>SUM(G2051:G2056)</f>
        <v>13496.310000000001</v>
      </c>
      <c r="G2057" s="12">
        <f>ROUND(F2057*E2057,2)</f>
        <v>13496.31</v>
      </c>
    </row>
    <row r="2058" spans="1:7" ht="1.05" customHeight="1" x14ac:dyDescent="0.3">
      <c r="A2058" s="20"/>
      <c r="B2058" s="20"/>
      <c r="C2058" s="20"/>
      <c r="D2058" s="21"/>
      <c r="E2058" s="20"/>
      <c r="F2058" s="20"/>
      <c r="G2058" s="20"/>
    </row>
    <row r="2059" spans="1:7" x14ac:dyDescent="0.3">
      <c r="A2059" s="22" t="s">
        <v>733</v>
      </c>
      <c r="B2059" s="22" t="s">
        <v>11</v>
      </c>
      <c r="C2059" s="22" t="s">
        <v>12</v>
      </c>
      <c r="D2059" s="23" t="s">
        <v>176</v>
      </c>
      <c r="E2059" s="12">
        <f>E2109</f>
        <v>1</v>
      </c>
      <c r="F2059" s="12">
        <f>F2109</f>
        <v>26936.280000000002</v>
      </c>
      <c r="G2059" s="12">
        <f>G2109</f>
        <v>26936.28</v>
      </c>
    </row>
    <row r="2060" spans="1:7" ht="31.2" x14ac:dyDescent="0.3">
      <c r="A2060" s="22" t="s">
        <v>734</v>
      </c>
      <c r="B2060" s="22" t="s">
        <v>11</v>
      </c>
      <c r="C2060" s="22" t="s">
        <v>12</v>
      </c>
      <c r="D2060" s="23" t="s">
        <v>229</v>
      </c>
      <c r="E2060" s="12">
        <f>E2073</f>
        <v>1</v>
      </c>
      <c r="F2060" s="12">
        <f>F2073</f>
        <v>3352.4</v>
      </c>
      <c r="G2060" s="12">
        <f>G2073</f>
        <v>3352.4</v>
      </c>
    </row>
    <row r="2061" spans="1:7" x14ac:dyDescent="0.3">
      <c r="A2061" s="13" t="s">
        <v>230</v>
      </c>
      <c r="B2061" s="13" t="s">
        <v>15</v>
      </c>
      <c r="C2061" s="13" t="s">
        <v>28</v>
      </c>
      <c r="D2061" s="14" t="s">
        <v>231</v>
      </c>
      <c r="E2061" s="15">
        <v>258.57</v>
      </c>
      <c r="F2061" s="15">
        <v>1.9</v>
      </c>
      <c r="G2061" s="16">
        <f>ROUND(E2061*F2061,2)</f>
        <v>491.28</v>
      </c>
    </row>
    <row r="2062" spans="1:7" x14ac:dyDescent="0.3">
      <c r="A2062" s="13" t="s">
        <v>232</v>
      </c>
      <c r="B2062" s="13" t="s">
        <v>15</v>
      </c>
      <c r="C2062" s="13" t="s">
        <v>28</v>
      </c>
      <c r="D2062" s="14" t="s">
        <v>233</v>
      </c>
      <c r="E2062" s="15">
        <v>258.57</v>
      </c>
      <c r="F2062" s="15">
        <v>4.3499999999999996</v>
      </c>
      <c r="G2062" s="16">
        <f>ROUND(E2062*F2062,2)</f>
        <v>1124.78</v>
      </c>
    </row>
    <row r="2063" spans="1:7" x14ac:dyDescent="0.3">
      <c r="A2063" s="13" t="s">
        <v>550</v>
      </c>
      <c r="B2063" s="13" t="s">
        <v>15</v>
      </c>
      <c r="C2063" s="13" t="s">
        <v>28</v>
      </c>
      <c r="D2063" s="14" t="s">
        <v>551</v>
      </c>
      <c r="E2063" s="15">
        <v>179.96</v>
      </c>
      <c r="F2063" s="15">
        <v>2.98</v>
      </c>
      <c r="G2063" s="16">
        <f>ROUND(E2063*F2063,2)</f>
        <v>536.28</v>
      </c>
    </row>
    <row r="2064" spans="1:7" x14ac:dyDescent="0.3">
      <c r="A2064" s="13" t="s">
        <v>234</v>
      </c>
      <c r="B2064" s="13" t="s">
        <v>15</v>
      </c>
      <c r="C2064" s="13" t="s">
        <v>28</v>
      </c>
      <c r="D2064" s="14" t="s">
        <v>235</v>
      </c>
      <c r="E2064" s="15">
        <v>55.86</v>
      </c>
      <c r="F2064" s="15">
        <v>3.07</v>
      </c>
      <c r="G2064" s="16">
        <f>ROUND(E2064*F2064,2)</f>
        <v>171.49</v>
      </c>
    </row>
    <row r="2065" spans="1:7" x14ac:dyDescent="0.3">
      <c r="A2065" s="13" t="s">
        <v>236</v>
      </c>
      <c r="B2065" s="13" t="s">
        <v>15</v>
      </c>
      <c r="C2065" s="13" t="s">
        <v>28</v>
      </c>
      <c r="D2065" s="14" t="s">
        <v>237</v>
      </c>
      <c r="E2065" s="15">
        <v>0</v>
      </c>
      <c r="F2065" s="15">
        <v>4.22</v>
      </c>
      <c r="G2065" s="16">
        <f>ROUND(E2065*F2065,2)</f>
        <v>0</v>
      </c>
    </row>
    <row r="2066" spans="1:7" x14ac:dyDescent="0.3">
      <c r="A2066" s="13" t="s">
        <v>238</v>
      </c>
      <c r="B2066" s="13" t="s">
        <v>15</v>
      </c>
      <c r="C2066" s="13" t="s">
        <v>28</v>
      </c>
      <c r="D2066" s="14" t="s">
        <v>239</v>
      </c>
      <c r="E2066" s="15">
        <v>0</v>
      </c>
      <c r="F2066" s="15">
        <v>13.9</v>
      </c>
      <c r="G2066" s="16">
        <f>ROUND(E2066*F2066,2)</f>
        <v>0</v>
      </c>
    </row>
    <row r="2067" spans="1:7" x14ac:dyDescent="0.3">
      <c r="A2067" s="13" t="s">
        <v>240</v>
      </c>
      <c r="B2067" s="13" t="s">
        <v>15</v>
      </c>
      <c r="C2067" s="13" t="s">
        <v>28</v>
      </c>
      <c r="D2067" s="14" t="s">
        <v>241</v>
      </c>
      <c r="E2067" s="15">
        <v>0</v>
      </c>
      <c r="F2067" s="15">
        <v>15.59</v>
      </c>
      <c r="G2067" s="16">
        <f>ROUND(E2067*F2067,2)</f>
        <v>0</v>
      </c>
    </row>
    <row r="2068" spans="1:7" ht="31.2" x14ac:dyDescent="0.3">
      <c r="A2068" s="13" t="s">
        <v>242</v>
      </c>
      <c r="B2068" s="13" t="s">
        <v>15</v>
      </c>
      <c r="C2068" s="13" t="s">
        <v>16</v>
      </c>
      <c r="D2068" s="14" t="s">
        <v>243</v>
      </c>
      <c r="E2068" s="15">
        <v>1</v>
      </c>
      <c r="F2068" s="15">
        <v>793.65</v>
      </c>
      <c r="G2068" s="16">
        <f>ROUND(E2068*F2068,2)</f>
        <v>793.65</v>
      </c>
    </row>
    <row r="2069" spans="1:7" x14ac:dyDescent="0.3">
      <c r="A2069" s="13" t="s">
        <v>244</v>
      </c>
      <c r="B2069" s="13" t="s">
        <v>15</v>
      </c>
      <c r="C2069" s="13" t="s">
        <v>215</v>
      </c>
      <c r="D2069" s="14" t="s">
        <v>245</v>
      </c>
      <c r="E2069" s="15">
        <v>0</v>
      </c>
      <c r="F2069" s="15">
        <v>13.5</v>
      </c>
      <c r="G2069" s="16">
        <f>ROUND(E2069*F2069,2)</f>
        <v>0</v>
      </c>
    </row>
    <row r="2070" spans="1:7" x14ac:dyDescent="0.3">
      <c r="A2070" s="13" t="s">
        <v>552</v>
      </c>
      <c r="B2070" s="13" t="s">
        <v>15</v>
      </c>
      <c r="C2070" s="13" t="s">
        <v>215</v>
      </c>
      <c r="D2070" s="14" t="s">
        <v>553</v>
      </c>
      <c r="E2070" s="15">
        <v>1</v>
      </c>
      <c r="F2070" s="15">
        <v>23.11</v>
      </c>
      <c r="G2070" s="16">
        <f>ROUND(E2070*F2070,2)</f>
        <v>23.11</v>
      </c>
    </row>
    <row r="2071" spans="1:7" x14ac:dyDescent="0.3">
      <c r="A2071" s="13" t="s">
        <v>554</v>
      </c>
      <c r="B2071" s="13" t="s">
        <v>15</v>
      </c>
      <c r="C2071" s="13" t="s">
        <v>215</v>
      </c>
      <c r="D2071" s="14" t="s">
        <v>555</v>
      </c>
      <c r="E2071" s="15">
        <v>5</v>
      </c>
      <c r="F2071" s="15">
        <v>30.9</v>
      </c>
      <c r="G2071" s="16">
        <f>ROUND(E2071*F2071,2)</f>
        <v>154.5</v>
      </c>
    </row>
    <row r="2072" spans="1:7" x14ac:dyDescent="0.3">
      <c r="A2072" s="13" t="s">
        <v>246</v>
      </c>
      <c r="B2072" s="13" t="s">
        <v>15</v>
      </c>
      <c r="C2072" s="13" t="s">
        <v>215</v>
      </c>
      <c r="D2072" s="14" t="s">
        <v>247</v>
      </c>
      <c r="E2072" s="15">
        <v>1</v>
      </c>
      <c r="F2072" s="15">
        <v>57.31</v>
      </c>
      <c r="G2072" s="16">
        <f>ROUND(E2072*F2072,2)</f>
        <v>57.31</v>
      </c>
    </row>
    <row r="2073" spans="1:7" x14ac:dyDescent="0.3">
      <c r="A2073" s="17"/>
      <c r="B2073" s="17"/>
      <c r="C2073" s="17"/>
      <c r="D2073" s="18" t="s">
        <v>735</v>
      </c>
      <c r="E2073" s="15">
        <v>1</v>
      </c>
      <c r="F2073" s="12">
        <f>SUM(G2061:G2072)</f>
        <v>3352.4</v>
      </c>
      <c r="G2073" s="12">
        <f>ROUND(F2073*E2073,2)</f>
        <v>3352.4</v>
      </c>
    </row>
    <row r="2074" spans="1:7" ht="1.05" customHeight="1" x14ac:dyDescent="0.3">
      <c r="A2074" s="20"/>
      <c r="B2074" s="20"/>
      <c r="C2074" s="20"/>
      <c r="D2074" s="21"/>
      <c r="E2074" s="20"/>
      <c r="F2074" s="20"/>
      <c r="G2074" s="20"/>
    </row>
    <row r="2075" spans="1:7" ht="31.2" x14ac:dyDescent="0.3">
      <c r="A2075" s="22" t="s">
        <v>736</v>
      </c>
      <c r="B2075" s="22" t="s">
        <v>11</v>
      </c>
      <c r="C2075" s="22" t="s">
        <v>12</v>
      </c>
      <c r="D2075" s="23" t="s">
        <v>250</v>
      </c>
      <c r="E2075" s="12">
        <f>E2086</f>
        <v>1</v>
      </c>
      <c r="F2075" s="12">
        <f>F2086</f>
        <v>4725.8200000000006</v>
      </c>
      <c r="G2075" s="12">
        <f>G2086</f>
        <v>4725.82</v>
      </c>
    </row>
    <row r="2076" spans="1:7" x14ac:dyDescent="0.3">
      <c r="A2076" s="13" t="s">
        <v>230</v>
      </c>
      <c r="B2076" s="13" t="s">
        <v>15</v>
      </c>
      <c r="C2076" s="13" t="s">
        <v>28</v>
      </c>
      <c r="D2076" s="14" t="s">
        <v>231</v>
      </c>
      <c r="E2076" s="15">
        <v>205.42</v>
      </c>
      <c r="F2076" s="15">
        <v>1.9</v>
      </c>
      <c r="G2076" s="16">
        <f>ROUND(E2076*F2076,2)</f>
        <v>390.3</v>
      </c>
    </row>
    <row r="2077" spans="1:7" x14ac:dyDescent="0.3">
      <c r="A2077" s="13" t="s">
        <v>558</v>
      </c>
      <c r="B2077" s="13" t="s">
        <v>15</v>
      </c>
      <c r="C2077" s="13" t="s">
        <v>28</v>
      </c>
      <c r="D2077" s="14" t="s">
        <v>559</v>
      </c>
      <c r="E2077" s="15">
        <v>29.68</v>
      </c>
      <c r="F2077" s="15">
        <v>9.15</v>
      </c>
      <c r="G2077" s="16">
        <f>ROUND(E2077*F2077,2)</f>
        <v>271.57</v>
      </c>
    </row>
    <row r="2078" spans="1:7" x14ac:dyDescent="0.3">
      <c r="A2078" s="13" t="s">
        <v>393</v>
      </c>
      <c r="B2078" s="13" t="s">
        <v>15</v>
      </c>
      <c r="C2078" s="13" t="s">
        <v>28</v>
      </c>
      <c r="D2078" s="14" t="s">
        <v>394</v>
      </c>
      <c r="E2078" s="15">
        <v>10.68</v>
      </c>
      <c r="F2078" s="15">
        <v>10.02</v>
      </c>
      <c r="G2078" s="16">
        <f>ROUND(E2078*F2078,2)</f>
        <v>107.01</v>
      </c>
    </row>
    <row r="2079" spans="1:7" x14ac:dyDescent="0.3">
      <c r="A2079" s="13" t="s">
        <v>395</v>
      </c>
      <c r="B2079" s="13" t="s">
        <v>15</v>
      </c>
      <c r="C2079" s="13" t="s">
        <v>28</v>
      </c>
      <c r="D2079" s="14" t="s">
        <v>396</v>
      </c>
      <c r="E2079" s="15">
        <v>29.85</v>
      </c>
      <c r="F2079" s="15">
        <v>11.7</v>
      </c>
      <c r="G2079" s="16">
        <f>ROUND(E2079*F2079,2)</f>
        <v>349.25</v>
      </c>
    </row>
    <row r="2080" spans="1:7" x14ac:dyDescent="0.3">
      <c r="A2080" s="13" t="s">
        <v>397</v>
      </c>
      <c r="B2080" s="13" t="s">
        <v>15</v>
      </c>
      <c r="C2080" s="13" t="s">
        <v>28</v>
      </c>
      <c r="D2080" s="14" t="s">
        <v>398</v>
      </c>
      <c r="E2080" s="15">
        <v>11.71</v>
      </c>
      <c r="F2080" s="15">
        <v>16.88</v>
      </c>
      <c r="G2080" s="16">
        <f>ROUND(E2080*F2080,2)</f>
        <v>197.66</v>
      </c>
    </row>
    <row r="2081" spans="1:7" ht="31.2" x14ac:dyDescent="0.3">
      <c r="A2081" s="13" t="s">
        <v>261</v>
      </c>
      <c r="B2081" s="13" t="s">
        <v>15</v>
      </c>
      <c r="C2081" s="13" t="s">
        <v>16</v>
      </c>
      <c r="D2081" s="14" t="s">
        <v>262</v>
      </c>
      <c r="E2081" s="15">
        <v>0.75</v>
      </c>
      <c r="F2081" s="15">
        <v>1031.75</v>
      </c>
      <c r="G2081" s="16">
        <f>ROUND(E2081*F2081,2)</f>
        <v>773.81</v>
      </c>
    </row>
    <row r="2082" spans="1:7" x14ac:dyDescent="0.3">
      <c r="A2082" s="13" t="s">
        <v>399</v>
      </c>
      <c r="B2082" s="13" t="s">
        <v>15</v>
      </c>
      <c r="C2082" s="13" t="s">
        <v>215</v>
      </c>
      <c r="D2082" s="14" t="s">
        <v>400</v>
      </c>
      <c r="E2082" s="15">
        <v>6</v>
      </c>
      <c r="F2082" s="15">
        <v>30.14</v>
      </c>
      <c r="G2082" s="16">
        <f>ROUND(E2082*F2082,2)</f>
        <v>180.84</v>
      </c>
    </row>
    <row r="2083" spans="1:7" ht="31.2" x14ac:dyDescent="0.3">
      <c r="A2083" s="13" t="s">
        <v>265</v>
      </c>
      <c r="B2083" s="13" t="s">
        <v>15</v>
      </c>
      <c r="C2083" s="13" t="s">
        <v>215</v>
      </c>
      <c r="D2083" s="14" t="s">
        <v>266</v>
      </c>
      <c r="E2083" s="15">
        <v>22</v>
      </c>
      <c r="F2083" s="15">
        <v>32.25</v>
      </c>
      <c r="G2083" s="16">
        <f>ROUND(E2083*F2083,2)</f>
        <v>709.5</v>
      </c>
    </row>
    <row r="2084" spans="1:7" ht="31.2" x14ac:dyDescent="0.3">
      <c r="A2084" s="13" t="s">
        <v>267</v>
      </c>
      <c r="B2084" s="13" t="s">
        <v>15</v>
      </c>
      <c r="C2084" s="13" t="s">
        <v>215</v>
      </c>
      <c r="D2084" s="14" t="s">
        <v>268</v>
      </c>
      <c r="E2084" s="15">
        <v>10</v>
      </c>
      <c r="F2084" s="15">
        <v>44.38</v>
      </c>
      <c r="G2084" s="16">
        <f>ROUND(E2084*F2084,2)</f>
        <v>443.8</v>
      </c>
    </row>
    <row r="2085" spans="1:7" x14ac:dyDescent="0.3">
      <c r="A2085" s="13" t="s">
        <v>401</v>
      </c>
      <c r="B2085" s="13" t="s">
        <v>15</v>
      </c>
      <c r="C2085" s="13" t="s">
        <v>215</v>
      </c>
      <c r="D2085" s="14" t="s">
        <v>402</v>
      </c>
      <c r="E2085" s="15">
        <v>16</v>
      </c>
      <c r="F2085" s="15">
        <v>81.38</v>
      </c>
      <c r="G2085" s="16">
        <f>ROUND(E2085*F2085,2)</f>
        <v>1302.08</v>
      </c>
    </row>
    <row r="2086" spans="1:7" x14ac:dyDescent="0.3">
      <c r="A2086" s="17"/>
      <c r="B2086" s="17"/>
      <c r="C2086" s="17"/>
      <c r="D2086" s="18" t="s">
        <v>737</v>
      </c>
      <c r="E2086" s="15">
        <v>1</v>
      </c>
      <c r="F2086" s="12">
        <f>SUM(G2076:G2085)</f>
        <v>4725.8200000000006</v>
      </c>
      <c r="G2086" s="12">
        <f>ROUND(F2086*E2086,2)</f>
        <v>4725.82</v>
      </c>
    </row>
    <row r="2087" spans="1:7" ht="1.05" customHeight="1" x14ac:dyDescent="0.3">
      <c r="A2087" s="20"/>
      <c r="B2087" s="20"/>
      <c r="C2087" s="20"/>
      <c r="D2087" s="21"/>
      <c r="E2087" s="20"/>
      <c r="F2087" s="20"/>
      <c r="G2087" s="20"/>
    </row>
    <row r="2088" spans="1:7" x14ac:dyDescent="0.3">
      <c r="A2088" s="22" t="s">
        <v>738</v>
      </c>
      <c r="B2088" s="22" t="s">
        <v>11</v>
      </c>
      <c r="C2088" s="22" t="s">
        <v>12</v>
      </c>
      <c r="D2088" s="23" t="s">
        <v>275</v>
      </c>
      <c r="E2088" s="12">
        <f>E2092</f>
        <v>1</v>
      </c>
      <c r="F2088" s="12">
        <f>F2092</f>
        <v>2310.96</v>
      </c>
      <c r="G2088" s="12">
        <f>G2092</f>
        <v>2310.96</v>
      </c>
    </row>
    <row r="2089" spans="1:7" ht="31.2" x14ac:dyDescent="0.3">
      <c r="A2089" s="13" t="s">
        <v>276</v>
      </c>
      <c r="B2089" s="13" t="s">
        <v>15</v>
      </c>
      <c r="C2089" s="13" t="s">
        <v>28</v>
      </c>
      <c r="D2089" s="14" t="s">
        <v>277</v>
      </c>
      <c r="E2089" s="15">
        <v>3.25</v>
      </c>
      <c r="F2089" s="15">
        <v>27.3</v>
      </c>
      <c r="G2089" s="16">
        <f>ROUND(E2089*F2089,2)</f>
        <v>88.73</v>
      </c>
    </row>
    <row r="2090" spans="1:7" x14ac:dyDescent="0.3">
      <c r="A2090" s="13" t="s">
        <v>278</v>
      </c>
      <c r="B2090" s="13" t="s">
        <v>15</v>
      </c>
      <c r="C2090" s="13" t="s">
        <v>215</v>
      </c>
      <c r="D2090" s="14" t="s">
        <v>279</v>
      </c>
      <c r="E2090" s="15">
        <v>1</v>
      </c>
      <c r="F2090" s="15">
        <v>1666.67</v>
      </c>
      <c r="G2090" s="16">
        <f>ROUND(E2090*F2090,2)</f>
        <v>1666.67</v>
      </c>
    </row>
    <row r="2091" spans="1:7" ht="31.2" x14ac:dyDescent="0.3">
      <c r="A2091" s="13" t="s">
        <v>280</v>
      </c>
      <c r="B2091" s="13" t="s">
        <v>15</v>
      </c>
      <c r="C2091" s="13" t="s">
        <v>215</v>
      </c>
      <c r="D2091" s="14" t="s">
        <v>281</v>
      </c>
      <c r="E2091" s="15">
        <v>1</v>
      </c>
      <c r="F2091" s="15">
        <v>555.55999999999995</v>
      </c>
      <c r="G2091" s="16">
        <f>ROUND(E2091*F2091,2)</f>
        <v>555.55999999999995</v>
      </c>
    </row>
    <row r="2092" spans="1:7" x14ac:dyDescent="0.3">
      <c r="A2092" s="17"/>
      <c r="B2092" s="17"/>
      <c r="C2092" s="17"/>
      <c r="D2092" s="18" t="s">
        <v>739</v>
      </c>
      <c r="E2092" s="15">
        <v>1</v>
      </c>
      <c r="F2092" s="12">
        <f>SUM(G2089:G2091)</f>
        <v>2310.96</v>
      </c>
      <c r="G2092" s="12">
        <f>ROUND(F2092*E2092,2)</f>
        <v>2310.96</v>
      </c>
    </row>
    <row r="2093" spans="1:7" ht="1.05" customHeight="1" x14ac:dyDescent="0.3">
      <c r="A2093" s="20"/>
      <c r="B2093" s="20"/>
      <c r="C2093" s="20"/>
      <c r="D2093" s="21"/>
      <c r="E2093" s="20"/>
      <c r="F2093" s="20"/>
      <c r="G2093" s="20"/>
    </row>
    <row r="2094" spans="1:7" x14ac:dyDescent="0.3">
      <c r="A2094" s="22" t="s">
        <v>740</v>
      </c>
      <c r="B2094" s="22" t="s">
        <v>11</v>
      </c>
      <c r="C2094" s="22" t="s">
        <v>12</v>
      </c>
      <c r="D2094" s="23" t="s">
        <v>407</v>
      </c>
      <c r="E2094" s="12">
        <f>E2102</f>
        <v>1</v>
      </c>
      <c r="F2094" s="12">
        <f>F2102</f>
        <v>14943.009999999998</v>
      </c>
      <c r="G2094" s="12">
        <f>G2102</f>
        <v>14943.01</v>
      </c>
    </row>
    <row r="2095" spans="1:7" ht="31.2" x14ac:dyDescent="0.3">
      <c r="A2095" s="13" t="s">
        <v>564</v>
      </c>
      <c r="B2095" s="13" t="s">
        <v>15</v>
      </c>
      <c r="C2095" s="13" t="s">
        <v>215</v>
      </c>
      <c r="D2095" s="14" t="s">
        <v>565</v>
      </c>
      <c r="E2095" s="15">
        <v>10</v>
      </c>
      <c r="F2095" s="15">
        <v>348.85</v>
      </c>
      <c r="G2095" s="16">
        <f>ROUND(E2095*F2095,2)</f>
        <v>3488.5</v>
      </c>
    </row>
    <row r="2096" spans="1:7" ht="31.2" x14ac:dyDescent="0.3">
      <c r="A2096" s="13" t="s">
        <v>566</v>
      </c>
      <c r="B2096" s="13" t="s">
        <v>15</v>
      </c>
      <c r="C2096" s="13" t="s">
        <v>215</v>
      </c>
      <c r="D2096" s="14" t="s">
        <v>567</v>
      </c>
      <c r="E2096" s="15">
        <v>7</v>
      </c>
      <c r="F2096" s="15">
        <v>365.25</v>
      </c>
      <c r="G2096" s="16">
        <f>ROUND(E2096*F2096,2)</f>
        <v>2556.75</v>
      </c>
    </row>
    <row r="2097" spans="1:7" x14ac:dyDescent="0.3">
      <c r="A2097" s="13" t="s">
        <v>568</v>
      </c>
      <c r="B2097" s="13" t="s">
        <v>15</v>
      </c>
      <c r="C2097" s="13" t="s">
        <v>215</v>
      </c>
      <c r="D2097" s="14" t="s">
        <v>569</v>
      </c>
      <c r="E2097" s="15">
        <v>9</v>
      </c>
      <c r="F2097" s="15">
        <v>442.68</v>
      </c>
      <c r="G2097" s="16">
        <f>ROUND(E2097*F2097,2)</f>
        <v>3984.12</v>
      </c>
    </row>
    <row r="2098" spans="1:7" ht="31.2" x14ac:dyDescent="0.3">
      <c r="A2098" s="13" t="s">
        <v>570</v>
      </c>
      <c r="B2098" s="13" t="s">
        <v>15</v>
      </c>
      <c r="C2098" s="13" t="s">
        <v>215</v>
      </c>
      <c r="D2098" s="14" t="s">
        <v>571</v>
      </c>
      <c r="E2098" s="15">
        <v>10</v>
      </c>
      <c r="F2098" s="15">
        <v>93.66</v>
      </c>
      <c r="G2098" s="16">
        <f>ROUND(E2098*F2098,2)</f>
        <v>936.6</v>
      </c>
    </row>
    <row r="2099" spans="1:7" ht="31.2" x14ac:dyDescent="0.3">
      <c r="A2099" s="13" t="s">
        <v>572</v>
      </c>
      <c r="B2099" s="13" t="s">
        <v>15</v>
      </c>
      <c r="C2099" s="13" t="s">
        <v>151</v>
      </c>
      <c r="D2099" s="14" t="s">
        <v>573</v>
      </c>
      <c r="E2099" s="15">
        <v>4</v>
      </c>
      <c r="F2099" s="15">
        <v>405.16</v>
      </c>
      <c r="G2099" s="16">
        <f>ROUND(E2099*F2099,2)</f>
        <v>1620.64</v>
      </c>
    </row>
    <row r="2100" spans="1:7" ht="31.2" x14ac:dyDescent="0.3">
      <c r="A2100" s="13" t="s">
        <v>574</v>
      </c>
      <c r="B2100" s="13" t="s">
        <v>15</v>
      </c>
      <c r="C2100" s="13" t="s">
        <v>151</v>
      </c>
      <c r="D2100" s="14" t="s">
        <v>575</v>
      </c>
      <c r="E2100" s="15">
        <v>4</v>
      </c>
      <c r="F2100" s="15">
        <v>295.79000000000002</v>
      </c>
      <c r="G2100" s="16">
        <f>ROUND(E2100*F2100,2)</f>
        <v>1183.1600000000001</v>
      </c>
    </row>
    <row r="2101" spans="1:7" x14ac:dyDescent="0.3">
      <c r="A2101" s="13" t="s">
        <v>576</v>
      </c>
      <c r="B2101" s="13" t="s">
        <v>15</v>
      </c>
      <c r="C2101" s="13" t="s">
        <v>151</v>
      </c>
      <c r="D2101" s="14" t="s">
        <v>577</v>
      </c>
      <c r="E2101" s="15">
        <v>4</v>
      </c>
      <c r="F2101" s="15">
        <v>293.31</v>
      </c>
      <c r="G2101" s="16">
        <f>ROUND(E2101*F2101,2)</f>
        <v>1173.24</v>
      </c>
    </row>
    <row r="2102" spans="1:7" x14ac:dyDescent="0.3">
      <c r="A2102" s="17"/>
      <c r="B2102" s="17"/>
      <c r="C2102" s="17"/>
      <c r="D2102" s="18" t="s">
        <v>741</v>
      </c>
      <c r="E2102" s="15">
        <v>1</v>
      </c>
      <c r="F2102" s="12">
        <f>SUM(G2095:G2101)</f>
        <v>14943.009999999998</v>
      </c>
      <c r="G2102" s="12">
        <f>ROUND(F2102*E2102,2)</f>
        <v>14943.01</v>
      </c>
    </row>
    <row r="2103" spans="1:7" ht="1.05" customHeight="1" x14ac:dyDescent="0.3">
      <c r="A2103" s="20"/>
      <c r="B2103" s="20"/>
      <c r="C2103" s="20"/>
      <c r="D2103" s="21"/>
      <c r="E2103" s="20"/>
      <c r="F2103" s="20"/>
      <c r="G2103" s="20"/>
    </row>
    <row r="2104" spans="1:7" x14ac:dyDescent="0.3">
      <c r="A2104" s="22" t="s">
        <v>742</v>
      </c>
      <c r="B2104" s="22" t="s">
        <v>11</v>
      </c>
      <c r="C2104" s="22" t="s">
        <v>12</v>
      </c>
      <c r="D2104" s="23" t="s">
        <v>165</v>
      </c>
      <c r="E2104" s="12">
        <f>E2107</f>
        <v>1</v>
      </c>
      <c r="F2104" s="12">
        <f>F2107</f>
        <v>1604.09</v>
      </c>
      <c r="G2104" s="12">
        <f>G2107</f>
        <v>1604.09</v>
      </c>
    </row>
    <row r="2105" spans="1:7" x14ac:dyDescent="0.3">
      <c r="A2105" s="13" t="s">
        <v>582</v>
      </c>
      <c r="B2105" s="13" t="s">
        <v>15</v>
      </c>
      <c r="C2105" s="13" t="s">
        <v>151</v>
      </c>
      <c r="D2105" s="14" t="s">
        <v>583</v>
      </c>
      <c r="E2105" s="15">
        <v>7</v>
      </c>
      <c r="F2105" s="15">
        <v>74.39</v>
      </c>
      <c r="G2105" s="16">
        <f>ROUND(E2105*F2105,2)</f>
        <v>520.73</v>
      </c>
    </row>
    <row r="2106" spans="1:7" ht="31.2" x14ac:dyDescent="0.3">
      <c r="A2106" s="13" t="s">
        <v>584</v>
      </c>
      <c r="B2106" s="13" t="s">
        <v>15</v>
      </c>
      <c r="C2106" s="13" t="s">
        <v>215</v>
      </c>
      <c r="D2106" s="14" t="s">
        <v>585</v>
      </c>
      <c r="E2106" s="15">
        <v>4</v>
      </c>
      <c r="F2106" s="15">
        <v>270.83999999999997</v>
      </c>
      <c r="G2106" s="16">
        <f>ROUND(E2106*F2106,2)</f>
        <v>1083.3599999999999</v>
      </c>
    </row>
    <row r="2107" spans="1:7" x14ac:dyDescent="0.3">
      <c r="A2107" s="17"/>
      <c r="B2107" s="17"/>
      <c r="C2107" s="17"/>
      <c r="D2107" s="18" t="s">
        <v>743</v>
      </c>
      <c r="E2107" s="15">
        <v>1</v>
      </c>
      <c r="F2107" s="12">
        <f>SUM(G2105:G2106)</f>
        <v>1604.09</v>
      </c>
      <c r="G2107" s="12">
        <f>ROUND(F2107*E2107,2)</f>
        <v>1604.09</v>
      </c>
    </row>
    <row r="2108" spans="1:7" ht="1.05" customHeight="1" x14ac:dyDescent="0.3">
      <c r="A2108" s="20"/>
      <c r="B2108" s="20"/>
      <c r="C2108" s="20"/>
      <c r="D2108" s="21"/>
      <c r="E2108" s="20"/>
      <c r="F2108" s="20"/>
      <c r="G2108" s="20"/>
    </row>
    <row r="2109" spans="1:7" x14ac:dyDescent="0.3">
      <c r="A2109" s="17"/>
      <c r="B2109" s="17"/>
      <c r="C2109" s="17"/>
      <c r="D2109" s="18" t="s">
        <v>744</v>
      </c>
      <c r="E2109" s="15">
        <v>1</v>
      </c>
      <c r="F2109" s="12">
        <f>G2073+G2086+G2092+G2102+G2107</f>
        <v>26936.280000000002</v>
      </c>
      <c r="G2109" s="12">
        <f>ROUND(F2109*E2109,2)</f>
        <v>26936.28</v>
      </c>
    </row>
    <row r="2110" spans="1:7" ht="1.05" customHeight="1" x14ac:dyDescent="0.3">
      <c r="A2110" s="20"/>
      <c r="B2110" s="20"/>
      <c r="C2110" s="20"/>
      <c r="D2110" s="21"/>
      <c r="E2110" s="20"/>
      <c r="F2110" s="20"/>
      <c r="G2110" s="20"/>
    </row>
    <row r="2111" spans="1:7" x14ac:dyDescent="0.3">
      <c r="A2111" s="22" t="s">
        <v>745</v>
      </c>
      <c r="B2111" s="22" t="s">
        <v>11</v>
      </c>
      <c r="C2111" s="22" t="s">
        <v>12</v>
      </c>
      <c r="D2111" s="23" t="s">
        <v>285</v>
      </c>
      <c r="E2111" s="12">
        <f>E2125</f>
        <v>1</v>
      </c>
      <c r="F2111" s="12">
        <f>F2125</f>
        <v>13118.489999999998</v>
      </c>
      <c r="G2111" s="12">
        <f>G2125</f>
        <v>13118.49</v>
      </c>
    </row>
    <row r="2112" spans="1:7" x14ac:dyDescent="0.3">
      <c r="A2112" s="13" t="s">
        <v>589</v>
      </c>
      <c r="B2112" s="13" t="s">
        <v>15</v>
      </c>
      <c r="C2112" s="13" t="s">
        <v>215</v>
      </c>
      <c r="D2112" s="14" t="s">
        <v>590</v>
      </c>
      <c r="E2112" s="15">
        <v>4</v>
      </c>
      <c r="F2112" s="15">
        <v>51.04</v>
      </c>
      <c r="G2112" s="16">
        <f>ROUND(E2112*F2112,2)</f>
        <v>204.16</v>
      </c>
    </row>
    <row r="2113" spans="1:7" x14ac:dyDescent="0.3">
      <c r="A2113" s="13" t="s">
        <v>591</v>
      </c>
      <c r="B2113" s="13" t="s">
        <v>15</v>
      </c>
      <c r="C2113" s="13" t="s">
        <v>215</v>
      </c>
      <c r="D2113" s="14" t="s">
        <v>592</v>
      </c>
      <c r="E2113" s="15">
        <v>4</v>
      </c>
      <c r="F2113" s="15">
        <v>37.28</v>
      </c>
      <c r="G2113" s="16">
        <f>ROUND(E2113*F2113,2)</f>
        <v>149.12</v>
      </c>
    </row>
    <row r="2114" spans="1:7" x14ac:dyDescent="0.3">
      <c r="A2114" s="13" t="s">
        <v>593</v>
      </c>
      <c r="B2114" s="13" t="s">
        <v>15</v>
      </c>
      <c r="C2114" s="13" t="s">
        <v>215</v>
      </c>
      <c r="D2114" s="14" t="s">
        <v>594</v>
      </c>
      <c r="E2114" s="15">
        <v>4</v>
      </c>
      <c r="F2114" s="15">
        <v>30.48</v>
      </c>
      <c r="G2114" s="16">
        <f>ROUND(E2114*F2114,2)</f>
        <v>121.92</v>
      </c>
    </row>
    <row r="2115" spans="1:7" x14ac:dyDescent="0.3">
      <c r="A2115" s="13" t="s">
        <v>595</v>
      </c>
      <c r="B2115" s="13" t="s">
        <v>15</v>
      </c>
      <c r="C2115" s="13" t="s">
        <v>215</v>
      </c>
      <c r="D2115" s="14" t="s">
        <v>596</v>
      </c>
      <c r="E2115" s="15">
        <v>18</v>
      </c>
      <c r="F2115" s="15">
        <v>31.59</v>
      </c>
      <c r="G2115" s="16">
        <f>ROUND(E2115*F2115,2)</f>
        <v>568.62</v>
      </c>
    </row>
    <row r="2116" spans="1:7" x14ac:dyDescent="0.3">
      <c r="A2116" s="13" t="s">
        <v>296</v>
      </c>
      <c r="B2116" s="13" t="s">
        <v>15</v>
      </c>
      <c r="C2116" s="13" t="s">
        <v>215</v>
      </c>
      <c r="D2116" s="14" t="s">
        <v>297</v>
      </c>
      <c r="E2116" s="15">
        <v>60</v>
      </c>
      <c r="F2116" s="15">
        <v>50.07</v>
      </c>
      <c r="G2116" s="16">
        <f>ROUND(E2116*F2116,2)</f>
        <v>3004.2</v>
      </c>
    </row>
    <row r="2117" spans="1:7" x14ac:dyDescent="0.3">
      <c r="A2117" s="13" t="s">
        <v>298</v>
      </c>
      <c r="B2117" s="13" t="s">
        <v>15</v>
      </c>
      <c r="C2117" s="13" t="s">
        <v>215</v>
      </c>
      <c r="D2117" s="14" t="s">
        <v>299</v>
      </c>
      <c r="E2117" s="15">
        <v>0</v>
      </c>
      <c r="F2117" s="15">
        <v>42.74</v>
      </c>
      <c r="G2117" s="16">
        <f>ROUND(E2117*F2117,2)</f>
        <v>0</v>
      </c>
    </row>
    <row r="2118" spans="1:7" x14ac:dyDescent="0.3">
      <c r="A2118" s="13" t="s">
        <v>300</v>
      </c>
      <c r="B2118" s="13" t="s">
        <v>15</v>
      </c>
      <c r="C2118" s="13" t="s">
        <v>215</v>
      </c>
      <c r="D2118" s="14" t="s">
        <v>301</v>
      </c>
      <c r="E2118" s="15">
        <v>32</v>
      </c>
      <c r="F2118" s="15">
        <v>45.93</v>
      </c>
      <c r="G2118" s="16">
        <f>ROUND(E2118*F2118,2)</f>
        <v>1469.76</v>
      </c>
    </row>
    <row r="2119" spans="1:7" x14ac:dyDescent="0.3">
      <c r="A2119" s="13" t="s">
        <v>302</v>
      </c>
      <c r="B2119" s="13" t="s">
        <v>15</v>
      </c>
      <c r="C2119" s="13" t="s">
        <v>215</v>
      </c>
      <c r="D2119" s="14" t="s">
        <v>303</v>
      </c>
      <c r="E2119" s="15">
        <v>4</v>
      </c>
      <c r="F2119" s="15">
        <v>51.73</v>
      </c>
      <c r="G2119" s="16">
        <f>ROUND(E2119*F2119,2)</f>
        <v>206.92</v>
      </c>
    </row>
    <row r="2120" spans="1:7" x14ac:dyDescent="0.3">
      <c r="A2120" s="13" t="s">
        <v>304</v>
      </c>
      <c r="B2120" s="13" t="s">
        <v>15</v>
      </c>
      <c r="C2120" s="13" t="s">
        <v>215</v>
      </c>
      <c r="D2120" s="14" t="s">
        <v>305</v>
      </c>
      <c r="E2120" s="15">
        <v>5</v>
      </c>
      <c r="F2120" s="15">
        <v>53.67</v>
      </c>
      <c r="G2120" s="16">
        <f>ROUND(E2120*F2120,2)</f>
        <v>268.35000000000002</v>
      </c>
    </row>
    <row r="2121" spans="1:7" ht="31.2" x14ac:dyDescent="0.3">
      <c r="A2121" s="13" t="s">
        <v>306</v>
      </c>
      <c r="B2121" s="13" t="s">
        <v>15</v>
      </c>
      <c r="C2121" s="13" t="s">
        <v>215</v>
      </c>
      <c r="D2121" s="14" t="s">
        <v>307</v>
      </c>
      <c r="E2121" s="15">
        <v>74</v>
      </c>
      <c r="F2121" s="15">
        <v>61.18</v>
      </c>
      <c r="G2121" s="16">
        <f>ROUND(E2121*F2121,2)</f>
        <v>4527.32</v>
      </c>
    </row>
    <row r="2122" spans="1:7" ht="31.2" x14ac:dyDescent="0.3">
      <c r="A2122" s="13" t="s">
        <v>308</v>
      </c>
      <c r="B2122" s="13" t="s">
        <v>15</v>
      </c>
      <c r="C2122" s="13" t="s">
        <v>215</v>
      </c>
      <c r="D2122" s="14" t="s">
        <v>309</v>
      </c>
      <c r="E2122" s="15">
        <v>10</v>
      </c>
      <c r="F2122" s="15">
        <v>84.28</v>
      </c>
      <c r="G2122" s="16">
        <f>ROUND(E2122*F2122,2)</f>
        <v>842.8</v>
      </c>
    </row>
    <row r="2123" spans="1:7" x14ac:dyDescent="0.3">
      <c r="A2123" s="13" t="s">
        <v>314</v>
      </c>
      <c r="B2123" s="13" t="s">
        <v>15</v>
      </c>
      <c r="C2123" s="13" t="s">
        <v>215</v>
      </c>
      <c r="D2123" s="14" t="s">
        <v>315</v>
      </c>
      <c r="E2123" s="15">
        <v>0</v>
      </c>
      <c r="F2123" s="15">
        <v>55.56</v>
      </c>
      <c r="G2123" s="16">
        <f>ROUND(E2123*F2123,2)</f>
        <v>0</v>
      </c>
    </row>
    <row r="2124" spans="1:7" x14ac:dyDescent="0.3">
      <c r="A2124" s="13" t="s">
        <v>415</v>
      </c>
      <c r="B2124" s="13" t="s">
        <v>15</v>
      </c>
      <c r="C2124" s="13" t="s">
        <v>215</v>
      </c>
      <c r="D2124" s="14" t="s">
        <v>416</v>
      </c>
      <c r="E2124" s="15">
        <v>4</v>
      </c>
      <c r="F2124" s="15">
        <v>438.83</v>
      </c>
      <c r="G2124" s="16">
        <f>ROUND(E2124*F2124,2)</f>
        <v>1755.32</v>
      </c>
    </row>
    <row r="2125" spans="1:7" x14ac:dyDescent="0.3">
      <c r="A2125" s="17"/>
      <c r="B2125" s="17"/>
      <c r="C2125" s="17"/>
      <c r="D2125" s="18" t="s">
        <v>746</v>
      </c>
      <c r="E2125" s="15">
        <v>1</v>
      </c>
      <c r="F2125" s="12">
        <f>SUM(G2112:G2124)</f>
        <v>13118.489999999998</v>
      </c>
      <c r="G2125" s="12">
        <f>ROUND(F2125*E2125,2)</f>
        <v>13118.49</v>
      </c>
    </row>
    <row r="2126" spans="1:7" ht="1.05" customHeight="1" x14ac:dyDescent="0.3">
      <c r="A2126" s="20"/>
      <c r="B2126" s="20"/>
      <c r="C2126" s="20"/>
      <c r="D2126" s="21"/>
      <c r="E2126" s="20"/>
      <c r="F2126" s="20"/>
      <c r="G2126" s="20"/>
    </row>
    <row r="2127" spans="1:7" x14ac:dyDescent="0.3">
      <c r="A2127" s="17"/>
      <c r="B2127" s="17"/>
      <c r="C2127" s="17"/>
      <c r="D2127" s="18" t="s">
        <v>747</v>
      </c>
      <c r="E2127" s="19">
        <v>1</v>
      </c>
      <c r="F2127" s="12">
        <f>G1993+G1998+G2009+G2014+G2018+G2023+G2031+G2035+G2042+G2048+G2057+G2109+G2125</f>
        <v>259622.23</v>
      </c>
      <c r="G2127" s="12">
        <f>ROUND(F2127*E2127,2)</f>
        <v>259622.23</v>
      </c>
    </row>
    <row r="2128" spans="1:7" ht="1.05" customHeight="1" x14ac:dyDescent="0.3">
      <c r="A2128" s="20"/>
      <c r="B2128" s="20"/>
      <c r="C2128" s="20"/>
      <c r="D2128" s="21"/>
      <c r="E2128" s="20"/>
      <c r="F2128" s="20"/>
      <c r="G2128" s="20"/>
    </row>
    <row r="2129" spans="1:7" x14ac:dyDescent="0.3">
      <c r="A2129" s="9" t="s">
        <v>748</v>
      </c>
      <c r="B2129" s="9" t="s">
        <v>11</v>
      </c>
      <c r="C2129" s="9" t="s">
        <v>12</v>
      </c>
      <c r="D2129" s="10" t="s">
        <v>749</v>
      </c>
      <c r="E2129" s="11">
        <f>E2287</f>
        <v>1</v>
      </c>
      <c r="F2129" s="12">
        <f>F2287</f>
        <v>212471.54</v>
      </c>
      <c r="G2129" s="12">
        <f>G2287</f>
        <v>212471.54</v>
      </c>
    </row>
    <row r="2130" spans="1:7" x14ac:dyDescent="0.3">
      <c r="A2130" s="22" t="s">
        <v>750</v>
      </c>
      <c r="B2130" s="22" t="s">
        <v>11</v>
      </c>
      <c r="C2130" s="22" t="s">
        <v>12</v>
      </c>
      <c r="D2130" s="23" t="s">
        <v>57</v>
      </c>
      <c r="E2130" s="12">
        <f>E2150</f>
        <v>1</v>
      </c>
      <c r="F2130" s="12">
        <f>F2150</f>
        <v>64098.429999999993</v>
      </c>
      <c r="G2130" s="12">
        <f>G2150</f>
        <v>64098.43</v>
      </c>
    </row>
    <row r="2131" spans="1:7" x14ac:dyDescent="0.3">
      <c r="A2131" s="13" t="s">
        <v>81</v>
      </c>
      <c r="B2131" s="13" t="s">
        <v>15</v>
      </c>
      <c r="C2131" s="13" t="s">
        <v>60</v>
      </c>
      <c r="D2131" s="14" t="s">
        <v>82</v>
      </c>
      <c r="E2131" s="15">
        <v>8.18</v>
      </c>
      <c r="F2131" s="15">
        <v>572.66999999999996</v>
      </c>
      <c r="G2131" s="16">
        <f>ROUND(E2131*F2131,2)</f>
        <v>4684.4399999999996</v>
      </c>
    </row>
    <row r="2132" spans="1:7" x14ac:dyDescent="0.3">
      <c r="A2132" s="13" t="s">
        <v>83</v>
      </c>
      <c r="B2132" s="13" t="s">
        <v>15</v>
      </c>
      <c r="C2132" s="13" t="s">
        <v>60</v>
      </c>
      <c r="D2132" s="14" t="s">
        <v>84</v>
      </c>
      <c r="E2132" s="15">
        <v>4.0599999999999996</v>
      </c>
      <c r="F2132" s="15">
        <v>545.57000000000005</v>
      </c>
      <c r="G2132" s="16">
        <f>ROUND(E2132*F2132,2)</f>
        <v>2215.0100000000002</v>
      </c>
    </row>
    <row r="2133" spans="1:7" ht="31.2" x14ac:dyDescent="0.3">
      <c r="A2133" s="13" t="s">
        <v>97</v>
      </c>
      <c r="B2133" s="13" t="s">
        <v>15</v>
      </c>
      <c r="C2133" s="13" t="s">
        <v>60</v>
      </c>
      <c r="D2133" s="14" t="s">
        <v>98</v>
      </c>
      <c r="E2133" s="15">
        <v>0</v>
      </c>
      <c r="F2133" s="15">
        <v>1055.26</v>
      </c>
      <c r="G2133" s="16">
        <f>ROUND(E2133*F2133,2)</f>
        <v>0</v>
      </c>
    </row>
    <row r="2134" spans="1:7" ht="31.2" x14ac:dyDescent="0.3">
      <c r="A2134" s="13" t="s">
        <v>99</v>
      </c>
      <c r="B2134" s="13" t="s">
        <v>15</v>
      </c>
      <c r="C2134" s="13" t="s">
        <v>60</v>
      </c>
      <c r="D2134" s="14" t="s">
        <v>100</v>
      </c>
      <c r="E2134" s="15">
        <v>5.18</v>
      </c>
      <c r="F2134" s="15">
        <v>779.5</v>
      </c>
      <c r="G2134" s="16">
        <f>ROUND(E2134*F2134,2)</f>
        <v>4037.81</v>
      </c>
    </row>
    <row r="2135" spans="1:7" ht="31.2" x14ac:dyDescent="0.3">
      <c r="A2135" s="13" t="s">
        <v>660</v>
      </c>
      <c r="B2135" s="13" t="s">
        <v>15</v>
      </c>
      <c r="C2135" s="13" t="s">
        <v>60</v>
      </c>
      <c r="D2135" s="14" t="s">
        <v>661</v>
      </c>
      <c r="E2135" s="15">
        <v>6.48</v>
      </c>
      <c r="F2135" s="15">
        <v>858.05</v>
      </c>
      <c r="G2135" s="16">
        <f>ROUND(E2135*F2135,2)</f>
        <v>5560.16</v>
      </c>
    </row>
    <row r="2136" spans="1:7" ht="31.2" x14ac:dyDescent="0.3">
      <c r="A2136" s="13" t="s">
        <v>662</v>
      </c>
      <c r="B2136" s="13" t="s">
        <v>15</v>
      </c>
      <c r="C2136" s="13" t="s">
        <v>60</v>
      </c>
      <c r="D2136" s="14" t="s">
        <v>663</v>
      </c>
      <c r="E2136" s="15">
        <v>4.8600000000000003</v>
      </c>
      <c r="F2136" s="15">
        <v>714.24</v>
      </c>
      <c r="G2136" s="16">
        <f>ROUND(E2136*F2136,2)</f>
        <v>3471.21</v>
      </c>
    </row>
    <row r="2137" spans="1:7" x14ac:dyDescent="0.3">
      <c r="A2137" s="13" t="s">
        <v>105</v>
      </c>
      <c r="B2137" s="13" t="s">
        <v>15</v>
      </c>
      <c r="C2137" s="13" t="s">
        <v>60</v>
      </c>
      <c r="D2137" s="14" t="s">
        <v>106</v>
      </c>
      <c r="E2137" s="15">
        <v>0</v>
      </c>
      <c r="F2137" s="15">
        <v>476.95</v>
      </c>
      <c r="G2137" s="16">
        <f>ROUND(E2137*F2137,2)</f>
        <v>0</v>
      </c>
    </row>
    <row r="2138" spans="1:7" x14ac:dyDescent="0.3">
      <c r="A2138" s="13" t="s">
        <v>321</v>
      </c>
      <c r="B2138" s="13" t="s">
        <v>15</v>
      </c>
      <c r="C2138" s="13" t="s">
        <v>60</v>
      </c>
      <c r="D2138" s="14" t="s">
        <v>322</v>
      </c>
      <c r="E2138" s="15">
        <v>3.43</v>
      </c>
      <c r="F2138" s="15">
        <v>713.28</v>
      </c>
      <c r="G2138" s="16">
        <f>ROUND(E2138*F2138,2)</f>
        <v>2446.5500000000002</v>
      </c>
    </row>
    <row r="2139" spans="1:7" x14ac:dyDescent="0.3">
      <c r="A2139" s="13" t="s">
        <v>323</v>
      </c>
      <c r="B2139" s="13" t="s">
        <v>15</v>
      </c>
      <c r="C2139" s="13" t="s">
        <v>60</v>
      </c>
      <c r="D2139" s="14" t="s">
        <v>324</v>
      </c>
      <c r="E2139" s="15">
        <v>3.02</v>
      </c>
      <c r="F2139" s="15">
        <v>702.51</v>
      </c>
      <c r="G2139" s="16">
        <f>ROUND(E2139*F2139,2)</f>
        <v>2121.58</v>
      </c>
    </row>
    <row r="2140" spans="1:7" x14ac:dyDescent="0.3">
      <c r="A2140" s="13" t="s">
        <v>325</v>
      </c>
      <c r="B2140" s="13" t="s">
        <v>15</v>
      </c>
      <c r="C2140" s="13" t="s">
        <v>60</v>
      </c>
      <c r="D2140" s="14" t="s">
        <v>326</v>
      </c>
      <c r="E2140" s="15">
        <v>3.02</v>
      </c>
      <c r="F2140" s="15">
        <v>680.27</v>
      </c>
      <c r="G2140" s="16">
        <f>ROUND(E2140*F2140,2)</f>
        <v>2054.42</v>
      </c>
    </row>
    <row r="2141" spans="1:7" x14ac:dyDescent="0.3">
      <c r="A2141" s="13" t="s">
        <v>327</v>
      </c>
      <c r="B2141" s="13" t="s">
        <v>15</v>
      </c>
      <c r="C2141" s="13" t="s">
        <v>60</v>
      </c>
      <c r="D2141" s="14" t="s">
        <v>328</v>
      </c>
      <c r="E2141" s="15">
        <v>3.53</v>
      </c>
      <c r="F2141" s="15">
        <v>693.2</v>
      </c>
      <c r="G2141" s="16">
        <f>ROUND(E2141*F2141,2)</f>
        <v>2447</v>
      </c>
    </row>
    <row r="2142" spans="1:7" x14ac:dyDescent="0.3">
      <c r="A2142" s="13" t="s">
        <v>329</v>
      </c>
      <c r="B2142" s="13" t="s">
        <v>15</v>
      </c>
      <c r="C2142" s="13" t="s">
        <v>60</v>
      </c>
      <c r="D2142" s="14" t="s">
        <v>330</v>
      </c>
      <c r="E2142" s="15">
        <v>3.59</v>
      </c>
      <c r="F2142" s="15">
        <v>693.4</v>
      </c>
      <c r="G2142" s="16">
        <f>ROUND(E2142*F2142,2)</f>
        <v>2489.31</v>
      </c>
    </row>
    <row r="2143" spans="1:7" x14ac:dyDescent="0.3">
      <c r="A2143" s="13" t="s">
        <v>751</v>
      </c>
      <c r="B2143" s="13" t="s">
        <v>15</v>
      </c>
      <c r="C2143" s="13" t="s">
        <v>60</v>
      </c>
      <c r="D2143" s="14" t="s">
        <v>752</v>
      </c>
      <c r="E2143" s="15">
        <v>7.7</v>
      </c>
      <c r="F2143" s="15">
        <v>648.16</v>
      </c>
      <c r="G2143" s="16">
        <f>ROUND(E2143*F2143,2)</f>
        <v>4990.83</v>
      </c>
    </row>
    <row r="2144" spans="1:7" x14ac:dyDescent="0.3">
      <c r="A2144" s="13" t="s">
        <v>331</v>
      </c>
      <c r="B2144" s="13" t="s">
        <v>15</v>
      </c>
      <c r="C2144" s="13" t="s">
        <v>60</v>
      </c>
      <c r="D2144" s="14" t="s">
        <v>332</v>
      </c>
      <c r="E2144" s="15">
        <v>3.39</v>
      </c>
      <c r="F2144" s="15">
        <v>700.15</v>
      </c>
      <c r="G2144" s="16">
        <f>ROUND(E2144*F2144,2)</f>
        <v>2373.5100000000002</v>
      </c>
    </row>
    <row r="2145" spans="1:7" x14ac:dyDescent="0.3">
      <c r="A2145" s="13" t="s">
        <v>604</v>
      </c>
      <c r="B2145" s="13" t="s">
        <v>15</v>
      </c>
      <c r="C2145" s="13" t="s">
        <v>60</v>
      </c>
      <c r="D2145" s="14" t="s">
        <v>605</v>
      </c>
      <c r="E2145" s="15">
        <v>1.81</v>
      </c>
      <c r="F2145" s="15">
        <v>646.07000000000005</v>
      </c>
      <c r="G2145" s="16">
        <f>ROUND(E2145*F2145,2)</f>
        <v>1169.3900000000001</v>
      </c>
    </row>
    <row r="2146" spans="1:7" x14ac:dyDescent="0.3">
      <c r="A2146" s="13" t="s">
        <v>333</v>
      </c>
      <c r="B2146" s="13" t="s">
        <v>15</v>
      </c>
      <c r="C2146" s="13" t="s">
        <v>60</v>
      </c>
      <c r="D2146" s="14" t="s">
        <v>334</v>
      </c>
      <c r="E2146" s="15">
        <v>2.17</v>
      </c>
      <c r="F2146" s="15">
        <v>693.4</v>
      </c>
      <c r="G2146" s="16">
        <f>ROUND(E2146*F2146,2)</f>
        <v>1504.68</v>
      </c>
    </row>
    <row r="2147" spans="1:7" ht="31.2" x14ac:dyDescent="0.3">
      <c r="A2147" s="13" t="s">
        <v>432</v>
      </c>
      <c r="B2147" s="13" t="s">
        <v>15</v>
      </c>
      <c r="C2147" s="13" t="s">
        <v>60</v>
      </c>
      <c r="D2147" s="14" t="s">
        <v>433</v>
      </c>
      <c r="E2147" s="15">
        <v>0.47</v>
      </c>
      <c r="F2147" s="15">
        <v>700.07</v>
      </c>
      <c r="G2147" s="16">
        <f>ROUND(E2147*F2147,2)</f>
        <v>329.03</v>
      </c>
    </row>
    <row r="2148" spans="1:7" x14ac:dyDescent="0.3">
      <c r="A2148" s="13" t="s">
        <v>335</v>
      </c>
      <c r="B2148" s="13" t="s">
        <v>15</v>
      </c>
      <c r="C2148" s="13" t="s">
        <v>91</v>
      </c>
      <c r="D2148" s="14" t="s">
        <v>336</v>
      </c>
      <c r="E2148" s="15">
        <v>17.03</v>
      </c>
      <c r="F2148" s="15">
        <v>367.46</v>
      </c>
      <c r="G2148" s="16">
        <f>ROUND(E2148*F2148,2)</f>
        <v>6257.84</v>
      </c>
    </row>
    <row r="2149" spans="1:7" x14ac:dyDescent="0.3">
      <c r="A2149" s="13" t="s">
        <v>606</v>
      </c>
      <c r="B2149" s="13" t="s">
        <v>15</v>
      </c>
      <c r="C2149" s="13" t="s">
        <v>60</v>
      </c>
      <c r="D2149" s="14" t="s">
        <v>607</v>
      </c>
      <c r="E2149" s="15">
        <v>32.4</v>
      </c>
      <c r="F2149" s="15">
        <v>492.15</v>
      </c>
      <c r="G2149" s="16">
        <f>ROUND(E2149*F2149,2)</f>
        <v>15945.66</v>
      </c>
    </row>
    <row r="2150" spans="1:7" x14ac:dyDescent="0.3">
      <c r="A2150" s="17"/>
      <c r="B2150" s="17"/>
      <c r="C2150" s="17"/>
      <c r="D2150" s="18" t="s">
        <v>753</v>
      </c>
      <c r="E2150" s="15">
        <v>1</v>
      </c>
      <c r="F2150" s="12">
        <f>SUM(G2131:G2149)</f>
        <v>64098.429999999993</v>
      </c>
      <c r="G2150" s="12">
        <f>ROUND(F2150*E2150,2)</f>
        <v>64098.43</v>
      </c>
    </row>
    <row r="2151" spans="1:7" ht="1.05" customHeight="1" x14ac:dyDescent="0.3">
      <c r="A2151" s="20"/>
      <c r="B2151" s="20"/>
      <c r="C2151" s="20"/>
      <c r="D2151" s="21"/>
      <c r="E2151" s="20"/>
      <c r="F2151" s="20"/>
      <c r="G2151" s="20"/>
    </row>
    <row r="2152" spans="1:7" x14ac:dyDescent="0.3">
      <c r="A2152" s="22" t="s">
        <v>754</v>
      </c>
      <c r="B2152" s="22" t="s">
        <v>11</v>
      </c>
      <c r="C2152" s="22" t="s">
        <v>12</v>
      </c>
      <c r="D2152" s="23" t="s">
        <v>109</v>
      </c>
      <c r="E2152" s="12">
        <f>E2155</f>
        <v>1</v>
      </c>
      <c r="F2152" s="12">
        <f>F2155</f>
        <v>17599.760000000002</v>
      </c>
      <c r="G2152" s="12">
        <f>G2155</f>
        <v>17599.759999999998</v>
      </c>
    </row>
    <row r="2153" spans="1:7" ht="31.2" x14ac:dyDescent="0.3">
      <c r="A2153" s="13" t="s">
        <v>110</v>
      </c>
      <c r="B2153" s="13" t="s">
        <v>15</v>
      </c>
      <c r="C2153" s="13" t="s">
        <v>112</v>
      </c>
      <c r="D2153" s="14" t="s">
        <v>111</v>
      </c>
      <c r="E2153" s="15">
        <v>629.1</v>
      </c>
      <c r="F2153" s="15">
        <v>27.41</v>
      </c>
      <c r="G2153" s="16">
        <f>ROUND(E2153*F2153,2)</f>
        <v>17243.63</v>
      </c>
    </row>
    <row r="2154" spans="1:7" ht="31.2" x14ac:dyDescent="0.3">
      <c r="A2154" s="13" t="s">
        <v>499</v>
      </c>
      <c r="B2154" s="13" t="s">
        <v>15</v>
      </c>
      <c r="C2154" s="13" t="s">
        <v>112</v>
      </c>
      <c r="D2154" s="14" t="s">
        <v>500</v>
      </c>
      <c r="E2154" s="15">
        <v>17.13</v>
      </c>
      <c r="F2154" s="15">
        <v>20.79</v>
      </c>
      <c r="G2154" s="16">
        <f>ROUND(E2154*F2154,2)</f>
        <v>356.13</v>
      </c>
    </row>
    <row r="2155" spans="1:7" x14ac:dyDescent="0.3">
      <c r="A2155" s="17"/>
      <c r="B2155" s="17"/>
      <c r="C2155" s="17"/>
      <c r="D2155" s="18" t="s">
        <v>755</v>
      </c>
      <c r="E2155" s="15">
        <v>1</v>
      </c>
      <c r="F2155" s="12">
        <f>SUM(G2153:G2154)</f>
        <v>17599.760000000002</v>
      </c>
      <c r="G2155" s="12">
        <f>ROUND(F2155*E2155,2)</f>
        <v>17599.759999999998</v>
      </c>
    </row>
    <row r="2156" spans="1:7" ht="1.05" customHeight="1" x14ac:dyDescent="0.3">
      <c r="A2156" s="20"/>
      <c r="B2156" s="20"/>
      <c r="C2156" s="20"/>
      <c r="D2156" s="21"/>
      <c r="E2156" s="20"/>
      <c r="F2156" s="20"/>
      <c r="G2156" s="20"/>
    </row>
    <row r="2157" spans="1:7" x14ac:dyDescent="0.3">
      <c r="A2157" s="22" t="s">
        <v>756</v>
      </c>
      <c r="B2157" s="22" t="s">
        <v>11</v>
      </c>
      <c r="C2157" s="22" t="s">
        <v>12</v>
      </c>
      <c r="D2157" s="23" t="s">
        <v>115</v>
      </c>
      <c r="E2157" s="12">
        <f>E2166</f>
        <v>1</v>
      </c>
      <c r="F2157" s="12">
        <f>F2166</f>
        <v>26885.530000000002</v>
      </c>
      <c r="G2157" s="12">
        <f>G2166</f>
        <v>26885.53</v>
      </c>
    </row>
    <row r="2158" spans="1:7" x14ac:dyDescent="0.3">
      <c r="A2158" s="13" t="s">
        <v>116</v>
      </c>
      <c r="B2158" s="13" t="s">
        <v>15</v>
      </c>
      <c r="C2158" s="13" t="s">
        <v>112</v>
      </c>
      <c r="D2158" s="14" t="s">
        <v>117</v>
      </c>
      <c r="E2158" s="15">
        <v>313.48</v>
      </c>
      <c r="F2158" s="15">
        <v>1.96</v>
      </c>
      <c r="G2158" s="16">
        <f>ROUND(E2158*F2158,2)</f>
        <v>614.41999999999996</v>
      </c>
    </row>
    <row r="2159" spans="1:7" ht="31.2" x14ac:dyDescent="0.3">
      <c r="A2159" s="13" t="s">
        <v>118</v>
      </c>
      <c r="B2159" s="13" t="s">
        <v>15</v>
      </c>
      <c r="C2159" s="13" t="s">
        <v>112</v>
      </c>
      <c r="D2159" s="14" t="s">
        <v>119</v>
      </c>
      <c r="E2159" s="15">
        <v>1127.81</v>
      </c>
      <c r="F2159" s="15">
        <v>8.4</v>
      </c>
      <c r="G2159" s="16">
        <f>ROUND(E2159*F2159,2)</f>
        <v>9473.6</v>
      </c>
    </row>
    <row r="2160" spans="1:7" x14ac:dyDescent="0.3">
      <c r="A2160" s="13" t="s">
        <v>503</v>
      </c>
      <c r="B2160" s="13" t="s">
        <v>15</v>
      </c>
      <c r="C2160" s="13" t="s">
        <v>112</v>
      </c>
      <c r="D2160" s="14" t="s">
        <v>504</v>
      </c>
      <c r="E2160" s="15">
        <v>1511.13</v>
      </c>
      <c r="F2160" s="15">
        <v>3.02</v>
      </c>
      <c r="G2160" s="16">
        <f>ROUND(E2160*F2160,2)</f>
        <v>4563.6099999999997</v>
      </c>
    </row>
    <row r="2161" spans="1:7" ht="31.2" x14ac:dyDescent="0.3">
      <c r="A2161" s="13" t="s">
        <v>120</v>
      </c>
      <c r="B2161" s="13" t="s">
        <v>15</v>
      </c>
      <c r="C2161" s="13" t="s">
        <v>112</v>
      </c>
      <c r="D2161" s="14" t="s">
        <v>121</v>
      </c>
      <c r="E2161" s="15">
        <v>223.81</v>
      </c>
      <c r="F2161" s="15">
        <v>8.4700000000000006</v>
      </c>
      <c r="G2161" s="16">
        <f>ROUND(E2161*F2161,2)</f>
        <v>1895.67</v>
      </c>
    </row>
    <row r="2162" spans="1:7" ht="31.2" x14ac:dyDescent="0.3">
      <c r="A2162" s="13" t="s">
        <v>122</v>
      </c>
      <c r="B2162" s="13" t="s">
        <v>15</v>
      </c>
      <c r="C2162" s="13" t="s">
        <v>112</v>
      </c>
      <c r="D2162" s="14" t="s">
        <v>123</v>
      </c>
      <c r="E2162" s="15">
        <v>383.32</v>
      </c>
      <c r="F2162" s="15">
        <v>11.87</v>
      </c>
      <c r="G2162" s="16">
        <f>ROUND(E2162*F2162,2)</f>
        <v>4550.01</v>
      </c>
    </row>
    <row r="2163" spans="1:7" ht="31.2" x14ac:dyDescent="0.3">
      <c r="A2163" s="13" t="s">
        <v>124</v>
      </c>
      <c r="B2163" s="13" t="s">
        <v>15</v>
      </c>
      <c r="C2163" s="13" t="s">
        <v>112</v>
      </c>
      <c r="D2163" s="14" t="s">
        <v>125</v>
      </c>
      <c r="E2163" s="15">
        <v>97.2</v>
      </c>
      <c r="F2163" s="15">
        <v>9.4600000000000009</v>
      </c>
      <c r="G2163" s="16">
        <f>ROUND(E2163*F2163,2)</f>
        <v>919.51</v>
      </c>
    </row>
    <row r="2164" spans="1:7" x14ac:dyDescent="0.3">
      <c r="A2164" s="13" t="s">
        <v>126</v>
      </c>
      <c r="B2164" s="13" t="s">
        <v>15</v>
      </c>
      <c r="C2164" s="13" t="s">
        <v>28</v>
      </c>
      <c r="D2164" s="14" t="s">
        <v>127</v>
      </c>
      <c r="E2164" s="15">
        <v>817.38</v>
      </c>
      <c r="F2164" s="15">
        <v>4.16</v>
      </c>
      <c r="G2164" s="16">
        <f>ROUND(E2164*F2164,2)</f>
        <v>3400.3</v>
      </c>
    </row>
    <row r="2165" spans="1:7" x14ac:dyDescent="0.3">
      <c r="A2165" s="13" t="s">
        <v>128</v>
      </c>
      <c r="B2165" s="13" t="s">
        <v>15</v>
      </c>
      <c r="C2165" s="13" t="s">
        <v>28</v>
      </c>
      <c r="D2165" s="14" t="s">
        <v>129</v>
      </c>
      <c r="E2165" s="15">
        <v>325.58999999999997</v>
      </c>
      <c r="F2165" s="15">
        <v>4.51</v>
      </c>
      <c r="G2165" s="16">
        <f>ROUND(E2165*F2165,2)</f>
        <v>1468.41</v>
      </c>
    </row>
    <row r="2166" spans="1:7" x14ac:dyDescent="0.3">
      <c r="A2166" s="17"/>
      <c r="B2166" s="17"/>
      <c r="C2166" s="17"/>
      <c r="D2166" s="18" t="s">
        <v>757</v>
      </c>
      <c r="E2166" s="15">
        <v>1</v>
      </c>
      <c r="F2166" s="12">
        <f>SUM(G2158:G2165)</f>
        <v>26885.530000000002</v>
      </c>
      <c r="G2166" s="12">
        <f>ROUND(F2166*E2166,2)</f>
        <v>26885.53</v>
      </c>
    </row>
    <row r="2167" spans="1:7" ht="1.05" customHeight="1" x14ac:dyDescent="0.3">
      <c r="A2167" s="20"/>
      <c r="B2167" s="20"/>
      <c r="C2167" s="20"/>
      <c r="D2167" s="21"/>
      <c r="E2167" s="20"/>
      <c r="F2167" s="20"/>
      <c r="G2167" s="20"/>
    </row>
    <row r="2168" spans="1:7" x14ac:dyDescent="0.3">
      <c r="A2168" s="22" t="s">
        <v>758</v>
      </c>
      <c r="B2168" s="22" t="s">
        <v>11</v>
      </c>
      <c r="C2168" s="22" t="s">
        <v>12</v>
      </c>
      <c r="D2168" s="23" t="s">
        <v>132</v>
      </c>
      <c r="E2168" s="12">
        <f>E2173</f>
        <v>1</v>
      </c>
      <c r="F2168" s="12">
        <f>F2173</f>
        <v>15350.880000000001</v>
      </c>
      <c r="G2168" s="12">
        <f>G2173</f>
        <v>15350.88</v>
      </c>
    </row>
    <row r="2169" spans="1:7" ht="31.2" x14ac:dyDescent="0.3">
      <c r="A2169" s="13" t="s">
        <v>133</v>
      </c>
      <c r="B2169" s="13" t="s">
        <v>15</v>
      </c>
      <c r="C2169" s="13" t="s">
        <v>112</v>
      </c>
      <c r="D2169" s="14" t="s">
        <v>134</v>
      </c>
      <c r="E2169" s="15">
        <v>282.31</v>
      </c>
      <c r="F2169" s="15">
        <v>42.32</v>
      </c>
      <c r="G2169" s="16">
        <f>ROUND(E2169*F2169,2)</f>
        <v>11947.36</v>
      </c>
    </row>
    <row r="2170" spans="1:7" ht="31.2" x14ac:dyDescent="0.3">
      <c r="A2170" s="13" t="s">
        <v>135</v>
      </c>
      <c r="B2170" s="13" t="s">
        <v>15</v>
      </c>
      <c r="C2170" s="13" t="s">
        <v>28</v>
      </c>
      <c r="D2170" s="14" t="s">
        <v>136</v>
      </c>
      <c r="E2170" s="15">
        <v>257.69</v>
      </c>
      <c r="F2170" s="15">
        <v>5.79</v>
      </c>
      <c r="G2170" s="16">
        <f>ROUND(E2170*F2170,2)</f>
        <v>1492.03</v>
      </c>
    </row>
    <row r="2171" spans="1:7" x14ac:dyDescent="0.3">
      <c r="A2171" s="13" t="s">
        <v>507</v>
      </c>
      <c r="B2171" s="13" t="s">
        <v>15</v>
      </c>
      <c r="C2171" s="13" t="s">
        <v>112</v>
      </c>
      <c r="D2171" s="14" t="s">
        <v>508</v>
      </c>
      <c r="E2171" s="15">
        <v>44.51</v>
      </c>
      <c r="F2171" s="15">
        <v>36.85</v>
      </c>
      <c r="G2171" s="16">
        <f>ROUND(E2171*F2171,2)</f>
        <v>1640.19</v>
      </c>
    </row>
    <row r="2172" spans="1:7" x14ac:dyDescent="0.3">
      <c r="A2172" s="13" t="s">
        <v>509</v>
      </c>
      <c r="B2172" s="13" t="s">
        <v>15</v>
      </c>
      <c r="C2172" s="13" t="s">
        <v>28</v>
      </c>
      <c r="D2172" s="14" t="s">
        <v>510</v>
      </c>
      <c r="E2172" s="15">
        <v>45.75</v>
      </c>
      <c r="F2172" s="15">
        <v>5.93</v>
      </c>
      <c r="G2172" s="16">
        <f>ROUND(E2172*F2172,2)</f>
        <v>271.3</v>
      </c>
    </row>
    <row r="2173" spans="1:7" x14ac:dyDescent="0.3">
      <c r="A2173" s="17"/>
      <c r="B2173" s="17"/>
      <c r="C2173" s="17"/>
      <c r="D2173" s="18" t="s">
        <v>759</v>
      </c>
      <c r="E2173" s="15">
        <v>1</v>
      </c>
      <c r="F2173" s="12">
        <f>SUM(G2169:G2172)</f>
        <v>15350.880000000001</v>
      </c>
      <c r="G2173" s="12">
        <f>ROUND(F2173*E2173,2)</f>
        <v>15350.88</v>
      </c>
    </row>
    <row r="2174" spans="1:7" ht="1.05" customHeight="1" x14ac:dyDescent="0.3">
      <c r="A2174" s="20"/>
      <c r="B2174" s="20"/>
      <c r="C2174" s="20"/>
      <c r="D2174" s="21"/>
      <c r="E2174" s="20"/>
      <c r="F2174" s="20"/>
      <c r="G2174" s="20"/>
    </row>
    <row r="2175" spans="1:7" x14ac:dyDescent="0.3">
      <c r="A2175" s="22" t="s">
        <v>760</v>
      </c>
      <c r="B2175" s="22" t="s">
        <v>11</v>
      </c>
      <c r="C2175" s="22" t="s">
        <v>12</v>
      </c>
      <c r="D2175" s="23" t="s">
        <v>347</v>
      </c>
      <c r="E2175" s="12">
        <f>E2177</f>
        <v>1</v>
      </c>
      <c r="F2175" s="12">
        <f>F2177</f>
        <v>6514.78</v>
      </c>
      <c r="G2175" s="12">
        <f>G2177</f>
        <v>6514.78</v>
      </c>
    </row>
    <row r="2176" spans="1:7" ht="31.2" x14ac:dyDescent="0.3">
      <c r="A2176" s="13" t="s">
        <v>348</v>
      </c>
      <c r="B2176" s="13" t="s">
        <v>15</v>
      </c>
      <c r="C2176" s="13" t="s">
        <v>22</v>
      </c>
      <c r="D2176" s="14" t="s">
        <v>349</v>
      </c>
      <c r="E2176" s="15">
        <v>151.19</v>
      </c>
      <c r="F2176" s="15">
        <v>43.09</v>
      </c>
      <c r="G2176" s="16">
        <f>ROUND(E2176*F2176,2)</f>
        <v>6514.78</v>
      </c>
    </row>
    <row r="2177" spans="1:7" x14ac:dyDescent="0.3">
      <c r="A2177" s="17"/>
      <c r="B2177" s="17"/>
      <c r="C2177" s="17"/>
      <c r="D2177" s="18" t="s">
        <v>761</v>
      </c>
      <c r="E2177" s="15">
        <v>1</v>
      </c>
      <c r="F2177" s="12">
        <f>G2176</f>
        <v>6514.78</v>
      </c>
      <c r="G2177" s="12">
        <f>ROUND(F2177*E2177,2)</f>
        <v>6514.78</v>
      </c>
    </row>
    <row r="2178" spans="1:7" ht="1.05" customHeight="1" x14ac:dyDescent="0.3">
      <c r="A2178" s="20"/>
      <c r="B2178" s="20"/>
      <c r="C2178" s="20"/>
      <c r="D2178" s="21"/>
      <c r="E2178" s="20"/>
      <c r="F2178" s="20"/>
      <c r="G2178" s="20"/>
    </row>
    <row r="2179" spans="1:7" x14ac:dyDescent="0.3">
      <c r="A2179" s="22" t="s">
        <v>762</v>
      </c>
      <c r="B2179" s="22" t="s">
        <v>11</v>
      </c>
      <c r="C2179" s="22" t="s">
        <v>12</v>
      </c>
      <c r="D2179" s="23" t="s">
        <v>141</v>
      </c>
      <c r="E2179" s="12">
        <f>E2182</f>
        <v>1</v>
      </c>
      <c r="F2179" s="12">
        <f>F2182</f>
        <v>0</v>
      </c>
      <c r="G2179" s="12">
        <f>G2182</f>
        <v>0</v>
      </c>
    </row>
    <row r="2180" spans="1:7" ht="31.2" x14ac:dyDescent="0.3">
      <c r="A2180" s="13" t="s">
        <v>142</v>
      </c>
      <c r="B2180" s="13" t="s">
        <v>15</v>
      </c>
      <c r="C2180" s="13" t="s">
        <v>28</v>
      </c>
      <c r="D2180" s="14" t="s">
        <v>143</v>
      </c>
      <c r="E2180" s="15">
        <v>0</v>
      </c>
      <c r="F2180" s="15">
        <v>61.92</v>
      </c>
      <c r="G2180" s="16">
        <f>ROUND(E2180*F2180,2)</f>
        <v>0</v>
      </c>
    </row>
    <row r="2181" spans="1:7" x14ac:dyDescent="0.3">
      <c r="A2181" s="13" t="s">
        <v>144</v>
      </c>
      <c r="B2181" s="13" t="s">
        <v>15</v>
      </c>
      <c r="C2181" s="13" t="s">
        <v>112</v>
      </c>
      <c r="D2181" s="14" t="s">
        <v>145</v>
      </c>
      <c r="E2181" s="15">
        <v>0</v>
      </c>
      <c r="F2181" s="15">
        <v>38.46</v>
      </c>
      <c r="G2181" s="16">
        <f>ROUND(E2181*F2181,2)</f>
        <v>0</v>
      </c>
    </row>
    <row r="2182" spans="1:7" x14ac:dyDescent="0.3">
      <c r="A2182" s="17"/>
      <c r="B2182" s="17"/>
      <c r="C2182" s="17"/>
      <c r="D2182" s="18" t="s">
        <v>763</v>
      </c>
      <c r="E2182" s="15">
        <v>1</v>
      </c>
      <c r="F2182" s="12">
        <f>SUM(G2180:G2181)</f>
        <v>0</v>
      </c>
      <c r="G2182" s="12">
        <f>ROUND(F2182*E2182,2)</f>
        <v>0</v>
      </c>
    </row>
    <row r="2183" spans="1:7" ht="1.05" customHeight="1" x14ac:dyDescent="0.3">
      <c r="A2183" s="20"/>
      <c r="B2183" s="20"/>
      <c r="C2183" s="20"/>
      <c r="D2183" s="21"/>
      <c r="E2183" s="20"/>
      <c r="F2183" s="20"/>
      <c r="G2183" s="20"/>
    </row>
    <row r="2184" spans="1:7" x14ac:dyDescent="0.3">
      <c r="A2184" s="22" t="s">
        <v>764</v>
      </c>
      <c r="B2184" s="22" t="s">
        <v>11</v>
      </c>
      <c r="C2184" s="22" t="s">
        <v>12</v>
      </c>
      <c r="D2184" s="23" t="s">
        <v>148</v>
      </c>
      <c r="E2184" s="12">
        <f>E2190</f>
        <v>1</v>
      </c>
      <c r="F2184" s="12">
        <f>F2190</f>
        <v>17995.91</v>
      </c>
      <c r="G2184" s="12">
        <f>G2190</f>
        <v>17995.91</v>
      </c>
    </row>
    <row r="2185" spans="1:7" ht="31.2" x14ac:dyDescent="0.3">
      <c r="A2185" s="13" t="s">
        <v>149</v>
      </c>
      <c r="B2185" s="13" t="s">
        <v>15</v>
      </c>
      <c r="C2185" s="13" t="s">
        <v>151</v>
      </c>
      <c r="D2185" s="14" t="s">
        <v>150</v>
      </c>
      <c r="E2185" s="15">
        <v>1</v>
      </c>
      <c r="F2185" s="15">
        <v>249.6</v>
      </c>
      <c r="G2185" s="16">
        <f>ROUND(E2185*F2185,2)</f>
        <v>249.6</v>
      </c>
    </row>
    <row r="2186" spans="1:7" ht="31.2" x14ac:dyDescent="0.3">
      <c r="A2186" s="13" t="s">
        <v>152</v>
      </c>
      <c r="B2186" s="13" t="s">
        <v>15</v>
      </c>
      <c r="C2186" s="13" t="s">
        <v>151</v>
      </c>
      <c r="D2186" s="14" t="s">
        <v>153</v>
      </c>
      <c r="E2186" s="15">
        <v>2</v>
      </c>
      <c r="F2186" s="15">
        <v>424.61</v>
      </c>
      <c r="G2186" s="16">
        <f>ROUND(E2186*F2186,2)</f>
        <v>849.22</v>
      </c>
    </row>
    <row r="2187" spans="1:7" ht="31.2" x14ac:dyDescent="0.3">
      <c r="A2187" s="13" t="s">
        <v>517</v>
      </c>
      <c r="B2187" s="13" t="s">
        <v>15</v>
      </c>
      <c r="C2187" s="13" t="s">
        <v>151</v>
      </c>
      <c r="D2187" s="14" t="s">
        <v>518</v>
      </c>
      <c r="E2187" s="15">
        <v>1</v>
      </c>
      <c r="F2187" s="15">
        <v>714</v>
      </c>
      <c r="G2187" s="16">
        <f>ROUND(E2187*F2187,2)</f>
        <v>714</v>
      </c>
    </row>
    <row r="2188" spans="1:7" ht="31.2" x14ac:dyDescent="0.3">
      <c r="A2188" s="13" t="s">
        <v>519</v>
      </c>
      <c r="B2188" s="13" t="s">
        <v>15</v>
      </c>
      <c r="C2188" s="13" t="s">
        <v>151</v>
      </c>
      <c r="D2188" s="14" t="s">
        <v>520</v>
      </c>
      <c r="E2188" s="15">
        <v>24</v>
      </c>
      <c r="F2188" s="15">
        <v>538.34</v>
      </c>
      <c r="G2188" s="16">
        <f>ROUND(E2188*F2188,2)</f>
        <v>12920.16</v>
      </c>
    </row>
    <row r="2189" spans="1:7" ht="31.2" x14ac:dyDescent="0.3">
      <c r="A2189" s="13" t="s">
        <v>521</v>
      </c>
      <c r="B2189" s="13" t="s">
        <v>15</v>
      </c>
      <c r="C2189" s="13" t="s">
        <v>363</v>
      </c>
      <c r="D2189" s="14" t="s">
        <v>522</v>
      </c>
      <c r="E2189" s="15">
        <v>139.91999999999999</v>
      </c>
      <c r="F2189" s="15">
        <v>23.32</v>
      </c>
      <c r="G2189" s="16">
        <f>ROUND(E2189*F2189,2)</f>
        <v>3262.93</v>
      </c>
    </row>
    <row r="2190" spans="1:7" x14ac:dyDescent="0.3">
      <c r="A2190" s="17"/>
      <c r="B2190" s="17"/>
      <c r="C2190" s="17"/>
      <c r="D2190" s="18" t="s">
        <v>765</v>
      </c>
      <c r="E2190" s="15">
        <v>1</v>
      </c>
      <c r="F2190" s="12">
        <f>SUM(G2185:G2189)</f>
        <v>17995.91</v>
      </c>
      <c r="G2190" s="12">
        <f>ROUND(F2190*E2190,2)</f>
        <v>17995.91</v>
      </c>
    </row>
    <row r="2191" spans="1:7" ht="1.05" customHeight="1" x14ac:dyDescent="0.3">
      <c r="A2191" s="20"/>
      <c r="B2191" s="20"/>
      <c r="C2191" s="20"/>
      <c r="D2191" s="21"/>
      <c r="E2191" s="20"/>
      <c r="F2191" s="20"/>
      <c r="G2191" s="20"/>
    </row>
    <row r="2192" spans="1:7" x14ac:dyDescent="0.3">
      <c r="A2192" s="22" t="s">
        <v>766</v>
      </c>
      <c r="B2192" s="22" t="s">
        <v>11</v>
      </c>
      <c r="C2192" s="22" t="s">
        <v>12</v>
      </c>
      <c r="D2192" s="23" t="s">
        <v>360</v>
      </c>
      <c r="E2192" s="12">
        <f>E2195</f>
        <v>1</v>
      </c>
      <c r="F2192" s="12">
        <f>F2195</f>
        <v>7504.32</v>
      </c>
      <c r="G2192" s="12">
        <f>G2195</f>
        <v>7504.32</v>
      </c>
    </row>
    <row r="2193" spans="1:7" ht="31.2" x14ac:dyDescent="0.3">
      <c r="A2193" s="13" t="s">
        <v>361</v>
      </c>
      <c r="B2193" s="13" t="s">
        <v>15</v>
      </c>
      <c r="C2193" s="13" t="s">
        <v>363</v>
      </c>
      <c r="D2193" s="14" t="s">
        <v>362</v>
      </c>
      <c r="E2193" s="15">
        <v>560.80999999999995</v>
      </c>
      <c r="F2193" s="15">
        <v>8.89</v>
      </c>
      <c r="G2193" s="16">
        <f>ROUND(E2193*F2193,2)</f>
        <v>4985.6000000000004</v>
      </c>
    </row>
    <row r="2194" spans="1:7" x14ac:dyDescent="0.3">
      <c r="A2194" s="13" t="s">
        <v>364</v>
      </c>
      <c r="B2194" s="13" t="s">
        <v>15</v>
      </c>
      <c r="C2194" s="13" t="s">
        <v>22</v>
      </c>
      <c r="D2194" s="14" t="s">
        <v>365</v>
      </c>
      <c r="E2194" s="15">
        <v>15.33</v>
      </c>
      <c r="F2194" s="15">
        <v>164.3</v>
      </c>
      <c r="G2194" s="16">
        <f>ROUND(E2194*F2194,2)</f>
        <v>2518.7199999999998</v>
      </c>
    </row>
    <row r="2195" spans="1:7" x14ac:dyDescent="0.3">
      <c r="A2195" s="17"/>
      <c r="B2195" s="17"/>
      <c r="C2195" s="17"/>
      <c r="D2195" s="18" t="s">
        <v>767</v>
      </c>
      <c r="E2195" s="15">
        <v>1</v>
      </c>
      <c r="F2195" s="12">
        <f>SUM(G2193:G2194)</f>
        <v>7504.32</v>
      </c>
      <c r="G2195" s="12">
        <f>ROUND(F2195*E2195,2)</f>
        <v>7504.32</v>
      </c>
    </row>
    <row r="2196" spans="1:7" ht="1.05" customHeight="1" x14ac:dyDescent="0.3">
      <c r="A2196" s="20"/>
      <c r="B2196" s="20"/>
      <c r="C2196" s="20"/>
      <c r="D2196" s="21"/>
      <c r="E2196" s="20"/>
      <c r="F2196" s="20"/>
      <c r="G2196" s="20"/>
    </row>
    <row r="2197" spans="1:7" x14ac:dyDescent="0.3">
      <c r="A2197" s="22" t="s">
        <v>768</v>
      </c>
      <c r="B2197" s="22" t="s">
        <v>11</v>
      </c>
      <c r="C2197" s="22" t="s">
        <v>12</v>
      </c>
      <c r="D2197" s="23" t="s">
        <v>156</v>
      </c>
      <c r="E2197" s="12">
        <f>E2202</f>
        <v>1</v>
      </c>
      <c r="F2197" s="12">
        <f>F2202</f>
        <v>17822.14</v>
      </c>
      <c r="G2197" s="12">
        <f>G2202</f>
        <v>17822.14</v>
      </c>
    </row>
    <row r="2198" spans="1:7" x14ac:dyDescent="0.3">
      <c r="A2198" s="13" t="s">
        <v>157</v>
      </c>
      <c r="B2198" s="13" t="s">
        <v>15</v>
      </c>
      <c r="C2198" s="13" t="s">
        <v>112</v>
      </c>
      <c r="D2198" s="14" t="s">
        <v>158</v>
      </c>
      <c r="E2198" s="15">
        <v>1880.98</v>
      </c>
      <c r="F2198" s="15">
        <v>4.0199999999999996</v>
      </c>
      <c r="G2198" s="16">
        <f>ROUND(E2198*F2198,2)</f>
        <v>7561.54</v>
      </c>
    </row>
    <row r="2199" spans="1:7" x14ac:dyDescent="0.3">
      <c r="A2199" s="13" t="s">
        <v>159</v>
      </c>
      <c r="B2199" s="13" t="s">
        <v>15</v>
      </c>
      <c r="C2199" s="13" t="s">
        <v>112</v>
      </c>
      <c r="D2199" s="14" t="s">
        <v>160</v>
      </c>
      <c r="E2199" s="15">
        <v>1273.8499999999999</v>
      </c>
      <c r="F2199" s="15">
        <v>4.37</v>
      </c>
      <c r="G2199" s="16">
        <f>ROUND(E2199*F2199,2)</f>
        <v>5566.72</v>
      </c>
    </row>
    <row r="2200" spans="1:7" x14ac:dyDescent="0.3">
      <c r="A2200" s="13" t="s">
        <v>527</v>
      </c>
      <c r="B2200" s="13" t="s">
        <v>15</v>
      </c>
      <c r="C2200" s="13" t="s">
        <v>112</v>
      </c>
      <c r="D2200" s="14" t="s">
        <v>528</v>
      </c>
      <c r="E2200" s="15">
        <v>223.81</v>
      </c>
      <c r="F2200" s="15">
        <v>8.35</v>
      </c>
      <c r="G2200" s="16">
        <f>ROUND(E2200*F2200,2)</f>
        <v>1868.81</v>
      </c>
    </row>
    <row r="2201" spans="1:7" x14ac:dyDescent="0.3">
      <c r="A2201" s="13" t="s">
        <v>161</v>
      </c>
      <c r="B2201" s="13" t="s">
        <v>15</v>
      </c>
      <c r="C2201" s="13" t="s">
        <v>112</v>
      </c>
      <c r="D2201" s="14" t="s">
        <v>162</v>
      </c>
      <c r="E2201" s="15">
        <v>383.32</v>
      </c>
      <c r="F2201" s="15">
        <v>7.37</v>
      </c>
      <c r="G2201" s="16">
        <f>ROUND(E2201*F2201,2)</f>
        <v>2825.07</v>
      </c>
    </row>
    <row r="2202" spans="1:7" x14ac:dyDescent="0.3">
      <c r="A2202" s="17"/>
      <c r="B2202" s="17"/>
      <c r="C2202" s="17"/>
      <c r="D2202" s="18" t="s">
        <v>769</v>
      </c>
      <c r="E2202" s="15">
        <v>1</v>
      </c>
      <c r="F2202" s="12">
        <f>SUM(G2198:G2201)</f>
        <v>17822.14</v>
      </c>
      <c r="G2202" s="12">
        <f>ROUND(F2202*E2202,2)</f>
        <v>17822.14</v>
      </c>
    </row>
    <row r="2203" spans="1:7" ht="1.05" customHeight="1" x14ac:dyDescent="0.3">
      <c r="A2203" s="20"/>
      <c r="B2203" s="20"/>
      <c r="C2203" s="20"/>
      <c r="D2203" s="21"/>
      <c r="E2203" s="20"/>
      <c r="F2203" s="20"/>
      <c r="G2203" s="20"/>
    </row>
    <row r="2204" spans="1:7" x14ac:dyDescent="0.3">
      <c r="A2204" s="22" t="s">
        <v>770</v>
      </c>
      <c r="B2204" s="22" t="s">
        <v>11</v>
      </c>
      <c r="C2204" s="22" t="s">
        <v>12</v>
      </c>
      <c r="D2204" s="23" t="s">
        <v>531</v>
      </c>
      <c r="E2204" s="12">
        <f>E2208</f>
        <v>1</v>
      </c>
      <c r="F2204" s="12">
        <f>F2208</f>
        <v>0</v>
      </c>
      <c r="G2204" s="12">
        <f>G2208</f>
        <v>0</v>
      </c>
    </row>
    <row r="2205" spans="1:7" ht="31.2" x14ac:dyDescent="0.3">
      <c r="A2205" s="13" t="s">
        <v>532</v>
      </c>
      <c r="B2205" s="13" t="s">
        <v>15</v>
      </c>
      <c r="C2205" s="13" t="s">
        <v>534</v>
      </c>
      <c r="D2205" s="14" t="s">
        <v>533</v>
      </c>
      <c r="E2205" s="15">
        <v>0</v>
      </c>
      <c r="F2205" s="15">
        <v>53.17</v>
      </c>
      <c r="G2205" s="16">
        <f>ROUND(E2205*F2205,2)</f>
        <v>0</v>
      </c>
    </row>
    <row r="2206" spans="1:7" x14ac:dyDescent="0.3">
      <c r="A2206" s="13" t="s">
        <v>535</v>
      </c>
      <c r="B2206" s="13" t="s">
        <v>15</v>
      </c>
      <c r="C2206" s="13" t="s">
        <v>534</v>
      </c>
      <c r="D2206" s="14" t="s">
        <v>536</v>
      </c>
      <c r="E2206" s="15">
        <v>0</v>
      </c>
      <c r="F2206" s="15">
        <v>71.430000000000007</v>
      </c>
      <c r="G2206" s="16">
        <f>ROUND(E2206*F2206,2)</f>
        <v>0</v>
      </c>
    </row>
    <row r="2207" spans="1:7" x14ac:dyDescent="0.3">
      <c r="A2207" s="13" t="s">
        <v>537</v>
      </c>
      <c r="B2207" s="13" t="s">
        <v>15</v>
      </c>
      <c r="C2207" s="13" t="s">
        <v>534</v>
      </c>
      <c r="D2207" s="14" t="s">
        <v>538</v>
      </c>
      <c r="E2207" s="15">
        <v>0</v>
      </c>
      <c r="F2207" s="15">
        <v>71.430000000000007</v>
      </c>
      <c r="G2207" s="16">
        <f>ROUND(E2207*F2207,2)</f>
        <v>0</v>
      </c>
    </row>
    <row r="2208" spans="1:7" x14ac:dyDescent="0.3">
      <c r="A2208" s="17"/>
      <c r="B2208" s="17"/>
      <c r="C2208" s="17"/>
      <c r="D2208" s="18" t="s">
        <v>771</v>
      </c>
      <c r="E2208" s="15">
        <v>1</v>
      </c>
      <c r="F2208" s="12">
        <f>SUM(G2205:G2207)</f>
        <v>0</v>
      </c>
      <c r="G2208" s="12">
        <f>ROUND(F2208*E2208,2)</f>
        <v>0</v>
      </c>
    </row>
    <row r="2209" spans="1:7" ht="1.05" customHeight="1" x14ac:dyDescent="0.3">
      <c r="A2209" s="20"/>
      <c r="B2209" s="20"/>
      <c r="C2209" s="20"/>
      <c r="D2209" s="21"/>
      <c r="E2209" s="20"/>
      <c r="F2209" s="20"/>
      <c r="G2209" s="20"/>
    </row>
    <row r="2210" spans="1:7" x14ac:dyDescent="0.3">
      <c r="A2210" s="22" t="s">
        <v>772</v>
      </c>
      <c r="B2210" s="22" t="s">
        <v>11</v>
      </c>
      <c r="C2210" s="22" t="s">
        <v>12</v>
      </c>
      <c r="D2210" s="23" t="s">
        <v>165</v>
      </c>
      <c r="E2210" s="12">
        <f>E2217</f>
        <v>1</v>
      </c>
      <c r="F2210" s="12">
        <f>F2217</f>
        <v>8782.9699999999993</v>
      </c>
      <c r="G2210" s="12">
        <f>G2217</f>
        <v>8782.9699999999993</v>
      </c>
    </row>
    <row r="2211" spans="1:7" x14ac:dyDescent="0.3">
      <c r="A2211" s="13" t="s">
        <v>172</v>
      </c>
      <c r="B2211" s="13" t="s">
        <v>15</v>
      </c>
      <c r="C2211" s="13" t="s">
        <v>28</v>
      </c>
      <c r="D2211" s="14" t="s">
        <v>173</v>
      </c>
      <c r="E2211" s="15">
        <v>8.11</v>
      </c>
      <c r="F2211" s="15">
        <v>122.02</v>
      </c>
      <c r="G2211" s="16">
        <f>ROUND(E2211*F2211,2)</f>
        <v>989.58</v>
      </c>
    </row>
    <row r="2212" spans="1:7" x14ac:dyDescent="0.3">
      <c r="A2212" s="13" t="s">
        <v>541</v>
      </c>
      <c r="B2212" s="13" t="s">
        <v>15</v>
      </c>
      <c r="C2212" s="13" t="s">
        <v>22</v>
      </c>
      <c r="D2212" s="14" t="s">
        <v>542</v>
      </c>
      <c r="E2212" s="15">
        <v>29.36</v>
      </c>
      <c r="F2212" s="15">
        <v>212.06</v>
      </c>
      <c r="G2212" s="16">
        <f>ROUND(E2212*F2212,2)</f>
        <v>6226.08</v>
      </c>
    </row>
    <row r="2213" spans="1:7" x14ac:dyDescent="0.3">
      <c r="A2213" s="13" t="s">
        <v>543</v>
      </c>
      <c r="B2213" s="13" t="s">
        <v>15</v>
      </c>
      <c r="C2213" s="13" t="s">
        <v>91</v>
      </c>
      <c r="D2213" s="14" t="s">
        <v>544</v>
      </c>
      <c r="E2213" s="15">
        <v>1.49</v>
      </c>
      <c r="F2213" s="15">
        <v>113.44</v>
      </c>
      <c r="G2213" s="16">
        <f>ROUND(E2213*F2213,2)</f>
        <v>169.03</v>
      </c>
    </row>
    <row r="2214" spans="1:7" ht="31.2" x14ac:dyDescent="0.3">
      <c r="A2214" s="13" t="s">
        <v>545</v>
      </c>
      <c r="B2214" s="13" t="s">
        <v>15</v>
      </c>
      <c r="C2214" s="13" t="s">
        <v>22</v>
      </c>
      <c r="D2214" s="14" t="s">
        <v>546</v>
      </c>
      <c r="E2214" s="15">
        <v>0</v>
      </c>
      <c r="F2214" s="15">
        <v>44.13</v>
      </c>
      <c r="G2214" s="16">
        <f>ROUND(E2214*F2214,2)</f>
        <v>0</v>
      </c>
    </row>
    <row r="2215" spans="1:7" x14ac:dyDescent="0.3">
      <c r="A2215" s="13" t="s">
        <v>628</v>
      </c>
      <c r="B2215" s="13" t="s">
        <v>15</v>
      </c>
      <c r="C2215" s="13" t="s">
        <v>22</v>
      </c>
      <c r="D2215" s="14" t="s">
        <v>629</v>
      </c>
      <c r="E2215" s="15">
        <v>22.75</v>
      </c>
      <c r="F2215" s="15">
        <v>49.72</v>
      </c>
      <c r="G2215" s="16">
        <f>ROUND(E2215*F2215,2)</f>
        <v>1131.1300000000001</v>
      </c>
    </row>
    <row r="2216" spans="1:7" x14ac:dyDescent="0.3">
      <c r="A2216" s="13" t="s">
        <v>630</v>
      </c>
      <c r="B2216" s="13" t="s">
        <v>15</v>
      </c>
      <c r="C2216" s="13" t="s">
        <v>28</v>
      </c>
      <c r="D2216" s="14" t="s">
        <v>631</v>
      </c>
      <c r="E2216" s="15">
        <v>6.5</v>
      </c>
      <c r="F2216" s="15">
        <v>41.1</v>
      </c>
      <c r="G2216" s="16">
        <f>ROUND(E2216*F2216,2)</f>
        <v>267.14999999999998</v>
      </c>
    </row>
    <row r="2217" spans="1:7" x14ac:dyDescent="0.3">
      <c r="A2217" s="17"/>
      <c r="B2217" s="17"/>
      <c r="C2217" s="17"/>
      <c r="D2217" s="18" t="s">
        <v>773</v>
      </c>
      <c r="E2217" s="15">
        <v>1</v>
      </c>
      <c r="F2217" s="12">
        <f>SUM(G2211:G2216)</f>
        <v>8782.9699999999993</v>
      </c>
      <c r="G2217" s="12">
        <f>ROUND(F2217*E2217,2)</f>
        <v>8782.9699999999993</v>
      </c>
    </row>
    <row r="2218" spans="1:7" ht="1.05" customHeight="1" x14ac:dyDescent="0.3">
      <c r="A2218" s="20"/>
      <c r="B2218" s="20"/>
      <c r="C2218" s="20"/>
      <c r="D2218" s="21"/>
      <c r="E2218" s="20"/>
      <c r="F2218" s="20"/>
      <c r="G2218" s="20"/>
    </row>
    <row r="2219" spans="1:7" x14ac:dyDescent="0.3">
      <c r="A2219" s="22" t="s">
        <v>774</v>
      </c>
      <c r="B2219" s="22" t="s">
        <v>11</v>
      </c>
      <c r="C2219" s="22" t="s">
        <v>12</v>
      </c>
      <c r="D2219" s="23" t="s">
        <v>176</v>
      </c>
      <c r="E2219" s="12">
        <f>E2269</f>
        <v>1</v>
      </c>
      <c r="F2219" s="12">
        <f>F2269</f>
        <v>19830.13</v>
      </c>
      <c r="G2219" s="12">
        <f>G2269</f>
        <v>19830.13</v>
      </c>
    </row>
    <row r="2220" spans="1:7" ht="31.2" x14ac:dyDescent="0.3">
      <c r="A2220" s="22" t="s">
        <v>775</v>
      </c>
      <c r="B2220" s="22" t="s">
        <v>11</v>
      </c>
      <c r="C2220" s="22" t="s">
        <v>12</v>
      </c>
      <c r="D2220" s="23" t="s">
        <v>229</v>
      </c>
      <c r="E2220" s="12">
        <f>E2233</f>
        <v>1</v>
      </c>
      <c r="F2220" s="12">
        <f>F2233</f>
        <v>2584.2199999999998</v>
      </c>
      <c r="G2220" s="12">
        <f>G2233</f>
        <v>2584.2199999999998</v>
      </c>
    </row>
    <row r="2221" spans="1:7" x14ac:dyDescent="0.3">
      <c r="A2221" s="13" t="s">
        <v>230</v>
      </c>
      <c r="B2221" s="13" t="s">
        <v>15</v>
      </c>
      <c r="C2221" s="13" t="s">
        <v>28</v>
      </c>
      <c r="D2221" s="14" t="s">
        <v>231</v>
      </c>
      <c r="E2221" s="15">
        <v>175.5</v>
      </c>
      <c r="F2221" s="15">
        <v>1.9</v>
      </c>
      <c r="G2221" s="16">
        <f>ROUND(E2221*F2221,2)</f>
        <v>333.45</v>
      </c>
    </row>
    <row r="2222" spans="1:7" x14ac:dyDescent="0.3">
      <c r="A2222" s="13" t="s">
        <v>232</v>
      </c>
      <c r="B2222" s="13" t="s">
        <v>15</v>
      </c>
      <c r="C2222" s="13" t="s">
        <v>28</v>
      </c>
      <c r="D2222" s="14" t="s">
        <v>233</v>
      </c>
      <c r="E2222" s="15">
        <v>175.5</v>
      </c>
      <c r="F2222" s="15">
        <v>4.3499999999999996</v>
      </c>
      <c r="G2222" s="16">
        <f>ROUND(E2222*F2222,2)</f>
        <v>763.43</v>
      </c>
    </row>
    <row r="2223" spans="1:7" x14ac:dyDescent="0.3">
      <c r="A2223" s="13" t="s">
        <v>550</v>
      </c>
      <c r="B2223" s="13" t="s">
        <v>15</v>
      </c>
      <c r="C2223" s="13" t="s">
        <v>28</v>
      </c>
      <c r="D2223" s="14" t="s">
        <v>551</v>
      </c>
      <c r="E2223" s="15">
        <v>112.97</v>
      </c>
      <c r="F2223" s="15">
        <v>2.98</v>
      </c>
      <c r="G2223" s="16">
        <f>ROUND(E2223*F2223,2)</f>
        <v>336.65</v>
      </c>
    </row>
    <row r="2224" spans="1:7" x14ac:dyDescent="0.3">
      <c r="A2224" s="13" t="s">
        <v>234</v>
      </c>
      <c r="B2224" s="13" t="s">
        <v>15</v>
      </c>
      <c r="C2224" s="13" t="s">
        <v>28</v>
      </c>
      <c r="D2224" s="14" t="s">
        <v>235</v>
      </c>
      <c r="E2224" s="15">
        <v>39.78</v>
      </c>
      <c r="F2224" s="15">
        <v>3.07</v>
      </c>
      <c r="G2224" s="16">
        <f>ROUND(E2224*F2224,2)</f>
        <v>122.12</v>
      </c>
    </row>
    <row r="2225" spans="1:7" x14ac:dyDescent="0.3">
      <c r="A2225" s="13" t="s">
        <v>236</v>
      </c>
      <c r="B2225" s="13" t="s">
        <v>15</v>
      </c>
      <c r="C2225" s="13" t="s">
        <v>28</v>
      </c>
      <c r="D2225" s="14" t="s">
        <v>237</v>
      </c>
      <c r="E2225" s="15">
        <v>0</v>
      </c>
      <c r="F2225" s="15">
        <v>4.22</v>
      </c>
      <c r="G2225" s="16">
        <f>ROUND(E2225*F2225,2)</f>
        <v>0</v>
      </c>
    </row>
    <row r="2226" spans="1:7" x14ac:dyDescent="0.3">
      <c r="A2226" s="13" t="s">
        <v>238</v>
      </c>
      <c r="B2226" s="13" t="s">
        <v>15</v>
      </c>
      <c r="C2226" s="13" t="s">
        <v>28</v>
      </c>
      <c r="D2226" s="14" t="s">
        <v>239</v>
      </c>
      <c r="E2226" s="15">
        <v>0</v>
      </c>
      <c r="F2226" s="15">
        <v>13.9</v>
      </c>
      <c r="G2226" s="16">
        <f>ROUND(E2226*F2226,2)</f>
        <v>0</v>
      </c>
    </row>
    <row r="2227" spans="1:7" x14ac:dyDescent="0.3">
      <c r="A2227" s="13" t="s">
        <v>240</v>
      </c>
      <c r="B2227" s="13" t="s">
        <v>15</v>
      </c>
      <c r="C2227" s="13" t="s">
        <v>28</v>
      </c>
      <c r="D2227" s="14" t="s">
        <v>241</v>
      </c>
      <c r="E2227" s="15">
        <v>0</v>
      </c>
      <c r="F2227" s="15">
        <v>15.59</v>
      </c>
      <c r="G2227" s="16">
        <f>ROUND(E2227*F2227,2)</f>
        <v>0</v>
      </c>
    </row>
    <row r="2228" spans="1:7" ht="31.2" x14ac:dyDescent="0.3">
      <c r="A2228" s="13" t="s">
        <v>242</v>
      </c>
      <c r="B2228" s="13" t="s">
        <v>15</v>
      </c>
      <c r="C2228" s="13" t="s">
        <v>16</v>
      </c>
      <c r="D2228" s="14" t="s">
        <v>243</v>
      </c>
      <c r="E2228" s="15">
        <v>1</v>
      </c>
      <c r="F2228" s="15">
        <v>793.65</v>
      </c>
      <c r="G2228" s="16">
        <f>ROUND(E2228*F2228,2)</f>
        <v>793.65</v>
      </c>
    </row>
    <row r="2229" spans="1:7" x14ac:dyDescent="0.3">
      <c r="A2229" s="13" t="s">
        <v>244</v>
      </c>
      <c r="B2229" s="13" t="s">
        <v>15</v>
      </c>
      <c r="C2229" s="13" t="s">
        <v>215</v>
      </c>
      <c r="D2229" s="14" t="s">
        <v>245</v>
      </c>
      <c r="E2229" s="15">
        <v>0</v>
      </c>
      <c r="F2229" s="15">
        <v>13.5</v>
      </c>
      <c r="G2229" s="16">
        <f>ROUND(E2229*F2229,2)</f>
        <v>0</v>
      </c>
    </row>
    <row r="2230" spans="1:7" x14ac:dyDescent="0.3">
      <c r="A2230" s="13" t="s">
        <v>552</v>
      </c>
      <c r="B2230" s="13" t="s">
        <v>15</v>
      </c>
      <c r="C2230" s="13" t="s">
        <v>215</v>
      </c>
      <c r="D2230" s="14" t="s">
        <v>553</v>
      </c>
      <c r="E2230" s="15">
        <v>1</v>
      </c>
      <c r="F2230" s="15">
        <v>23.11</v>
      </c>
      <c r="G2230" s="16">
        <f>ROUND(E2230*F2230,2)</f>
        <v>23.11</v>
      </c>
    </row>
    <row r="2231" spans="1:7" x14ac:dyDescent="0.3">
      <c r="A2231" s="13" t="s">
        <v>554</v>
      </c>
      <c r="B2231" s="13" t="s">
        <v>15</v>
      </c>
      <c r="C2231" s="13" t="s">
        <v>215</v>
      </c>
      <c r="D2231" s="14" t="s">
        <v>555</v>
      </c>
      <c r="E2231" s="15">
        <v>5</v>
      </c>
      <c r="F2231" s="15">
        <v>30.9</v>
      </c>
      <c r="G2231" s="16">
        <f>ROUND(E2231*F2231,2)</f>
        <v>154.5</v>
      </c>
    </row>
    <row r="2232" spans="1:7" x14ac:dyDescent="0.3">
      <c r="A2232" s="13" t="s">
        <v>246</v>
      </c>
      <c r="B2232" s="13" t="s">
        <v>15</v>
      </c>
      <c r="C2232" s="13" t="s">
        <v>215</v>
      </c>
      <c r="D2232" s="14" t="s">
        <v>247</v>
      </c>
      <c r="E2232" s="15">
        <v>1</v>
      </c>
      <c r="F2232" s="15">
        <v>57.31</v>
      </c>
      <c r="G2232" s="16">
        <f>ROUND(E2232*F2232,2)</f>
        <v>57.31</v>
      </c>
    </row>
    <row r="2233" spans="1:7" x14ac:dyDescent="0.3">
      <c r="A2233" s="17"/>
      <c r="B2233" s="17"/>
      <c r="C2233" s="17"/>
      <c r="D2233" s="18" t="s">
        <v>776</v>
      </c>
      <c r="E2233" s="15">
        <v>1</v>
      </c>
      <c r="F2233" s="12">
        <f>SUM(G2221:G2232)</f>
        <v>2584.2199999999998</v>
      </c>
      <c r="G2233" s="12">
        <f>ROUND(F2233*E2233,2)</f>
        <v>2584.2199999999998</v>
      </c>
    </row>
    <row r="2234" spans="1:7" ht="1.05" customHeight="1" x14ac:dyDescent="0.3">
      <c r="A2234" s="20"/>
      <c r="B2234" s="20"/>
      <c r="C2234" s="20"/>
      <c r="D2234" s="21"/>
      <c r="E2234" s="20"/>
      <c r="F2234" s="20"/>
      <c r="G2234" s="20"/>
    </row>
    <row r="2235" spans="1:7" ht="31.2" x14ac:dyDescent="0.3">
      <c r="A2235" s="22" t="s">
        <v>777</v>
      </c>
      <c r="B2235" s="22" t="s">
        <v>11</v>
      </c>
      <c r="C2235" s="22" t="s">
        <v>12</v>
      </c>
      <c r="D2235" s="23" t="s">
        <v>250</v>
      </c>
      <c r="E2235" s="12">
        <f>E2246</f>
        <v>1</v>
      </c>
      <c r="F2235" s="12">
        <f>F2246</f>
        <v>3682.4800000000005</v>
      </c>
      <c r="G2235" s="12">
        <f>G2246</f>
        <v>3682.48</v>
      </c>
    </row>
    <row r="2236" spans="1:7" x14ac:dyDescent="0.3">
      <c r="A2236" s="13" t="s">
        <v>230</v>
      </c>
      <c r="B2236" s="13" t="s">
        <v>15</v>
      </c>
      <c r="C2236" s="13" t="s">
        <v>28</v>
      </c>
      <c r="D2236" s="14" t="s">
        <v>231</v>
      </c>
      <c r="E2236" s="15">
        <v>192.42</v>
      </c>
      <c r="F2236" s="15">
        <v>1.9</v>
      </c>
      <c r="G2236" s="16">
        <f>ROUND(E2236*F2236,2)</f>
        <v>365.6</v>
      </c>
    </row>
    <row r="2237" spans="1:7" x14ac:dyDescent="0.3">
      <c r="A2237" s="13" t="s">
        <v>558</v>
      </c>
      <c r="B2237" s="13" t="s">
        <v>15</v>
      </c>
      <c r="C2237" s="13" t="s">
        <v>28</v>
      </c>
      <c r="D2237" s="14" t="s">
        <v>559</v>
      </c>
      <c r="E2237" s="15">
        <v>29.68</v>
      </c>
      <c r="F2237" s="15">
        <v>9.15</v>
      </c>
      <c r="G2237" s="16">
        <f>ROUND(E2237*F2237,2)</f>
        <v>271.57</v>
      </c>
    </row>
    <row r="2238" spans="1:7" x14ac:dyDescent="0.3">
      <c r="A2238" s="13" t="s">
        <v>393</v>
      </c>
      <c r="B2238" s="13" t="s">
        <v>15</v>
      </c>
      <c r="C2238" s="13" t="s">
        <v>28</v>
      </c>
      <c r="D2238" s="14" t="s">
        <v>394</v>
      </c>
      <c r="E2238" s="15">
        <v>10.68</v>
      </c>
      <c r="F2238" s="15">
        <v>10.02</v>
      </c>
      <c r="G2238" s="16">
        <f>ROUND(E2238*F2238,2)</f>
        <v>107.01</v>
      </c>
    </row>
    <row r="2239" spans="1:7" x14ac:dyDescent="0.3">
      <c r="A2239" s="13" t="s">
        <v>395</v>
      </c>
      <c r="B2239" s="13" t="s">
        <v>15</v>
      </c>
      <c r="C2239" s="13" t="s">
        <v>28</v>
      </c>
      <c r="D2239" s="14" t="s">
        <v>396</v>
      </c>
      <c r="E2239" s="15">
        <v>29.85</v>
      </c>
      <c r="F2239" s="15">
        <v>11.7</v>
      </c>
      <c r="G2239" s="16">
        <f>ROUND(E2239*F2239,2)</f>
        <v>349.25</v>
      </c>
    </row>
    <row r="2240" spans="1:7" x14ac:dyDescent="0.3">
      <c r="A2240" s="13" t="s">
        <v>397</v>
      </c>
      <c r="B2240" s="13" t="s">
        <v>15</v>
      </c>
      <c r="C2240" s="13" t="s">
        <v>28</v>
      </c>
      <c r="D2240" s="14" t="s">
        <v>398</v>
      </c>
      <c r="E2240" s="15">
        <v>11.71</v>
      </c>
      <c r="F2240" s="15">
        <v>16.88</v>
      </c>
      <c r="G2240" s="16">
        <f>ROUND(E2240*F2240,2)</f>
        <v>197.66</v>
      </c>
    </row>
    <row r="2241" spans="1:7" ht="31.2" x14ac:dyDescent="0.3">
      <c r="A2241" s="13" t="s">
        <v>261</v>
      </c>
      <c r="B2241" s="13" t="s">
        <v>15</v>
      </c>
      <c r="C2241" s="13" t="s">
        <v>16</v>
      </c>
      <c r="D2241" s="14" t="s">
        <v>262</v>
      </c>
      <c r="E2241" s="15">
        <v>0.7</v>
      </c>
      <c r="F2241" s="15">
        <v>1031.75</v>
      </c>
      <c r="G2241" s="16">
        <f>ROUND(E2241*F2241,2)</f>
        <v>722.23</v>
      </c>
    </row>
    <row r="2242" spans="1:7" x14ac:dyDescent="0.3">
      <c r="A2242" s="13" t="s">
        <v>399</v>
      </c>
      <c r="B2242" s="13" t="s">
        <v>15</v>
      </c>
      <c r="C2242" s="13" t="s">
        <v>215</v>
      </c>
      <c r="D2242" s="14" t="s">
        <v>400</v>
      </c>
      <c r="E2242" s="15">
        <v>6</v>
      </c>
      <c r="F2242" s="15">
        <v>30.14</v>
      </c>
      <c r="G2242" s="16">
        <f>ROUND(E2242*F2242,2)</f>
        <v>180.84</v>
      </c>
    </row>
    <row r="2243" spans="1:7" ht="31.2" x14ac:dyDescent="0.3">
      <c r="A2243" s="13" t="s">
        <v>265</v>
      </c>
      <c r="B2243" s="13" t="s">
        <v>15</v>
      </c>
      <c r="C2243" s="13" t="s">
        <v>215</v>
      </c>
      <c r="D2243" s="14" t="s">
        <v>266</v>
      </c>
      <c r="E2243" s="15">
        <v>20</v>
      </c>
      <c r="F2243" s="15">
        <v>32.25</v>
      </c>
      <c r="G2243" s="16">
        <f>ROUND(E2243*F2243,2)</f>
        <v>645</v>
      </c>
    </row>
    <row r="2244" spans="1:7" ht="31.2" x14ac:dyDescent="0.3">
      <c r="A2244" s="13" t="s">
        <v>267</v>
      </c>
      <c r="B2244" s="13" t="s">
        <v>15</v>
      </c>
      <c r="C2244" s="13" t="s">
        <v>215</v>
      </c>
      <c r="D2244" s="14" t="s">
        <v>268</v>
      </c>
      <c r="E2244" s="15">
        <v>8</v>
      </c>
      <c r="F2244" s="15">
        <v>44.38</v>
      </c>
      <c r="G2244" s="16">
        <f>ROUND(E2244*F2244,2)</f>
        <v>355.04</v>
      </c>
    </row>
    <row r="2245" spans="1:7" x14ac:dyDescent="0.3">
      <c r="A2245" s="13" t="s">
        <v>401</v>
      </c>
      <c r="B2245" s="13" t="s">
        <v>15</v>
      </c>
      <c r="C2245" s="13" t="s">
        <v>215</v>
      </c>
      <c r="D2245" s="14" t="s">
        <v>402</v>
      </c>
      <c r="E2245" s="15">
        <v>6</v>
      </c>
      <c r="F2245" s="15">
        <v>81.38</v>
      </c>
      <c r="G2245" s="16">
        <f>ROUND(E2245*F2245,2)</f>
        <v>488.28</v>
      </c>
    </row>
    <row r="2246" spans="1:7" x14ac:dyDescent="0.3">
      <c r="A2246" s="17"/>
      <c r="B2246" s="17"/>
      <c r="C2246" s="17"/>
      <c r="D2246" s="18" t="s">
        <v>778</v>
      </c>
      <c r="E2246" s="15">
        <v>1</v>
      </c>
      <c r="F2246" s="12">
        <f>SUM(G2236:G2245)</f>
        <v>3682.4800000000005</v>
      </c>
      <c r="G2246" s="12">
        <f>ROUND(F2246*E2246,2)</f>
        <v>3682.48</v>
      </c>
    </row>
    <row r="2247" spans="1:7" ht="1.05" customHeight="1" x14ac:dyDescent="0.3">
      <c r="A2247" s="20"/>
      <c r="B2247" s="20"/>
      <c r="C2247" s="20"/>
      <c r="D2247" s="21"/>
      <c r="E2247" s="20"/>
      <c r="F2247" s="20"/>
      <c r="G2247" s="20"/>
    </row>
    <row r="2248" spans="1:7" x14ac:dyDescent="0.3">
      <c r="A2248" s="22" t="s">
        <v>779</v>
      </c>
      <c r="B2248" s="22" t="s">
        <v>11</v>
      </c>
      <c r="C2248" s="22" t="s">
        <v>12</v>
      </c>
      <c r="D2248" s="23" t="s">
        <v>275</v>
      </c>
      <c r="E2248" s="12">
        <f>E2252</f>
        <v>1</v>
      </c>
      <c r="F2248" s="12">
        <f>F2252</f>
        <v>2310.96</v>
      </c>
      <c r="G2248" s="12">
        <f>G2252</f>
        <v>2310.96</v>
      </c>
    </row>
    <row r="2249" spans="1:7" ht="31.2" x14ac:dyDescent="0.3">
      <c r="A2249" s="13" t="s">
        <v>276</v>
      </c>
      <c r="B2249" s="13" t="s">
        <v>15</v>
      </c>
      <c r="C2249" s="13" t="s">
        <v>28</v>
      </c>
      <c r="D2249" s="14" t="s">
        <v>277</v>
      </c>
      <c r="E2249" s="15">
        <v>3.25</v>
      </c>
      <c r="F2249" s="15">
        <v>27.3</v>
      </c>
      <c r="G2249" s="16">
        <f>ROUND(E2249*F2249,2)</f>
        <v>88.73</v>
      </c>
    </row>
    <row r="2250" spans="1:7" x14ac:dyDescent="0.3">
      <c r="A2250" s="13" t="s">
        <v>278</v>
      </c>
      <c r="B2250" s="13" t="s">
        <v>15</v>
      </c>
      <c r="C2250" s="13" t="s">
        <v>215</v>
      </c>
      <c r="D2250" s="14" t="s">
        <v>279</v>
      </c>
      <c r="E2250" s="15">
        <v>1</v>
      </c>
      <c r="F2250" s="15">
        <v>1666.67</v>
      </c>
      <c r="G2250" s="16">
        <f>ROUND(E2250*F2250,2)</f>
        <v>1666.67</v>
      </c>
    </row>
    <row r="2251" spans="1:7" ht="31.2" x14ac:dyDescent="0.3">
      <c r="A2251" s="13" t="s">
        <v>280</v>
      </c>
      <c r="B2251" s="13" t="s">
        <v>15</v>
      </c>
      <c r="C2251" s="13" t="s">
        <v>215</v>
      </c>
      <c r="D2251" s="14" t="s">
        <v>281</v>
      </c>
      <c r="E2251" s="15">
        <v>1</v>
      </c>
      <c r="F2251" s="15">
        <v>555.55999999999995</v>
      </c>
      <c r="G2251" s="16">
        <f>ROUND(E2251*F2251,2)</f>
        <v>555.55999999999995</v>
      </c>
    </row>
    <row r="2252" spans="1:7" x14ac:dyDescent="0.3">
      <c r="A2252" s="17"/>
      <c r="B2252" s="17"/>
      <c r="C2252" s="17"/>
      <c r="D2252" s="18" t="s">
        <v>780</v>
      </c>
      <c r="E2252" s="15">
        <v>1</v>
      </c>
      <c r="F2252" s="12">
        <f>SUM(G2249:G2251)</f>
        <v>2310.96</v>
      </c>
      <c r="G2252" s="12">
        <f>ROUND(F2252*E2252,2)</f>
        <v>2310.96</v>
      </c>
    </row>
    <row r="2253" spans="1:7" ht="1.05" customHeight="1" x14ac:dyDescent="0.3">
      <c r="A2253" s="20"/>
      <c r="B2253" s="20"/>
      <c r="C2253" s="20"/>
      <c r="D2253" s="21"/>
      <c r="E2253" s="20"/>
      <c r="F2253" s="20"/>
      <c r="G2253" s="20"/>
    </row>
    <row r="2254" spans="1:7" x14ac:dyDescent="0.3">
      <c r="A2254" s="22" t="s">
        <v>781</v>
      </c>
      <c r="B2254" s="22" t="s">
        <v>11</v>
      </c>
      <c r="C2254" s="22" t="s">
        <v>12</v>
      </c>
      <c r="D2254" s="23" t="s">
        <v>407</v>
      </c>
      <c r="E2254" s="12">
        <f>E2262</f>
        <v>1</v>
      </c>
      <c r="F2254" s="12">
        <f>F2262</f>
        <v>10291.17</v>
      </c>
      <c r="G2254" s="12">
        <f>G2262</f>
        <v>10291.17</v>
      </c>
    </row>
    <row r="2255" spans="1:7" ht="31.2" x14ac:dyDescent="0.3">
      <c r="A2255" s="13" t="s">
        <v>564</v>
      </c>
      <c r="B2255" s="13" t="s">
        <v>15</v>
      </c>
      <c r="C2255" s="13" t="s">
        <v>215</v>
      </c>
      <c r="D2255" s="14" t="s">
        <v>565</v>
      </c>
      <c r="E2255" s="15">
        <v>9</v>
      </c>
      <c r="F2255" s="15">
        <v>348.85</v>
      </c>
      <c r="G2255" s="16">
        <f>ROUND(E2255*F2255,2)</f>
        <v>3139.65</v>
      </c>
    </row>
    <row r="2256" spans="1:7" ht="31.2" x14ac:dyDescent="0.3">
      <c r="A2256" s="13" t="s">
        <v>566</v>
      </c>
      <c r="B2256" s="13" t="s">
        <v>15</v>
      </c>
      <c r="C2256" s="13" t="s">
        <v>215</v>
      </c>
      <c r="D2256" s="14" t="s">
        <v>567</v>
      </c>
      <c r="E2256" s="15">
        <v>10</v>
      </c>
      <c r="F2256" s="15">
        <v>365.25</v>
      </c>
      <c r="G2256" s="16">
        <f>ROUND(E2256*F2256,2)</f>
        <v>3652.5</v>
      </c>
    </row>
    <row r="2257" spans="1:7" x14ac:dyDescent="0.3">
      <c r="A2257" s="13" t="s">
        <v>568</v>
      </c>
      <c r="B2257" s="13" t="s">
        <v>15</v>
      </c>
      <c r="C2257" s="13" t="s">
        <v>215</v>
      </c>
      <c r="D2257" s="14" t="s">
        <v>569</v>
      </c>
      <c r="E2257" s="15">
        <v>6</v>
      </c>
      <c r="F2257" s="15">
        <v>442.68</v>
      </c>
      <c r="G2257" s="16">
        <f>ROUND(E2257*F2257,2)</f>
        <v>2656.08</v>
      </c>
    </row>
    <row r="2258" spans="1:7" ht="31.2" x14ac:dyDescent="0.3">
      <c r="A2258" s="13" t="s">
        <v>570</v>
      </c>
      <c r="B2258" s="13" t="s">
        <v>15</v>
      </c>
      <c r="C2258" s="13" t="s">
        <v>215</v>
      </c>
      <c r="D2258" s="14" t="s">
        <v>571</v>
      </c>
      <c r="E2258" s="15">
        <v>9</v>
      </c>
      <c r="F2258" s="15">
        <v>93.66</v>
      </c>
      <c r="G2258" s="16">
        <f>ROUND(E2258*F2258,2)</f>
        <v>842.94</v>
      </c>
    </row>
    <row r="2259" spans="1:7" ht="31.2" x14ac:dyDescent="0.3">
      <c r="A2259" s="13" t="s">
        <v>572</v>
      </c>
      <c r="B2259" s="13" t="s">
        <v>15</v>
      </c>
      <c r="C2259" s="13" t="s">
        <v>151</v>
      </c>
      <c r="D2259" s="14" t="s">
        <v>573</v>
      </c>
      <c r="E2259" s="15">
        <v>0</v>
      </c>
      <c r="F2259" s="15">
        <v>405.16</v>
      </c>
      <c r="G2259" s="16">
        <f>ROUND(E2259*F2259,2)</f>
        <v>0</v>
      </c>
    </row>
    <row r="2260" spans="1:7" ht="31.2" x14ac:dyDescent="0.3">
      <c r="A2260" s="13" t="s">
        <v>574</v>
      </c>
      <c r="B2260" s="13" t="s">
        <v>15</v>
      </c>
      <c r="C2260" s="13" t="s">
        <v>151</v>
      </c>
      <c r="D2260" s="14" t="s">
        <v>575</v>
      </c>
      <c r="E2260" s="15">
        <v>0</v>
      </c>
      <c r="F2260" s="15">
        <v>295.79000000000002</v>
      </c>
      <c r="G2260" s="16">
        <f>ROUND(E2260*F2260,2)</f>
        <v>0</v>
      </c>
    </row>
    <row r="2261" spans="1:7" x14ac:dyDescent="0.3">
      <c r="A2261" s="13" t="s">
        <v>576</v>
      </c>
      <c r="B2261" s="13" t="s">
        <v>15</v>
      </c>
      <c r="C2261" s="13" t="s">
        <v>151</v>
      </c>
      <c r="D2261" s="14" t="s">
        <v>577</v>
      </c>
      <c r="E2261" s="15">
        <v>0</v>
      </c>
      <c r="F2261" s="15">
        <v>293.31</v>
      </c>
      <c r="G2261" s="16">
        <f>ROUND(E2261*F2261,2)</f>
        <v>0</v>
      </c>
    </row>
    <row r="2262" spans="1:7" x14ac:dyDescent="0.3">
      <c r="A2262" s="17"/>
      <c r="B2262" s="17"/>
      <c r="C2262" s="17"/>
      <c r="D2262" s="18" t="s">
        <v>782</v>
      </c>
      <c r="E2262" s="15">
        <v>1</v>
      </c>
      <c r="F2262" s="12">
        <f>SUM(G2255:G2261)</f>
        <v>10291.17</v>
      </c>
      <c r="G2262" s="12">
        <f>ROUND(F2262*E2262,2)</f>
        <v>10291.17</v>
      </c>
    </row>
    <row r="2263" spans="1:7" ht="1.05" customHeight="1" x14ac:dyDescent="0.3">
      <c r="A2263" s="20"/>
      <c r="B2263" s="20"/>
      <c r="C2263" s="20"/>
      <c r="D2263" s="21"/>
      <c r="E2263" s="20"/>
      <c r="F2263" s="20"/>
      <c r="G2263" s="20"/>
    </row>
    <row r="2264" spans="1:7" x14ac:dyDescent="0.3">
      <c r="A2264" s="22" t="s">
        <v>783</v>
      </c>
      <c r="B2264" s="22" t="s">
        <v>11</v>
      </c>
      <c r="C2264" s="22" t="s">
        <v>12</v>
      </c>
      <c r="D2264" s="23" t="s">
        <v>165</v>
      </c>
      <c r="E2264" s="12">
        <f>E2267</f>
        <v>1</v>
      </c>
      <c r="F2264" s="12">
        <f>F2267</f>
        <v>961.3</v>
      </c>
      <c r="G2264" s="12">
        <f>G2267</f>
        <v>961.3</v>
      </c>
    </row>
    <row r="2265" spans="1:7" x14ac:dyDescent="0.3">
      <c r="A2265" s="13" t="s">
        <v>582</v>
      </c>
      <c r="B2265" s="13" t="s">
        <v>15</v>
      </c>
      <c r="C2265" s="13" t="s">
        <v>151</v>
      </c>
      <c r="D2265" s="14" t="s">
        <v>583</v>
      </c>
      <c r="E2265" s="15">
        <v>2</v>
      </c>
      <c r="F2265" s="15">
        <v>74.39</v>
      </c>
      <c r="G2265" s="16">
        <f>ROUND(E2265*F2265,2)</f>
        <v>148.78</v>
      </c>
    </row>
    <row r="2266" spans="1:7" ht="31.2" x14ac:dyDescent="0.3">
      <c r="A2266" s="13" t="s">
        <v>584</v>
      </c>
      <c r="B2266" s="13" t="s">
        <v>15</v>
      </c>
      <c r="C2266" s="13" t="s">
        <v>215</v>
      </c>
      <c r="D2266" s="14" t="s">
        <v>585</v>
      </c>
      <c r="E2266" s="15">
        <v>3</v>
      </c>
      <c r="F2266" s="15">
        <v>270.83999999999997</v>
      </c>
      <c r="G2266" s="16">
        <f>ROUND(E2266*F2266,2)</f>
        <v>812.52</v>
      </c>
    </row>
    <row r="2267" spans="1:7" x14ac:dyDescent="0.3">
      <c r="A2267" s="17"/>
      <c r="B2267" s="17"/>
      <c r="C2267" s="17"/>
      <c r="D2267" s="18" t="s">
        <v>784</v>
      </c>
      <c r="E2267" s="15">
        <v>1</v>
      </c>
      <c r="F2267" s="12">
        <f>SUM(G2265:G2266)</f>
        <v>961.3</v>
      </c>
      <c r="G2267" s="12">
        <f>ROUND(F2267*E2267,2)</f>
        <v>961.3</v>
      </c>
    </row>
    <row r="2268" spans="1:7" ht="1.05" customHeight="1" x14ac:dyDescent="0.3">
      <c r="A2268" s="20"/>
      <c r="B2268" s="20"/>
      <c r="C2268" s="20"/>
      <c r="D2268" s="21"/>
      <c r="E2268" s="20"/>
      <c r="F2268" s="20"/>
      <c r="G2268" s="20"/>
    </row>
    <row r="2269" spans="1:7" x14ac:dyDescent="0.3">
      <c r="A2269" s="17"/>
      <c r="B2269" s="17"/>
      <c r="C2269" s="17"/>
      <c r="D2269" s="18" t="s">
        <v>785</v>
      </c>
      <c r="E2269" s="15">
        <v>1</v>
      </c>
      <c r="F2269" s="12">
        <f>G2233+G2246+G2252+G2262+G2267</f>
        <v>19830.13</v>
      </c>
      <c r="G2269" s="12">
        <f>ROUND(F2269*E2269,2)</f>
        <v>19830.13</v>
      </c>
    </row>
    <row r="2270" spans="1:7" ht="1.05" customHeight="1" x14ac:dyDescent="0.3">
      <c r="A2270" s="20"/>
      <c r="B2270" s="20"/>
      <c r="C2270" s="20"/>
      <c r="D2270" s="21"/>
      <c r="E2270" s="20"/>
      <c r="F2270" s="20"/>
      <c r="G2270" s="20"/>
    </row>
    <row r="2271" spans="1:7" x14ac:dyDescent="0.3">
      <c r="A2271" s="22" t="s">
        <v>786</v>
      </c>
      <c r="B2271" s="22" t="s">
        <v>11</v>
      </c>
      <c r="C2271" s="22" t="s">
        <v>12</v>
      </c>
      <c r="D2271" s="23" t="s">
        <v>285</v>
      </c>
      <c r="E2271" s="12">
        <f>E2285</f>
        <v>1</v>
      </c>
      <c r="F2271" s="12">
        <f>F2285</f>
        <v>10086.689999999999</v>
      </c>
      <c r="G2271" s="12">
        <f>G2285</f>
        <v>10086.69</v>
      </c>
    </row>
    <row r="2272" spans="1:7" x14ac:dyDescent="0.3">
      <c r="A2272" s="13" t="s">
        <v>589</v>
      </c>
      <c r="B2272" s="13" t="s">
        <v>15</v>
      </c>
      <c r="C2272" s="13" t="s">
        <v>215</v>
      </c>
      <c r="D2272" s="14" t="s">
        <v>590</v>
      </c>
      <c r="E2272" s="15">
        <v>0</v>
      </c>
      <c r="F2272" s="15">
        <v>51.04</v>
      </c>
      <c r="G2272" s="16">
        <f>ROUND(E2272*F2272,2)</f>
        <v>0</v>
      </c>
    </row>
    <row r="2273" spans="1:7" x14ac:dyDescent="0.3">
      <c r="A2273" s="13" t="s">
        <v>591</v>
      </c>
      <c r="B2273" s="13" t="s">
        <v>15</v>
      </c>
      <c r="C2273" s="13" t="s">
        <v>215</v>
      </c>
      <c r="D2273" s="14" t="s">
        <v>592</v>
      </c>
      <c r="E2273" s="15">
        <v>0</v>
      </c>
      <c r="F2273" s="15">
        <v>37.28</v>
      </c>
      <c r="G2273" s="16">
        <f>ROUND(E2273*F2273,2)</f>
        <v>0</v>
      </c>
    </row>
    <row r="2274" spans="1:7" x14ac:dyDescent="0.3">
      <c r="A2274" s="13" t="s">
        <v>593</v>
      </c>
      <c r="B2274" s="13" t="s">
        <v>15</v>
      </c>
      <c r="C2274" s="13" t="s">
        <v>215</v>
      </c>
      <c r="D2274" s="14" t="s">
        <v>594</v>
      </c>
      <c r="E2274" s="15">
        <v>0</v>
      </c>
      <c r="F2274" s="15">
        <v>30.48</v>
      </c>
      <c r="G2274" s="16">
        <f>ROUND(E2274*F2274,2)</f>
        <v>0</v>
      </c>
    </row>
    <row r="2275" spans="1:7" x14ac:dyDescent="0.3">
      <c r="A2275" s="13" t="s">
        <v>595</v>
      </c>
      <c r="B2275" s="13" t="s">
        <v>15</v>
      </c>
      <c r="C2275" s="13" t="s">
        <v>215</v>
      </c>
      <c r="D2275" s="14" t="s">
        <v>596</v>
      </c>
      <c r="E2275" s="15">
        <v>24</v>
      </c>
      <c r="F2275" s="15">
        <v>31.59</v>
      </c>
      <c r="G2275" s="16">
        <f>ROUND(E2275*F2275,2)</f>
        <v>758.16</v>
      </c>
    </row>
    <row r="2276" spans="1:7" x14ac:dyDescent="0.3">
      <c r="A2276" s="13" t="s">
        <v>296</v>
      </c>
      <c r="B2276" s="13" t="s">
        <v>15</v>
      </c>
      <c r="C2276" s="13" t="s">
        <v>215</v>
      </c>
      <c r="D2276" s="14" t="s">
        <v>297</v>
      </c>
      <c r="E2276" s="15">
        <v>58</v>
      </c>
      <c r="F2276" s="15">
        <v>50.07</v>
      </c>
      <c r="G2276" s="16">
        <f>ROUND(E2276*F2276,2)</f>
        <v>2904.06</v>
      </c>
    </row>
    <row r="2277" spans="1:7" x14ac:dyDescent="0.3">
      <c r="A2277" s="13" t="s">
        <v>298</v>
      </c>
      <c r="B2277" s="13" t="s">
        <v>15</v>
      </c>
      <c r="C2277" s="13" t="s">
        <v>215</v>
      </c>
      <c r="D2277" s="14" t="s">
        <v>299</v>
      </c>
      <c r="E2277" s="15">
        <v>0</v>
      </c>
      <c r="F2277" s="15">
        <v>42.74</v>
      </c>
      <c r="G2277" s="16">
        <f>ROUND(E2277*F2277,2)</f>
        <v>0</v>
      </c>
    </row>
    <row r="2278" spans="1:7" x14ac:dyDescent="0.3">
      <c r="A2278" s="13" t="s">
        <v>300</v>
      </c>
      <c r="B2278" s="13" t="s">
        <v>15</v>
      </c>
      <c r="C2278" s="13" t="s">
        <v>215</v>
      </c>
      <c r="D2278" s="14" t="s">
        <v>301</v>
      </c>
      <c r="E2278" s="15">
        <v>32</v>
      </c>
      <c r="F2278" s="15">
        <v>45.93</v>
      </c>
      <c r="G2278" s="16">
        <f>ROUND(E2278*F2278,2)</f>
        <v>1469.76</v>
      </c>
    </row>
    <row r="2279" spans="1:7" x14ac:dyDescent="0.3">
      <c r="A2279" s="13" t="s">
        <v>302</v>
      </c>
      <c r="B2279" s="13" t="s">
        <v>15</v>
      </c>
      <c r="C2279" s="13" t="s">
        <v>215</v>
      </c>
      <c r="D2279" s="14" t="s">
        <v>303</v>
      </c>
      <c r="E2279" s="15">
        <v>2</v>
      </c>
      <c r="F2279" s="15">
        <v>51.73</v>
      </c>
      <c r="G2279" s="16">
        <f>ROUND(E2279*F2279,2)</f>
        <v>103.46</v>
      </c>
    </row>
    <row r="2280" spans="1:7" x14ac:dyDescent="0.3">
      <c r="A2280" s="13" t="s">
        <v>304</v>
      </c>
      <c r="B2280" s="13" t="s">
        <v>15</v>
      </c>
      <c r="C2280" s="13" t="s">
        <v>215</v>
      </c>
      <c r="D2280" s="14" t="s">
        <v>305</v>
      </c>
      <c r="E2280" s="15">
        <v>5</v>
      </c>
      <c r="F2280" s="15">
        <v>53.67</v>
      </c>
      <c r="G2280" s="16">
        <f>ROUND(E2280*F2280,2)</f>
        <v>268.35000000000002</v>
      </c>
    </row>
    <row r="2281" spans="1:7" ht="31.2" x14ac:dyDescent="0.3">
      <c r="A2281" s="13" t="s">
        <v>306</v>
      </c>
      <c r="B2281" s="13" t="s">
        <v>15</v>
      </c>
      <c r="C2281" s="13" t="s">
        <v>215</v>
      </c>
      <c r="D2281" s="14" t="s">
        <v>307</v>
      </c>
      <c r="E2281" s="15">
        <v>57</v>
      </c>
      <c r="F2281" s="15">
        <v>61.18</v>
      </c>
      <c r="G2281" s="16">
        <f>ROUND(E2281*F2281,2)</f>
        <v>3487.26</v>
      </c>
    </row>
    <row r="2282" spans="1:7" ht="31.2" x14ac:dyDescent="0.3">
      <c r="A2282" s="13" t="s">
        <v>308</v>
      </c>
      <c r="B2282" s="13" t="s">
        <v>15</v>
      </c>
      <c r="C2282" s="13" t="s">
        <v>215</v>
      </c>
      <c r="D2282" s="14" t="s">
        <v>309</v>
      </c>
      <c r="E2282" s="15">
        <v>13</v>
      </c>
      <c r="F2282" s="15">
        <v>84.28</v>
      </c>
      <c r="G2282" s="16">
        <f>ROUND(E2282*F2282,2)</f>
        <v>1095.6400000000001</v>
      </c>
    </row>
    <row r="2283" spans="1:7" x14ac:dyDescent="0.3">
      <c r="A2283" s="13" t="s">
        <v>314</v>
      </c>
      <c r="B2283" s="13" t="s">
        <v>15</v>
      </c>
      <c r="C2283" s="13" t="s">
        <v>215</v>
      </c>
      <c r="D2283" s="14" t="s">
        <v>315</v>
      </c>
      <c r="E2283" s="15">
        <v>0</v>
      </c>
      <c r="F2283" s="15">
        <v>55.56</v>
      </c>
      <c r="G2283" s="16">
        <f>ROUND(E2283*F2283,2)</f>
        <v>0</v>
      </c>
    </row>
    <row r="2284" spans="1:7" x14ac:dyDescent="0.3">
      <c r="A2284" s="13" t="s">
        <v>415</v>
      </c>
      <c r="B2284" s="13" t="s">
        <v>15</v>
      </c>
      <c r="C2284" s="13" t="s">
        <v>215</v>
      </c>
      <c r="D2284" s="14" t="s">
        <v>416</v>
      </c>
      <c r="E2284" s="15">
        <v>0</v>
      </c>
      <c r="F2284" s="15">
        <v>438.83</v>
      </c>
      <c r="G2284" s="16">
        <f>ROUND(E2284*F2284,2)</f>
        <v>0</v>
      </c>
    </row>
    <row r="2285" spans="1:7" x14ac:dyDescent="0.3">
      <c r="A2285" s="17"/>
      <c r="B2285" s="17"/>
      <c r="C2285" s="17"/>
      <c r="D2285" s="18" t="s">
        <v>787</v>
      </c>
      <c r="E2285" s="15">
        <v>1</v>
      </c>
      <c r="F2285" s="12">
        <f>SUM(G2272:G2284)</f>
        <v>10086.689999999999</v>
      </c>
      <c r="G2285" s="12">
        <f>ROUND(F2285*E2285,2)</f>
        <v>10086.69</v>
      </c>
    </row>
    <row r="2286" spans="1:7" ht="1.05" customHeight="1" x14ac:dyDescent="0.3">
      <c r="A2286" s="20"/>
      <c r="B2286" s="20"/>
      <c r="C2286" s="20"/>
      <c r="D2286" s="21"/>
      <c r="E2286" s="20"/>
      <c r="F2286" s="20"/>
      <c r="G2286" s="20"/>
    </row>
    <row r="2287" spans="1:7" x14ac:dyDescent="0.3">
      <c r="A2287" s="17"/>
      <c r="B2287" s="17"/>
      <c r="C2287" s="17"/>
      <c r="D2287" s="18" t="s">
        <v>788</v>
      </c>
      <c r="E2287" s="19">
        <v>1</v>
      </c>
      <c r="F2287" s="12">
        <f>G2150+G2155+G2166+G2173+G2177+G2182+G2190+G2195+G2202+G2208+G2217+G2269+G2285</f>
        <v>212471.54</v>
      </c>
      <c r="G2287" s="12">
        <f>ROUND(F2287*E2287,2)</f>
        <v>212471.54</v>
      </c>
    </row>
    <row r="2288" spans="1:7" ht="1.05" customHeight="1" x14ac:dyDescent="0.3">
      <c r="A2288" s="20"/>
      <c r="B2288" s="20"/>
      <c r="C2288" s="20"/>
      <c r="D2288" s="21"/>
      <c r="E2288" s="20"/>
      <c r="F2288" s="20"/>
      <c r="G2288" s="20"/>
    </row>
    <row r="2289" spans="1:7" x14ac:dyDescent="0.3">
      <c r="A2289" s="9" t="s">
        <v>789</v>
      </c>
      <c r="B2289" s="9" t="s">
        <v>11</v>
      </c>
      <c r="C2289" s="9" t="s">
        <v>12</v>
      </c>
      <c r="D2289" s="10" t="s">
        <v>790</v>
      </c>
      <c r="E2289" s="11">
        <f>E2372</f>
        <v>1</v>
      </c>
      <c r="F2289" s="12">
        <f>F2372</f>
        <v>65939.540000000008</v>
      </c>
      <c r="G2289" s="12">
        <f>G2372</f>
        <v>65939.539999999994</v>
      </c>
    </row>
    <row r="2290" spans="1:7" x14ac:dyDescent="0.3">
      <c r="A2290" s="22" t="s">
        <v>791</v>
      </c>
      <c r="B2290" s="22" t="s">
        <v>11</v>
      </c>
      <c r="C2290" s="22" t="s">
        <v>12</v>
      </c>
      <c r="D2290" s="23" t="s">
        <v>57</v>
      </c>
      <c r="E2290" s="12">
        <f>E2308</f>
        <v>1</v>
      </c>
      <c r="F2290" s="12">
        <f>F2308</f>
        <v>42265.57</v>
      </c>
      <c r="G2290" s="12">
        <f>G2308</f>
        <v>42265.57</v>
      </c>
    </row>
    <row r="2291" spans="1:7" x14ac:dyDescent="0.3">
      <c r="A2291" s="13" t="s">
        <v>81</v>
      </c>
      <c r="B2291" s="13" t="s">
        <v>15</v>
      </c>
      <c r="C2291" s="13" t="s">
        <v>60</v>
      </c>
      <c r="D2291" s="14" t="s">
        <v>82</v>
      </c>
      <c r="E2291" s="15">
        <v>0</v>
      </c>
      <c r="F2291" s="15">
        <v>572.66999999999996</v>
      </c>
      <c r="G2291" s="16">
        <f>ROUND(E2291*F2291,2)</f>
        <v>0</v>
      </c>
    </row>
    <row r="2292" spans="1:7" x14ac:dyDescent="0.3">
      <c r="A2292" s="13" t="s">
        <v>83</v>
      </c>
      <c r="B2292" s="13" t="s">
        <v>15</v>
      </c>
      <c r="C2292" s="13" t="s">
        <v>60</v>
      </c>
      <c r="D2292" s="14" t="s">
        <v>84</v>
      </c>
      <c r="E2292" s="15">
        <v>0</v>
      </c>
      <c r="F2292" s="15">
        <v>545.57000000000005</v>
      </c>
      <c r="G2292" s="16">
        <f>ROUND(E2292*F2292,2)</f>
        <v>0</v>
      </c>
    </row>
    <row r="2293" spans="1:7" ht="31.2" x14ac:dyDescent="0.3">
      <c r="A2293" s="13" t="s">
        <v>97</v>
      </c>
      <c r="B2293" s="13" t="s">
        <v>15</v>
      </c>
      <c r="C2293" s="13" t="s">
        <v>60</v>
      </c>
      <c r="D2293" s="14" t="s">
        <v>98</v>
      </c>
      <c r="E2293" s="15">
        <v>0</v>
      </c>
      <c r="F2293" s="15">
        <v>1055.26</v>
      </c>
      <c r="G2293" s="16">
        <f>ROUND(E2293*F2293,2)</f>
        <v>0</v>
      </c>
    </row>
    <row r="2294" spans="1:7" ht="31.2" x14ac:dyDescent="0.3">
      <c r="A2294" s="13" t="s">
        <v>99</v>
      </c>
      <c r="B2294" s="13" t="s">
        <v>15</v>
      </c>
      <c r="C2294" s="13" t="s">
        <v>60</v>
      </c>
      <c r="D2294" s="14" t="s">
        <v>100</v>
      </c>
      <c r="E2294" s="15">
        <v>0</v>
      </c>
      <c r="F2294" s="15">
        <v>779.5</v>
      </c>
      <c r="G2294" s="16">
        <f>ROUND(E2294*F2294,2)</f>
        <v>0</v>
      </c>
    </row>
    <row r="2295" spans="1:7" ht="31.2" x14ac:dyDescent="0.3">
      <c r="A2295" s="13" t="s">
        <v>660</v>
      </c>
      <c r="B2295" s="13" t="s">
        <v>15</v>
      </c>
      <c r="C2295" s="13" t="s">
        <v>60</v>
      </c>
      <c r="D2295" s="14" t="s">
        <v>661</v>
      </c>
      <c r="E2295" s="15">
        <v>0</v>
      </c>
      <c r="F2295" s="15">
        <v>858.05</v>
      </c>
      <c r="G2295" s="16">
        <f>ROUND(E2295*F2295,2)</f>
        <v>0</v>
      </c>
    </row>
    <row r="2296" spans="1:7" ht="31.2" x14ac:dyDescent="0.3">
      <c r="A2296" s="13" t="s">
        <v>662</v>
      </c>
      <c r="B2296" s="13" t="s">
        <v>15</v>
      </c>
      <c r="C2296" s="13" t="s">
        <v>60</v>
      </c>
      <c r="D2296" s="14" t="s">
        <v>663</v>
      </c>
      <c r="E2296" s="15">
        <v>0</v>
      </c>
      <c r="F2296" s="15">
        <v>714.24</v>
      </c>
      <c r="G2296" s="16">
        <f>ROUND(E2296*F2296,2)</f>
        <v>0</v>
      </c>
    </row>
    <row r="2297" spans="1:7" x14ac:dyDescent="0.3">
      <c r="A2297" s="13" t="s">
        <v>105</v>
      </c>
      <c r="B2297" s="13" t="s">
        <v>15</v>
      </c>
      <c r="C2297" s="13" t="s">
        <v>60</v>
      </c>
      <c r="D2297" s="14" t="s">
        <v>106</v>
      </c>
      <c r="E2297" s="15">
        <v>0</v>
      </c>
      <c r="F2297" s="15">
        <v>476.95</v>
      </c>
      <c r="G2297" s="16">
        <f>ROUND(E2297*F2297,2)</f>
        <v>0</v>
      </c>
    </row>
    <row r="2298" spans="1:7" x14ac:dyDescent="0.3">
      <c r="A2298" s="13" t="s">
        <v>321</v>
      </c>
      <c r="B2298" s="13" t="s">
        <v>15</v>
      </c>
      <c r="C2298" s="13" t="s">
        <v>60</v>
      </c>
      <c r="D2298" s="14" t="s">
        <v>322</v>
      </c>
      <c r="E2298" s="15">
        <v>3.43</v>
      </c>
      <c r="F2298" s="15">
        <v>713.28</v>
      </c>
      <c r="G2298" s="16">
        <f>ROUND(E2298*F2298,2)</f>
        <v>2446.5500000000002</v>
      </c>
    </row>
    <row r="2299" spans="1:7" x14ac:dyDescent="0.3">
      <c r="A2299" s="13" t="s">
        <v>323</v>
      </c>
      <c r="B2299" s="13" t="s">
        <v>15</v>
      </c>
      <c r="C2299" s="13" t="s">
        <v>60</v>
      </c>
      <c r="D2299" s="14" t="s">
        <v>324</v>
      </c>
      <c r="E2299" s="15">
        <v>3.02</v>
      </c>
      <c r="F2299" s="15">
        <v>702.51</v>
      </c>
      <c r="G2299" s="16">
        <f>ROUND(E2299*F2299,2)</f>
        <v>2121.58</v>
      </c>
    </row>
    <row r="2300" spans="1:7" x14ac:dyDescent="0.3">
      <c r="A2300" s="13" t="s">
        <v>325</v>
      </c>
      <c r="B2300" s="13" t="s">
        <v>15</v>
      </c>
      <c r="C2300" s="13" t="s">
        <v>60</v>
      </c>
      <c r="D2300" s="14" t="s">
        <v>326</v>
      </c>
      <c r="E2300" s="15">
        <v>3.02</v>
      </c>
      <c r="F2300" s="15">
        <v>680.27</v>
      </c>
      <c r="G2300" s="16">
        <f>ROUND(E2300*F2300,2)</f>
        <v>2054.42</v>
      </c>
    </row>
    <row r="2301" spans="1:7" x14ac:dyDescent="0.3">
      <c r="A2301" s="13" t="s">
        <v>327</v>
      </c>
      <c r="B2301" s="13" t="s">
        <v>15</v>
      </c>
      <c r="C2301" s="13" t="s">
        <v>60</v>
      </c>
      <c r="D2301" s="14" t="s">
        <v>328</v>
      </c>
      <c r="E2301" s="15">
        <v>3.53</v>
      </c>
      <c r="F2301" s="15">
        <v>693.2</v>
      </c>
      <c r="G2301" s="16">
        <f>ROUND(E2301*F2301,2)</f>
        <v>2447</v>
      </c>
    </row>
    <row r="2302" spans="1:7" x14ac:dyDescent="0.3">
      <c r="A2302" s="13" t="s">
        <v>329</v>
      </c>
      <c r="B2302" s="13" t="s">
        <v>15</v>
      </c>
      <c r="C2302" s="13" t="s">
        <v>60</v>
      </c>
      <c r="D2302" s="14" t="s">
        <v>330</v>
      </c>
      <c r="E2302" s="15">
        <v>3.59</v>
      </c>
      <c r="F2302" s="15">
        <v>693.4</v>
      </c>
      <c r="G2302" s="16">
        <f>ROUND(E2302*F2302,2)</f>
        <v>2489.31</v>
      </c>
    </row>
    <row r="2303" spans="1:7" x14ac:dyDescent="0.3">
      <c r="A2303" s="13" t="s">
        <v>331</v>
      </c>
      <c r="B2303" s="13" t="s">
        <v>15</v>
      </c>
      <c r="C2303" s="13" t="s">
        <v>60</v>
      </c>
      <c r="D2303" s="14" t="s">
        <v>332</v>
      </c>
      <c r="E2303" s="15">
        <v>3.39</v>
      </c>
      <c r="F2303" s="15">
        <v>700.15</v>
      </c>
      <c r="G2303" s="16">
        <f>ROUND(E2303*F2303,2)</f>
        <v>2373.5100000000002</v>
      </c>
    </row>
    <row r="2304" spans="1:7" x14ac:dyDescent="0.3">
      <c r="A2304" s="13" t="s">
        <v>333</v>
      </c>
      <c r="B2304" s="13" t="s">
        <v>15</v>
      </c>
      <c r="C2304" s="13" t="s">
        <v>60</v>
      </c>
      <c r="D2304" s="14" t="s">
        <v>334</v>
      </c>
      <c r="E2304" s="15">
        <v>2.17</v>
      </c>
      <c r="F2304" s="15">
        <v>693.4</v>
      </c>
      <c r="G2304" s="16">
        <f>ROUND(E2304*F2304,2)</f>
        <v>1504.68</v>
      </c>
    </row>
    <row r="2305" spans="1:7" ht="31.2" x14ac:dyDescent="0.3">
      <c r="A2305" s="13" t="s">
        <v>432</v>
      </c>
      <c r="B2305" s="13" t="s">
        <v>15</v>
      </c>
      <c r="C2305" s="13" t="s">
        <v>60</v>
      </c>
      <c r="D2305" s="14" t="s">
        <v>433</v>
      </c>
      <c r="E2305" s="15">
        <v>0</v>
      </c>
      <c r="F2305" s="15">
        <v>700.07</v>
      </c>
      <c r="G2305" s="16">
        <f>ROUND(E2305*F2305,2)</f>
        <v>0</v>
      </c>
    </row>
    <row r="2306" spans="1:7" x14ac:dyDescent="0.3">
      <c r="A2306" s="13" t="s">
        <v>335</v>
      </c>
      <c r="B2306" s="13" t="s">
        <v>15</v>
      </c>
      <c r="C2306" s="13" t="s">
        <v>91</v>
      </c>
      <c r="D2306" s="14" t="s">
        <v>336</v>
      </c>
      <c r="E2306" s="15">
        <v>7.33</v>
      </c>
      <c r="F2306" s="15">
        <v>367.46</v>
      </c>
      <c r="G2306" s="16">
        <f>ROUND(E2306*F2306,2)</f>
        <v>2693.48</v>
      </c>
    </row>
    <row r="2307" spans="1:7" x14ac:dyDescent="0.3">
      <c r="A2307" s="13" t="s">
        <v>606</v>
      </c>
      <c r="B2307" s="13" t="s">
        <v>15</v>
      </c>
      <c r="C2307" s="13" t="s">
        <v>60</v>
      </c>
      <c r="D2307" s="14" t="s">
        <v>607</v>
      </c>
      <c r="E2307" s="15">
        <v>49.04</v>
      </c>
      <c r="F2307" s="15">
        <v>492.15</v>
      </c>
      <c r="G2307" s="16">
        <f>ROUND(E2307*F2307,2)</f>
        <v>24135.040000000001</v>
      </c>
    </row>
    <row r="2308" spans="1:7" x14ac:dyDescent="0.3">
      <c r="A2308" s="17"/>
      <c r="B2308" s="17"/>
      <c r="C2308" s="17"/>
      <c r="D2308" s="18" t="s">
        <v>792</v>
      </c>
      <c r="E2308" s="15">
        <v>1</v>
      </c>
      <c r="F2308" s="12">
        <f>SUM(G2291:G2307)</f>
        <v>42265.57</v>
      </c>
      <c r="G2308" s="12">
        <f>ROUND(F2308*E2308,2)</f>
        <v>42265.57</v>
      </c>
    </row>
    <row r="2309" spans="1:7" ht="1.05" customHeight="1" x14ac:dyDescent="0.3">
      <c r="A2309" s="20"/>
      <c r="B2309" s="20"/>
      <c r="C2309" s="20"/>
      <c r="D2309" s="21"/>
      <c r="E2309" s="20"/>
      <c r="F2309" s="20"/>
      <c r="G2309" s="20"/>
    </row>
    <row r="2310" spans="1:7" x14ac:dyDescent="0.3">
      <c r="A2310" s="22" t="s">
        <v>793</v>
      </c>
      <c r="B2310" s="22" t="s">
        <v>11</v>
      </c>
      <c r="C2310" s="22" t="s">
        <v>12</v>
      </c>
      <c r="D2310" s="23" t="s">
        <v>109</v>
      </c>
      <c r="E2310" s="12">
        <f>E2312</f>
        <v>1</v>
      </c>
      <c r="F2310" s="12">
        <f>F2312</f>
        <v>2448.81</v>
      </c>
      <c r="G2310" s="12">
        <f>G2312</f>
        <v>2448.81</v>
      </c>
    </row>
    <row r="2311" spans="1:7" ht="31.2" x14ac:dyDescent="0.3">
      <c r="A2311" s="13" t="s">
        <v>110</v>
      </c>
      <c r="B2311" s="13" t="s">
        <v>15</v>
      </c>
      <c r="C2311" s="13" t="s">
        <v>112</v>
      </c>
      <c r="D2311" s="14" t="s">
        <v>111</v>
      </c>
      <c r="E2311" s="15">
        <v>89.34</v>
      </c>
      <c r="F2311" s="15">
        <v>27.41</v>
      </c>
      <c r="G2311" s="16">
        <f>ROUND(E2311*F2311,2)</f>
        <v>2448.81</v>
      </c>
    </row>
    <row r="2312" spans="1:7" x14ac:dyDescent="0.3">
      <c r="A2312" s="17"/>
      <c r="B2312" s="17"/>
      <c r="C2312" s="17"/>
      <c r="D2312" s="18" t="s">
        <v>794</v>
      </c>
      <c r="E2312" s="15">
        <v>1</v>
      </c>
      <c r="F2312" s="12">
        <f>G2311</f>
        <v>2448.81</v>
      </c>
      <c r="G2312" s="12">
        <f>ROUND(F2312*E2312,2)</f>
        <v>2448.81</v>
      </c>
    </row>
    <row r="2313" spans="1:7" ht="1.05" customHeight="1" x14ac:dyDescent="0.3">
      <c r="A2313" s="20"/>
      <c r="B2313" s="20"/>
      <c r="C2313" s="20"/>
      <c r="D2313" s="21"/>
      <c r="E2313" s="20"/>
      <c r="F2313" s="20"/>
      <c r="G2313" s="20"/>
    </row>
    <row r="2314" spans="1:7" x14ac:dyDescent="0.3">
      <c r="A2314" s="22" t="s">
        <v>795</v>
      </c>
      <c r="B2314" s="22" t="s">
        <v>11</v>
      </c>
      <c r="C2314" s="22" t="s">
        <v>12</v>
      </c>
      <c r="D2314" s="23" t="s">
        <v>115</v>
      </c>
      <c r="E2314" s="12">
        <f>E2323</f>
        <v>1</v>
      </c>
      <c r="F2314" s="12">
        <f>F2323</f>
        <v>2647.1400000000003</v>
      </c>
      <c r="G2314" s="12">
        <f>G2323</f>
        <v>2647.14</v>
      </c>
    </row>
    <row r="2315" spans="1:7" x14ac:dyDescent="0.3">
      <c r="A2315" s="13" t="s">
        <v>116</v>
      </c>
      <c r="B2315" s="13" t="s">
        <v>15</v>
      </c>
      <c r="C2315" s="13" t="s">
        <v>112</v>
      </c>
      <c r="D2315" s="14" t="s">
        <v>117</v>
      </c>
      <c r="E2315" s="15">
        <v>0</v>
      </c>
      <c r="F2315" s="15">
        <v>1.96</v>
      </c>
      <c r="G2315" s="16">
        <f>ROUND(E2315*F2315,2)</f>
        <v>0</v>
      </c>
    </row>
    <row r="2316" spans="1:7" ht="31.2" x14ac:dyDescent="0.3">
      <c r="A2316" s="13" t="s">
        <v>118</v>
      </c>
      <c r="B2316" s="13" t="s">
        <v>15</v>
      </c>
      <c r="C2316" s="13" t="s">
        <v>112</v>
      </c>
      <c r="D2316" s="14" t="s">
        <v>119</v>
      </c>
      <c r="E2316" s="15">
        <v>178.68</v>
      </c>
      <c r="F2316" s="15">
        <v>8.4</v>
      </c>
      <c r="G2316" s="16">
        <f>ROUND(E2316*F2316,2)</f>
        <v>1500.91</v>
      </c>
    </row>
    <row r="2317" spans="1:7" x14ac:dyDescent="0.3">
      <c r="A2317" s="13" t="s">
        <v>503</v>
      </c>
      <c r="B2317" s="13" t="s">
        <v>15</v>
      </c>
      <c r="C2317" s="13" t="s">
        <v>112</v>
      </c>
      <c r="D2317" s="14" t="s">
        <v>504</v>
      </c>
      <c r="E2317" s="15">
        <v>0</v>
      </c>
      <c r="F2317" s="15">
        <v>3.02</v>
      </c>
      <c r="G2317" s="16">
        <f>ROUND(E2317*F2317,2)</f>
        <v>0</v>
      </c>
    </row>
    <row r="2318" spans="1:7" ht="31.2" x14ac:dyDescent="0.3">
      <c r="A2318" s="13" t="s">
        <v>120</v>
      </c>
      <c r="B2318" s="13" t="s">
        <v>15</v>
      </c>
      <c r="C2318" s="13" t="s">
        <v>112</v>
      </c>
      <c r="D2318" s="14" t="s">
        <v>121</v>
      </c>
      <c r="E2318" s="15">
        <v>0</v>
      </c>
      <c r="F2318" s="15">
        <v>8.4700000000000006</v>
      </c>
      <c r="G2318" s="16">
        <f>ROUND(E2318*F2318,2)</f>
        <v>0</v>
      </c>
    </row>
    <row r="2319" spans="1:7" ht="31.2" x14ac:dyDescent="0.3">
      <c r="A2319" s="13" t="s">
        <v>122</v>
      </c>
      <c r="B2319" s="13" t="s">
        <v>15</v>
      </c>
      <c r="C2319" s="13" t="s">
        <v>112</v>
      </c>
      <c r="D2319" s="14" t="s">
        <v>123</v>
      </c>
      <c r="E2319" s="15">
        <v>0</v>
      </c>
      <c r="F2319" s="15">
        <v>11.87</v>
      </c>
      <c r="G2319" s="16">
        <f>ROUND(E2319*F2319,2)</f>
        <v>0</v>
      </c>
    </row>
    <row r="2320" spans="1:7" ht="31.2" x14ac:dyDescent="0.3">
      <c r="A2320" s="13" t="s">
        <v>124</v>
      </c>
      <c r="B2320" s="13" t="s">
        <v>15</v>
      </c>
      <c r="C2320" s="13" t="s">
        <v>112</v>
      </c>
      <c r="D2320" s="14" t="s">
        <v>125</v>
      </c>
      <c r="E2320" s="15">
        <v>0</v>
      </c>
      <c r="F2320" s="15">
        <v>9.4600000000000009</v>
      </c>
      <c r="G2320" s="16">
        <f>ROUND(E2320*F2320,2)</f>
        <v>0</v>
      </c>
    </row>
    <row r="2321" spans="1:7" x14ac:dyDescent="0.3">
      <c r="A2321" s="13" t="s">
        <v>126</v>
      </c>
      <c r="B2321" s="13" t="s">
        <v>15</v>
      </c>
      <c r="C2321" s="13" t="s">
        <v>28</v>
      </c>
      <c r="D2321" s="14" t="s">
        <v>127</v>
      </c>
      <c r="E2321" s="15">
        <v>178.68</v>
      </c>
      <c r="F2321" s="15">
        <v>4.16</v>
      </c>
      <c r="G2321" s="16">
        <f>ROUND(E2321*F2321,2)</f>
        <v>743.31</v>
      </c>
    </row>
    <row r="2322" spans="1:7" x14ac:dyDescent="0.3">
      <c r="A2322" s="13" t="s">
        <v>128</v>
      </c>
      <c r="B2322" s="13" t="s">
        <v>15</v>
      </c>
      <c r="C2322" s="13" t="s">
        <v>28</v>
      </c>
      <c r="D2322" s="14" t="s">
        <v>129</v>
      </c>
      <c r="E2322" s="15">
        <v>89.34</v>
      </c>
      <c r="F2322" s="15">
        <v>4.51</v>
      </c>
      <c r="G2322" s="16">
        <f>ROUND(E2322*F2322,2)</f>
        <v>402.92</v>
      </c>
    </row>
    <row r="2323" spans="1:7" x14ac:dyDescent="0.3">
      <c r="A2323" s="17"/>
      <c r="B2323" s="17"/>
      <c r="C2323" s="17"/>
      <c r="D2323" s="18" t="s">
        <v>796</v>
      </c>
      <c r="E2323" s="15">
        <v>1</v>
      </c>
      <c r="F2323" s="12">
        <f>SUM(G2315:G2322)</f>
        <v>2647.1400000000003</v>
      </c>
      <c r="G2323" s="12">
        <f>ROUND(F2323*E2323,2)</f>
        <v>2647.14</v>
      </c>
    </row>
    <row r="2324" spans="1:7" ht="1.05" customHeight="1" x14ac:dyDescent="0.3">
      <c r="A2324" s="20"/>
      <c r="B2324" s="20"/>
      <c r="C2324" s="20"/>
      <c r="D2324" s="21"/>
      <c r="E2324" s="20"/>
      <c r="F2324" s="20"/>
      <c r="G2324" s="20"/>
    </row>
    <row r="2325" spans="1:7" x14ac:dyDescent="0.3">
      <c r="A2325" s="22" t="s">
        <v>797</v>
      </c>
      <c r="B2325" s="22" t="s">
        <v>11</v>
      </c>
      <c r="C2325" s="22" t="s">
        <v>12</v>
      </c>
      <c r="D2325" s="23" t="s">
        <v>156</v>
      </c>
      <c r="E2325" s="12">
        <f>E2330</f>
        <v>1</v>
      </c>
      <c r="F2325" s="12">
        <f>F2330</f>
        <v>1611.55</v>
      </c>
      <c r="G2325" s="12">
        <f>G2330</f>
        <v>1611.55</v>
      </c>
    </row>
    <row r="2326" spans="1:7" x14ac:dyDescent="0.3">
      <c r="A2326" s="13" t="s">
        <v>157</v>
      </c>
      <c r="B2326" s="13" t="s">
        <v>15</v>
      </c>
      <c r="C2326" s="13" t="s">
        <v>112</v>
      </c>
      <c r="D2326" s="14" t="s">
        <v>158</v>
      </c>
      <c r="E2326" s="15">
        <v>192.08</v>
      </c>
      <c r="F2326" s="15">
        <v>4.0199999999999996</v>
      </c>
      <c r="G2326" s="16">
        <f>ROUND(E2326*F2326,2)</f>
        <v>772.16</v>
      </c>
    </row>
    <row r="2327" spans="1:7" x14ac:dyDescent="0.3">
      <c r="A2327" s="13" t="s">
        <v>159</v>
      </c>
      <c r="B2327" s="13" t="s">
        <v>15</v>
      </c>
      <c r="C2327" s="13" t="s">
        <v>112</v>
      </c>
      <c r="D2327" s="14" t="s">
        <v>160</v>
      </c>
      <c r="E2327" s="15">
        <v>192.08</v>
      </c>
      <c r="F2327" s="15">
        <v>4.37</v>
      </c>
      <c r="G2327" s="16">
        <f>ROUND(E2327*F2327,2)</f>
        <v>839.39</v>
      </c>
    </row>
    <row r="2328" spans="1:7" x14ac:dyDescent="0.3">
      <c r="A2328" s="13" t="s">
        <v>527</v>
      </c>
      <c r="B2328" s="13" t="s">
        <v>15</v>
      </c>
      <c r="C2328" s="13" t="s">
        <v>112</v>
      </c>
      <c r="D2328" s="14" t="s">
        <v>528</v>
      </c>
      <c r="E2328" s="15">
        <v>0</v>
      </c>
      <c r="F2328" s="15">
        <v>8.35</v>
      </c>
      <c r="G2328" s="16">
        <f>ROUND(E2328*F2328,2)</f>
        <v>0</v>
      </c>
    </row>
    <row r="2329" spans="1:7" x14ac:dyDescent="0.3">
      <c r="A2329" s="13" t="s">
        <v>161</v>
      </c>
      <c r="B2329" s="13" t="s">
        <v>15</v>
      </c>
      <c r="C2329" s="13" t="s">
        <v>112</v>
      </c>
      <c r="D2329" s="14" t="s">
        <v>162</v>
      </c>
      <c r="E2329" s="15">
        <v>0</v>
      </c>
      <c r="F2329" s="15">
        <v>7.37</v>
      </c>
      <c r="G2329" s="16">
        <f>ROUND(E2329*F2329,2)</f>
        <v>0</v>
      </c>
    </row>
    <row r="2330" spans="1:7" x14ac:dyDescent="0.3">
      <c r="A2330" s="17"/>
      <c r="B2330" s="17"/>
      <c r="C2330" s="17"/>
      <c r="D2330" s="18" t="s">
        <v>798</v>
      </c>
      <c r="E2330" s="15">
        <v>1</v>
      </c>
      <c r="F2330" s="12">
        <f>SUM(G2326:G2329)</f>
        <v>1611.55</v>
      </c>
      <c r="G2330" s="12">
        <f>ROUND(F2330*E2330,2)</f>
        <v>1611.55</v>
      </c>
    </row>
    <row r="2331" spans="1:7" ht="1.05" customHeight="1" x14ac:dyDescent="0.3">
      <c r="A2331" s="20"/>
      <c r="B2331" s="20"/>
      <c r="C2331" s="20"/>
      <c r="D2331" s="21"/>
      <c r="E2331" s="20"/>
      <c r="F2331" s="20"/>
      <c r="G2331" s="20"/>
    </row>
    <row r="2332" spans="1:7" x14ac:dyDescent="0.3">
      <c r="A2332" s="22" t="s">
        <v>799</v>
      </c>
      <c r="B2332" s="22" t="s">
        <v>11</v>
      </c>
      <c r="C2332" s="22" t="s">
        <v>12</v>
      </c>
      <c r="D2332" s="23" t="s">
        <v>800</v>
      </c>
      <c r="E2332" s="12">
        <f>E2336</f>
        <v>1</v>
      </c>
      <c r="F2332" s="12">
        <f>F2336</f>
        <v>15290.619999999999</v>
      </c>
      <c r="G2332" s="12">
        <f>G2336</f>
        <v>15290.62</v>
      </c>
    </row>
    <row r="2333" spans="1:7" x14ac:dyDescent="0.3">
      <c r="A2333" s="13" t="s">
        <v>801</v>
      </c>
      <c r="B2333" s="13" t="s">
        <v>15</v>
      </c>
      <c r="C2333" s="13" t="s">
        <v>22</v>
      </c>
      <c r="D2333" s="14" t="s">
        <v>802</v>
      </c>
      <c r="E2333" s="15">
        <v>360.39</v>
      </c>
      <c r="F2333" s="15">
        <v>16.73</v>
      </c>
      <c r="G2333" s="16">
        <f>ROUND(E2333*F2333,2)</f>
        <v>6029.32</v>
      </c>
    </row>
    <row r="2334" spans="1:7" x14ac:dyDescent="0.3">
      <c r="A2334" s="13" t="s">
        <v>803</v>
      </c>
      <c r="B2334" s="13" t="s">
        <v>15</v>
      </c>
      <c r="C2334" s="13" t="s">
        <v>28</v>
      </c>
      <c r="D2334" s="14" t="s">
        <v>804</v>
      </c>
      <c r="E2334" s="15">
        <v>88.73</v>
      </c>
      <c r="F2334" s="15">
        <v>3.72</v>
      </c>
      <c r="G2334" s="16">
        <f>ROUND(E2334*F2334,2)</f>
        <v>330.08</v>
      </c>
    </row>
    <row r="2335" spans="1:7" ht="31.2" x14ac:dyDescent="0.3">
      <c r="A2335" s="13" t="s">
        <v>805</v>
      </c>
      <c r="B2335" s="13" t="s">
        <v>15</v>
      </c>
      <c r="C2335" s="13" t="s">
        <v>22</v>
      </c>
      <c r="D2335" s="14" t="s">
        <v>806</v>
      </c>
      <c r="E2335" s="15">
        <v>466.87</v>
      </c>
      <c r="F2335" s="15">
        <v>19.13</v>
      </c>
      <c r="G2335" s="16">
        <f>ROUND(E2335*F2335,2)</f>
        <v>8931.2199999999993</v>
      </c>
    </row>
    <row r="2336" spans="1:7" x14ac:dyDescent="0.3">
      <c r="A2336" s="17"/>
      <c r="B2336" s="17"/>
      <c r="C2336" s="17"/>
      <c r="D2336" s="18" t="s">
        <v>807</v>
      </c>
      <c r="E2336" s="15">
        <v>1</v>
      </c>
      <c r="F2336" s="12">
        <f>SUM(G2333:G2335)</f>
        <v>15290.619999999999</v>
      </c>
      <c r="G2336" s="12">
        <f>ROUND(F2336*E2336,2)</f>
        <v>15290.62</v>
      </c>
    </row>
    <row r="2337" spans="1:7" ht="1.05" customHeight="1" x14ac:dyDescent="0.3">
      <c r="A2337" s="20"/>
      <c r="B2337" s="20"/>
      <c r="C2337" s="20"/>
      <c r="D2337" s="21"/>
      <c r="E2337" s="20"/>
      <c r="F2337" s="20"/>
      <c r="G2337" s="20"/>
    </row>
    <row r="2338" spans="1:7" x14ac:dyDescent="0.3">
      <c r="A2338" s="22" t="s">
        <v>808</v>
      </c>
      <c r="B2338" s="22" t="s">
        <v>11</v>
      </c>
      <c r="C2338" s="22" t="s">
        <v>12</v>
      </c>
      <c r="D2338" s="23" t="s">
        <v>176</v>
      </c>
      <c r="E2338" s="12">
        <f>E2370</f>
        <v>1</v>
      </c>
      <c r="F2338" s="12">
        <f>F2370</f>
        <v>1675.85</v>
      </c>
      <c r="G2338" s="12">
        <f>G2370</f>
        <v>1675.85</v>
      </c>
    </row>
    <row r="2339" spans="1:7" ht="31.2" x14ac:dyDescent="0.3">
      <c r="A2339" s="22" t="s">
        <v>809</v>
      </c>
      <c r="B2339" s="22" t="s">
        <v>11</v>
      </c>
      <c r="C2339" s="22" t="s">
        <v>12</v>
      </c>
      <c r="D2339" s="23" t="s">
        <v>229</v>
      </c>
      <c r="E2339" s="12">
        <f>E2352</f>
        <v>1</v>
      </c>
      <c r="F2339" s="12">
        <f>F2352</f>
        <v>701</v>
      </c>
      <c r="G2339" s="12">
        <f>G2352</f>
        <v>701</v>
      </c>
    </row>
    <row r="2340" spans="1:7" x14ac:dyDescent="0.3">
      <c r="A2340" s="13" t="s">
        <v>230</v>
      </c>
      <c r="B2340" s="13" t="s">
        <v>15</v>
      </c>
      <c r="C2340" s="13" t="s">
        <v>28</v>
      </c>
      <c r="D2340" s="14" t="s">
        <v>231</v>
      </c>
      <c r="E2340" s="15">
        <v>19.41</v>
      </c>
      <c r="F2340" s="15">
        <v>1.9</v>
      </c>
      <c r="G2340" s="16">
        <f>ROUND(E2340*F2340,2)</f>
        <v>36.880000000000003</v>
      </c>
    </row>
    <row r="2341" spans="1:7" x14ac:dyDescent="0.3">
      <c r="A2341" s="13" t="s">
        <v>232</v>
      </c>
      <c r="B2341" s="13" t="s">
        <v>15</v>
      </c>
      <c r="C2341" s="13" t="s">
        <v>28</v>
      </c>
      <c r="D2341" s="14" t="s">
        <v>233</v>
      </c>
      <c r="E2341" s="15">
        <v>19.41</v>
      </c>
      <c r="F2341" s="15">
        <v>4.3499999999999996</v>
      </c>
      <c r="G2341" s="16">
        <f>ROUND(E2341*F2341,2)</f>
        <v>84.43</v>
      </c>
    </row>
    <row r="2342" spans="1:7" x14ac:dyDescent="0.3">
      <c r="A2342" s="13" t="s">
        <v>550</v>
      </c>
      <c r="B2342" s="13" t="s">
        <v>15</v>
      </c>
      <c r="C2342" s="13" t="s">
        <v>28</v>
      </c>
      <c r="D2342" s="14" t="s">
        <v>551</v>
      </c>
      <c r="E2342" s="15">
        <v>0</v>
      </c>
      <c r="F2342" s="15">
        <v>2.98</v>
      </c>
      <c r="G2342" s="16">
        <f>ROUND(E2342*F2342,2)</f>
        <v>0</v>
      </c>
    </row>
    <row r="2343" spans="1:7" x14ac:dyDescent="0.3">
      <c r="A2343" s="13" t="s">
        <v>234</v>
      </c>
      <c r="B2343" s="13" t="s">
        <v>15</v>
      </c>
      <c r="C2343" s="13" t="s">
        <v>28</v>
      </c>
      <c r="D2343" s="14" t="s">
        <v>235</v>
      </c>
      <c r="E2343" s="15">
        <v>0</v>
      </c>
      <c r="F2343" s="15">
        <v>3.07</v>
      </c>
      <c r="G2343" s="16">
        <f>ROUND(E2343*F2343,2)</f>
        <v>0</v>
      </c>
    </row>
    <row r="2344" spans="1:7" x14ac:dyDescent="0.3">
      <c r="A2344" s="13" t="s">
        <v>236</v>
      </c>
      <c r="B2344" s="13" t="s">
        <v>15</v>
      </c>
      <c r="C2344" s="13" t="s">
        <v>28</v>
      </c>
      <c r="D2344" s="14" t="s">
        <v>237</v>
      </c>
      <c r="E2344" s="15">
        <v>0</v>
      </c>
      <c r="F2344" s="15">
        <v>4.22</v>
      </c>
      <c r="G2344" s="16">
        <f>ROUND(E2344*F2344,2)</f>
        <v>0</v>
      </c>
    </row>
    <row r="2345" spans="1:7" x14ac:dyDescent="0.3">
      <c r="A2345" s="13" t="s">
        <v>238</v>
      </c>
      <c r="B2345" s="13" t="s">
        <v>15</v>
      </c>
      <c r="C2345" s="13" t="s">
        <v>28</v>
      </c>
      <c r="D2345" s="14" t="s">
        <v>239</v>
      </c>
      <c r="E2345" s="15">
        <v>0</v>
      </c>
      <c r="F2345" s="15">
        <v>13.9</v>
      </c>
      <c r="G2345" s="16">
        <f>ROUND(E2345*F2345,2)</f>
        <v>0</v>
      </c>
    </row>
    <row r="2346" spans="1:7" x14ac:dyDescent="0.3">
      <c r="A2346" s="13" t="s">
        <v>240</v>
      </c>
      <c r="B2346" s="13" t="s">
        <v>15</v>
      </c>
      <c r="C2346" s="13" t="s">
        <v>28</v>
      </c>
      <c r="D2346" s="14" t="s">
        <v>241</v>
      </c>
      <c r="E2346" s="15">
        <v>6.91</v>
      </c>
      <c r="F2346" s="15">
        <v>15.59</v>
      </c>
      <c r="G2346" s="16">
        <f>ROUND(E2346*F2346,2)</f>
        <v>107.73</v>
      </c>
    </row>
    <row r="2347" spans="1:7" ht="31.2" x14ac:dyDescent="0.3">
      <c r="A2347" s="13" t="s">
        <v>242</v>
      </c>
      <c r="B2347" s="13" t="s">
        <v>15</v>
      </c>
      <c r="C2347" s="13" t="s">
        <v>16</v>
      </c>
      <c r="D2347" s="14" t="s">
        <v>243</v>
      </c>
      <c r="E2347" s="15">
        <v>0.4</v>
      </c>
      <c r="F2347" s="15">
        <v>793.65</v>
      </c>
      <c r="G2347" s="16">
        <f>ROUND(E2347*F2347,2)</f>
        <v>317.45999999999998</v>
      </c>
    </row>
    <row r="2348" spans="1:7" x14ac:dyDescent="0.3">
      <c r="A2348" s="13" t="s">
        <v>244</v>
      </c>
      <c r="B2348" s="13" t="s">
        <v>15</v>
      </c>
      <c r="C2348" s="13" t="s">
        <v>215</v>
      </c>
      <c r="D2348" s="14" t="s">
        <v>245</v>
      </c>
      <c r="E2348" s="15">
        <v>0</v>
      </c>
      <c r="F2348" s="15">
        <v>13.5</v>
      </c>
      <c r="G2348" s="16">
        <f>ROUND(E2348*F2348,2)</f>
        <v>0</v>
      </c>
    </row>
    <row r="2349" spans="1:7" x14ac:dyDescent="0.3">
      <c r="A2349" s="13" t="s">
        <v>552</v>
      </c>
      <c r="B2349" s="13" t="s">
        <v>15</v>
      </c>
      <c r="C2349" s="13" t="s">
        <v>215</v>
      </c>
      <c r="D2349" s="14" t="s">
        <v>553</v>
      </c>
      <c r="E2349" s="15">
        <v>0</v>
      </c>
      <c r="F2349" s="15">
        <v>23.11</v>
      </c>
      <c r="G2349" s="16">
        <f>ROUND(E2349*F2349,2)</f>
        <v>0</v>
      </c>
    </row>
    <row r="2350" spans="1:7" x14ac:dyDescent="0.3">
      <c r="A2350" s="13" t="s">
        <v>554</v>
      </c>
      <c r="B2350" s="13" t="s">
        <v>15</v>
      </c>
      <c r="C2350" s="13" t="s">
        <v>215</v>
      </c>
      <c r="D2350" s="14" t="s">
        <v>555</v>
      </c>
      <c r="E2350" s="15">
        <v>5</v>
      </c>
      <c r="F2350" s="15">
        <v>30.9</v>
      </c>
      <c r="G2350" s="16">
        <f>ROUND(E2350*F2350,2)</f>
        <v>154.5</v>
      </c>
    </row>
    <row r="2351" spans="1:7" x14ac:dyDescent="0.3">
      <c r="A2351" s="13" t="s">
        <v>246</v>
      </c>
      <c r="B2351" s="13" t="s">
        <v>15</v>
      </c>
      <c r="C2351" s="13" t="s">
        <v>215</v>
      </c>
      <c r="D2351" s="14" t="s">
        <v>247</v>
      </c>
      <c r="E2351" s="15">
        <v>0</v>
      </c>
      <c r="F2351" s="15">
        <v>57.31</v>
      </c>
      <c r="G2351" s="16">
        <f>ROUND(E2351*F2351,2)</f>
        <v>0</v>
      </c>
    </row>
    <row r="2352" spans="1:7" x14ac:dyDescent="0.3">
      <c r="A2352" s="17"/>
      <c r="B2352" s="17"/>
      <c r="C2352" s="17"/>
      <c r="D2352" s="18" t="s">
        <v>810</v>
      </c>
      <c r="E2352" s="15">
        <v>1</v>
      </c>
      <c r="F2352" s="12">
        <f>SUM(G2340:G2351)</f>
        <v>701</v>
      </c>
      <c r="G2352" s="12">
        <f>ROUND(F2352*E2352,2)</f>
        <v>701</v>
      </c>
    </row>
    <row r="2353" spans="1:7" ht="1.05" customHeight="1" x14ac:dyDescent="0.3">
      <c r="A2353" s="20"/>
      <c r="B2353" s="20"/>
      <c r="C2353" s="20"/>
      <c r="D2353" s="21"/>
      <c r="E2353" s="20"/>
      <c r="F2353" s="20"/>
      <c r="G2353" s="20"/>
    </row>
    <row r="2354" spans="1:7" ht="31.2" x14ac:dyDescent="0.3">
      <c r="A2354" s="22" t="s">
        <v>811</v>
      </c>
      <c r="B2354" s="22" t="s">
        <v>11</v>
      </c>
      <c r="C2354" s="22" t="s">
        <v>12</v>
      </c>
      <c r="D2354" s="23" t="s">
        <v>250</v>
      </c>
      <c r="E2354" s="12">
        <f>E2368</f>
        <v>1</v>
      </c>
      <c r="F2354" s="12">
        <f>F2368</f>
        <v>974.85</v>
      </c>
      <c r="G2354" s="12">
        <f>G2368</f>
        <v>974.85</v>
      </c>
    </row>
    <row r="2355" spans="1:7" x14ac:dyDescent="0.3">
      <c r="A2355" s="13" t="s">
        <v>230</v>
      </c>
      <c r="B2355" s="13" t="s">
        <v>15</v>
      </c>
      <c r="C2355" s="13" t="s">
        <v>28</v>
      </c>
      <c r="D2355" s="14" t="s">
        <v>231</v>
      </c>
      <c r="E2355" s="15">
        <v>65</v>
      </c>
      <c r="F2355" s="15">
        <v>1.9</v>
      </c>
      <c r="G2355" s="16">
        <f>ROUND(E2355*F2355,2)</f>
        <v>123.5</v>
      </c>
    </row>
    <row r="2356" spans="1:7" x14ac:dyDescent="0.3">
      <c r="A2356" s="13" t="s">
        <v>387</v>
      </c>
      <c r="B2356" s="13" t="s">
        <v>15</v>
      </c>
      <c r="C2356" s="13" t="s">
        <v>28</v>
      </c>
      <c r="D2356" s="14" t="s">
        <v>388</v>
      </c>
      <c r="E2356" s="15">
        <v>0</v>
      </c>
      <c r="F2356" s="15">
        <v>2.82</v>
      </c>
      <c r="G2356" s="16">
        <f>ROUND(E2356*F2356,2)</f>
        <v>0</v>
      </c>
    </row>
    <row r="2357" spans="1:7" x14ac:dyDescent="0.3">
      <c r="A2357" s="13" t="s">
        <v>389</v>
      </c>
      <c r="B2357" s="13" t="s">
        <v>15</v>
      </c>
      <c r="C2357" s="13" t="s">
        <v>28</v>
      </c>
      <c r="D2357" s="14" t="s">
        <v>390</v>
      </c>
      <c r="E2357" s="15">
        <v>0</v>
      </c>
      <c r="F2357" s="15">
        <v>4.3600000000000003</v>
      </c>
      <c r="G2357" s="16">
        <f>ROUND(E2357*F2357,2)</f>
        <v>0</v>
      </c>
    </row>
    <row r="2358" spans="1:7" x14ac:dyDescent="0.3">
      <c r="A2358" s="13" t="s">
        <v>391</v>
      </c>
      <c r="B2358" s="13" t="s">
        <v>15</v>
      </c>
      <c r="C2358" s="13" t="s">
        <v>28</v>
      </c>
      <c r="D2358" s="14" t="s">
        <v>392</v>
      </c>
      <c r="E2358" s="15">
        <v>0</v>
      </c>
      <c r="F2358" s="15">
        <v>6.47</v>
      </c>
      <c r="G2358" s="16">
        <f>ROUND(E2358*F2358,2)</f>
        <v>0</v>
      </c>
    </row>
    <row r="2359" spans="1:7" x14ac:dyDescent="0.3">
      <c r="A2359" s="13" t="s">
        <v>393</v>
      </c>
      <c r="B2359" s="13" t="s">
        <v>15</v>
      </c>
      <c r="C2359" s="13" t="s">
        <v>28</v>
      </c>
      <c r="D2359" s="14" t="s">
        <v>394</v>
      </c>
      <c r="E2359" s="15">
        <v>0</v>
      </c>
      <c r="F2359" s="15">
        <v>10.02</v>
      </c>
      <c r="G2359" s="16">
        <f>ROUND(E2359*F2359,2)</f>
        <v>0</v>
      </c>
    </row>
    <row r="2360" spans="1:7" x14ac:dyDescent="0.3">
      <c r="A2360" s="13" t="s">
        <v>395</v>
      </c>
      <c r="B2360" s="13" t="s">
        <v>15</v>
      </c>
      <c r="C2360" s="13" t="s">
        <v>28</v>
      </c>
      <c r="D2360" s="14" t="s">
        <v>396</v>
      </c>
      <c r="E2360" s="15">
        <v>0</v>
      </c>
      <c r="F2360" s="15">
        <v>11.7</v>
      </c>
      <c r="G2360" s="16">
        <f>ROUND(E2360*F2360,2)</f>
        <v>0</v>
      </c>
    </row>
    <row r="2361" spans="1:7" x14ac:dyDescent="0.3">
      <c r="A2361" s="13" t="s">
        <v>397</v>
      </c>
      <c r="B2361" s="13" t="s">
        <v>15</v>
      </c>
      <c r="C2361" s="13" t="s">
        <v>28</v>
      </c>
      <c r="D2361" s="14" t="s">
        <v>398</v>
      </c>
      <c r="E2361" s="15">
        <v>0</v>
      </c>
      <c r="F2361" s="15">
        <v>16.88</v>
      </c>
      <c r="G2361" s="16">
        <f>ROUND(E2361*F2361,2)</f>
        <v>0</v>
      </c>
    </row>
    <row r="2362" spans="1:7" ht="31.2" x14ac:dyDescent="0.3">
      <c r="A2362" s="13" t="s">
        <v>261</v>
      </c>
      <c r="B2362" s="13" t="s">
        <v>15</v>
      </c>
      <c r="C2362" s="13" t="s">
        <v>16</v>
      </c>
      <c r="D2362" s="14" t="s">
        <v>262</v>
      </c>
      <c r="E2362" s="15">
        <v>0.2</v>
      </c>
      <c r="F2362" s="15">
        <v>1031.75</v>
      </c>
      <c r="G2362" s="16">
        <f>ROUND(E2362*F2362,2)</f>
        <v>206.35</v>
      </c>
    </row>
    <row r="2363" spans="1:7" x14ac:dyDescent="0.3">
      <c r="A2363" s="13" t="s">
        <v>399</v>
      </c>
      <c r="B2363" s="13" t="s">
        <v>15</v>
      </c>
      <c r="C2363" s="13" t="s">
        <v>215</v>
      </c>
      <c r="D2363" s="14" t="s">
        <v>400</v>
      </c>
      <c r="E2363" s="15">
        <v>0</v>
      </c>
      <c r="F2363" s="15">
        <v>30.14</v>
      </c>
      <c r="G2363" s="16">
        <f>ROUND(E2363*F2363,2)</f>
        <v>0</v>
      </c>
    </row>
    <row r="2364" spans="1:7" ht="31.2" x14ac:dyDescent="0.3">
      <c r="A2364" s="13" t="s">
        <v>265</v>
      </c>
      <c r="B2364" s="13" t="s">
        <v>15</v>
      </c>
      <c r="C2364" s="13" t="s">
        <v>215</v>
      </c>
      <c r="D2364" s="14" t="s">
        <v>266</v>
      </c>
      <c r="E2364" s="15">
        <v>20</v>
      </c>
      <c r="F2364" s="15">
        <v>32.25</v>
      </c>
      <c r="G2364" s="16">
        <f>ROUND(E2364*F2364,2)</f>
        <v>645</v>
      </c>
    </row>
    <row r="2365" spans="1:7" ht="31.2" x14ac:dyDescent="0.3">
      <c r="A2365" s="13" t="s">
        <v>267</v>
      </c>
      <c r="B2365" s="13" t="s">
        <v>15</v>
      </c>
      <c r="C2365" s="13" t="s">
        <v>215</v>
      </c>
      <c r="D2365" s="14" t="s">
        <v>268</v>
      </c>
      <c r="E2365" s="15">
        <v>0</v>
      </c>
      <c r="F2365" s="15">
        <v>44.38</v>
      </c>
      <c r="G2365" s="16">
        <f>ROUND(E2365*F2365,2)</f>
        <v>0</v>
      </c>
    </row>
    <row r="2366" spans="1:7" ht="31.2" x14ac:dyDescent="0.3">
      <c r="A2366" s="13" t="s">
        <v>269</v>
      </c>
      <c r="B2366" s="13" t="s">
        <v>15</v>
      </c>
      <c r="C2366" s="13" t="s">
        <v>215</v>
      </c>
      <c r="D2366" s="14" t="s">
        <v>270</v>
      </c>
      <c r="E2366" s="15">
        <v>0</v>
      </c>
      <c r="F2366" s="15">
        <v>49.49</v>
      </c>
      <c r="G2366" s="16">
        <f>ROUND(E2366*F2366,2)</f>
        <v>0</v>
      </c>
    </row>
    <row r="2367" spans="1:7" x14ac:dyDescent="0.3">
      <c r="A2367" s="13" t="s">
        <v>401</v>
      </c>
      <c r="B2367" s="13" t="s">
        <v>15</v>
      </c>
      <c r="C2367" s="13" t="s">
        <v>215</v>
      </c>
      <c r="D2367" s="14" t="s">
        <v>402</v>
      </c>
      <c r="E2367" s="15">
        <v>0</v>
      </c>
      <c r="F2367" s="15">
        <v>81.38</v>
      </c>
      <c r="G2367" s="16">
        <f>ROUND(E2367*F2367,2)</f>
        <v>0</v>
      </c>
    </row>
    <row r="2368" spans="1:7" x14ac:dyDescent="0.3">
      <c r="A2368" s="17"/>
      <c r="B2368" s="17"/>
      <c r="C2368" s="17"/>
      <c r="D2368" s="18" t="s">
        <v>812</v>
      </c>
      <c r="E2368" s="15">
        <v>1</v>
      </c>
      <c r="F2368" s="12">
        <f>SUM(G2355:G2367)</f>
        <v>974.85</v>
      </c>
      <c r="G2368" s="12">
        <f>ROUND(F2368*E2368,2)</f>
        <v>974.85</v>
      </c>
    </row>
    <row r="2369" spans="1:7" ht="1.05" customHeight="1" x14ac:dyDescent="0.3">
      <c r="A2369" s="20"/>
      <c r="B2369" s="20"/>
      <c r="C2369" s="20"/>
      <c r="D2369" s="21"/>
      <c r="E2369" s="20"/>
      <c r="F2369" s="20"/>
      <c r="G2369" s="20"/>
    </row>
    <row r="2370" spans="1:7" x14ac:dyDescent="0.3">
      <c r="A2370" s="17"/>
      <c r="B2370" s="17"/>
      <c r="C2370" s="17"/>
      <c r="D2370" s="18" t="s">
        <v>813</v>
      </c>
      <c r="E2370" s="15">
        <v>1</v>
      </c>
      <c r="F2370" s="12">
        <f>G2352+G2368</f>
        <v>1675.85</v>
      </c>
      <c r="G2370" s="12">
        <f>ROUND(F2370*E2370,2)</f>
        <v>1675.85</v>
      </c>
    </row>
    <row r="2371" spans="1:7" ht="1.05" customHeight="1" x14ac:dyDescent="0.3">
      <c r="A2371" s="20"/>
      <c r="B2371" s="20"/>
      <c r="C2371" s="20"/>
      <c r="D2371" s="21"/>
      <c r="E2371" s="20"/>
      <c r="F2371" s="20"/>
      <c r="G2371" s="20"/>
    </row>
    <row r="2372" spans="1:7" x14ac:dyDescent="0.3">
      <c r="A2372" s="17"/>
      <c r="B2372" s="17"/>
      <c r="C2372" s="17"/>
      <c r="D2372" s="18" t="s">
        <v>814</v>
      </c>
      <c r="E2372" s="19">
        <v>1</v>
      </c>
      <c r="F2372" s="12">
        <f>G2308+G2312+G2323+G2330+G2336+G2370</f>
        <v>65939.540000000008</v>
      </c>
      <c r="G2372" s="12">
        <f>ROUND(F2372*E2372,2)</f>
        <v>65939.539999999994</v>
      </c>
    </row>
    <row r="2373" spans="1:7" ht="1.05" customHeight="1" x14ac:dyDescent="0.3">
      <c r="A2373" s="20"/>
      <c r="B2373" s="20"/>
      <c r="C2373" s="20"/>
      <c r="D2373" s="21"/>
      <c r="E2373" s="20"/>
      <c r="F2373" s="20"/>
      <c r="G2373" s="20"/>
    </row>
    <row r="2374" spans="1:7" x14ac:dyDescent="0.3">
      <c r="A2374" s="9" t="s">
        <v>815</v>
      </c>
      <c r="B2374" s="9" t="s">
        <v>11</v>
      </c>
      <c r="C2374" s="9" t="s">
        <v>12</v>
      </c>
      <c r="D2374" s="10" t="s">
        <v>165</v>
      </c>
      <c r="E2374" s="11">
        <f>E2379</f>
        <v>1</v>
      </c>
      <c r="F2374" s="12">
        <f>F2379</f>
        <v>316644.89999999997</v>
      </c>
      <c r="G2374" s="12">
        <f>G2379</f>
        <v>316644.90000000002</v>
      </c>
    </row>
    <row r="2375" spans="1:7" ht="31.2" x14ac:dyDescent="0.3">
      <c r="A2375" s="13" t="s">
        <v>816</v>
      </c>
      <c r="B2375" s="13" t="s">
        <v>15</v>
      </c>
      <c r="C2375" s="13" t="s">
        <v>6</v>
      </c>
      <c r="D2375" s="14" t="s">
        <v>817</v>
      </c>
      <c r="E2375" s="15">
        <v>1</v>
      </c>
      <c r="F2375" s="15">
        <v>250100</v>
      </c>
      <c r="G2375" s="16">
        <f>ROUND(E2375*F2375,2)</f>
        <v>250100</v>
      </c>
    </row>
    <row r="2376" spans="1:7" x14ac:dyDescent="0.3">
      <c r="A2376" s="13" t="s">
        <v>630</v>
      </c>
      <c r="B2376" s="13" t="s">
        <v>15</v>
      </c>
      <c r="C2376" s="13" t="s">
        <v>28</v>
      </c>
      <c r="D2376" s="14" t="s">
        <v>631</v>
      </c>
      <c r="E2376" s="15">
        <v>153</v>
      </c>
      <c r="F2376" s="15">
        <v>41.1</v>
      </c>
      <c r="G2376" s="16">
        <f>ROUND(E2376*F2376,2)</f>
        <v>6288.3</v>
      </c>
    </row>
    <row r="2377" spans="1:7" x14ac:dyDescent="0.3">
      <c r="A2377" s="13" t="s">
        <v>818</v>
      </c>
      <c r="B2377" s="13" t="s">
        <v>15</v>
      </c>
      <c r="C2377" s="13" t="s">
        <v>22</v>
      </c>
      <c r="D2377" s="14" t="s">
        <v>819</v>
      </c>
      <c r="E2377" s="15">
        <v>3700.37</v>
      </c>
      <c r="F2377" s="15">
        <v>5.56</v>
      </c>
      <c r="G2377" s="16">
        <f>ROUND(E2377*F2377,2)</f>
        <v>20574.060000000001</v>
      </c>
    </row>
    <row r="2378" spans="1:7" ht="31.2" x14ac:dyDescent="0.3">
      <c r="A2378" s="13" t="s">
        <v>820</v>
      </c>
      <c r="B2378" s="13" t="s">
        <v>15</v>
      </c>
      <c r="C2378" s="13" t="s">
        <v>16</v>
      </c>
      <c r="D2378" s="14" t="s">
        <v>821</v>
      </c>
      <c r="E2378" s="15">
        <v>1</v>
      </c>
      <c r="F2378" s="15">
        <v>39682.54</v>
      </c>
      <c r="G2378" s="16">
        <f>ROUND(E2378*F2378,2)</f>
        <v>39682.54</v>
      </c>
    </row>
    <row r="2379" spans="1:7" x14ac:dyDescent="0.3">
      <c r="A2379" s="17"/>
      <c r="B2379" s="17"/>
      <c r="C2379" s="17"/>
      <c r="D2379" s="18" t="s">
        <v>822</v>
      </c>
      <c r="E2379" s="19">
        <v>1</v>
      </c>
      <c r="F2379" s="12">
        <f>SUM(G2375:G2378)</f>
        <v>316644.89999999997</v>
      </c>
      <c r="G2379" s="12">
        <f>ROUND(F2379*E2379,2)</f>
        <v>316644.90000000002</v>
      </c>
    </row>
    <row r="2380" spans="1:7" ht="1.05" customHeight="1" x14ac:dyDescent="0.3">
      <c r="A2380" s="20"/>
      <c r="B2380" s="20"/>
      <c r="C2380" s="20"/>
      <c r="D2380" s="21"/>
      <c r="E2380" s="20"/>
      <c r="F2380" s="20"/>
      <c r="G2380" s="20"/>
    </row>
    <row r="2381" spans="1:7" x14ac:dyDescent="0.3">
      <c r="A2381" s="9" t="s">
        <v>823</v>
      </c>
      <c r="B2381" s="9" t="s">
        <v>11</v>
      </c>
      <c r="C2381" s="9" t="s">
        <v>12</v>
      </c>
      <c r="D2381" s="10" t="s">
        <v>824</v>
      </c>
      <c r="E2381" s="11">
        <f>E2447</f>
        <v>1</v>
      </c>
      <c r="F2381" s="12">
        <f>F2447</f>
        <v>150146.18</v>
      </c>
      <c r="G2381" s="12">
        <f>G2447</f>
        <v>150146.18</v>
      </c>
    </row>
    <row r="2382" spans="1:7" x14ac:dyDescent="0.3">
      <c r="A2382" s="22" t="s">
        <v>825</v>
      </c>
      <c r="B2382" s="22" t="s">
        <v>11</v>
      </c>
      <c r="C2382" s="22" t="s">
        <v>12</v>
      </c>
      <c r="D2382" s="23" t="s">
        <v>826</v>
      </c>
      <c r="E2382" s="12">
        <f>E2395</f>
        <v>1</v>
      </c>
      <c r="F2382" s="12">
        <f>F2395</f>
        <v>57868.490000000005</v>
      </c>
      <c r="G2382" s="12">
        <f>G2395</f>
        <v>57868.49</v>
      </c>
    </row>
    <row r="2383" spans="1:7" ht="31.2" x14ac:dyDescent="0.3">
      <c r="A2383" s="13" t="s">
        <v>827</v>
      </c>
      <c r="B2383" s="13" t="s">
        <v>15</v>
      </c>
      <c r="C2383" s="13" t="s">
        <v>829</v>
      </c>
      <c r="D2383" s="14" t="s">
        <v>828</v>
      </c>
      <c r="E2383" s="15">
        <v>1</v>
      </c>
      <c r="F2383" s="15">
        <v>11331.75</v>
      </c>
      <c r="G2383" s="16">
        <f>ROUND(E2383*F2383,2)</f>
        <v>11331.75</v>
      </c>
    </row>
    <row r="2384" spans="1:7" ht="31.2" x14ac:dyDescent="0.3">
      <c r="A2384" s="13" t="s">
        <v>830</v>
      </c>
      <c r="B2384" s="13" t="s">
        <v>15</v>
      </c>
      <c r="C2384" s="13" t="s">
        <v>829</v>
      </c>
      <c r="D2384" s="14" t="s">
        <v>831</v>
      </c>
      <c r="E2384" s="15">
        <v>1</v>
      </c>
      <c r="F2384" s="15">
        <v>6802.23</v>
      </c>
      <c r="G2384" s="16">
        <f>ROUND(E2384*F2384,2)</f>
        <v>6802.23</v>
      </c>
    </row>
    <row r="2385" spans="1:7" ht="31.2" x14ac:dyDescent="0.3">
      <c r="A2385" s="13" t="s">
        <v>832</v>
      </c>
      <c r="B2385" s="13" t="s">
        <v>15</v>
      </c>
      <c r="C2385" s="13" t="s">
        <v>829</v>
      </c>
      <c r="D2385" s="14" t="s">
        <v>833</v>
      </c>
      <c r="E2385" s="15">
        <v>1</v>
      </c>
      <c r="F2385" s="15">
        <v>8870.31</v>
      </c>
      <c r="G2385" s="16">
        <f>ROUND(E2385*F2385,2)</f>
        <v>8870.31</v>
      </c>
    </row>
    <row r="2386" spans="1:7" ht="31.2" x14ac:dyDescent="0.3">
      <c r="A2386" s="13" t="s">
        <v>834</v>
      </c>
      <c r="B2386" s="13" t="s">
        <v>15</v>
      </c>
      <c r="C2386" s="13" t="s">
        <v>829</v>
      </c>
      <c r="D2386" s="14" t="s">
        <v>835</v>
      </c>
      <c r="E2386" s="15">
        <v>1</v>
      </c>
      <c r="F2386" s="15">
        <v>350.61</v>
      </c>
      <c r="G2386" s="16">
        <f>ROUND(E2386*F2386,2)</f>
        <v>350.61</v>
      </c>
    </row>
    <row r="2387" spans="1:7" ht="46.8" x14ac:dyDescent="0.3">
      <c r="A2387" s="13" t="s">
        <v>836</v>
      </c>
      <c r="B2387" s="13" t="s">
        <v>15</v>
      </c>
      <c r="C2387" s="13" t="s">
        <v>829</v>
      </c>
      <c r="D2387" s="14" t="s">
        <v>837</v>
      </c>
      <c r="E2387" s="15">
        <v>1</v>
      </c>
      <c r="F2387" s="15">
        <v>1079.8599999999999</v>
      </c>
      <c r="G2387" s="16">
        <f>ROUND(E2387*F2387,2)</f>
        <v>1079.8599999999999</v>
      </c>
    </row>
    <row r="2388" spans="1:7" ht="31.2" x14ac:dyDescent="0.3">
      <c r="A2388" s="13" t="s">
        <v>838</v>
      </c>
      <c r="B2388" s="13" t="s">
        <v>15</v>
      </c>
      <c r="C2388" s="13" t="s">
        <v>829</v>
      </c>
      <c r="D2388" s="14" t="s">
        <v>839</v>
      </c>
      <c r="E2388" s="15">
        <v>1</v>
      </c>
      <c r="F2388" s="15">
        <v>2019.49</v>
      </c>
      <c r="G2388" s="16">
        <f>ROUND(E2388*F2388,2)</f>
        <v>2019.49</v>
      </c>
    </row>
    <row r="2389" spans="1:7" ht="31.2" x14ac:dyDescent="0.3">
      <c r="A2389" s="13" t="s">
        <v>840</v>
      </c>
      <c r="B2389" s="13" t="s">
        <v>15</v>
      </c>
      <c r="C2389" s="13" t="s">
        <v>829</v>
      </c>
      <c r="D2389" s="14" t="s">
        <v>841</v>
      </c>
      <c r="E2389" s="15">
        <v>1</v>
      </c>
      <c r="F2389" s="15">
        <v>13492.06</v>
      </c>
      <c r="G2389" s="16">
        <f>ROUND(E2389*F2389,2)</f>
        <v>13492.06</v>
      </c>
    </row>
    <row r="2390" spans="1:7" ht="31.2" x14ac:dyDescent="0.3">
      <c r="A2390" s="13" t="s">
        <v>842</v>
      </c>
      <c r="B2390" s="13" t="s">
        <v>15</v>
      </c>
      <c r="C2390" s="13" t="s">
        <v>829</v>
      </c>
      <c r="D2390" s="14" t="s">
        <v>843</v>
      </c>
      <c r="E2390" s="15">
        <v>1</v>
      </c>
      <c r="F2390" s="15">
        <v>1682.9</v>
      </c>
      <c r="G2390" s="16">
        <f>ROUND(E2390*F2390,2)</f>
        <v>1682.9</v>
      </c>
    </row>
    <row r="2391" spans="1:7" ht="31.2" x14ac:dyDescent="0.3">
      <c r="A2391" s="13" t="s">
        <v>844</v>
      </c>
      <c r="B2391" s="13" t="s">
        <v>15</v>
      </c>
      <c r="C2391" s="13" t="s">
        <v>829</v>
      </c>
      <c r="D2391" s="14" t="s">
        <v>845</v>
      </c>
      <c r="E2391" s="15">
        <v>1</v>
      </c>
      <c r="F2391" s="15">
        <v>729.26</v>
      </c>
      <c r="G2391" s="16">
        <f>ROUND(E2391*F2391,2)</f>
        <v>729.26</v>
      </c>
    </row>
    <row r="2392" spans="1:7" ht="31.2" x14ac:dyDescent="0.3">
      <c r="A2392" s="13" t="s">
        <v>846</v>
      </c>
      <c r="B2392" s="13" t="s">
        <v>15</v>
      </c>
      <c r="C2392" s="13" t="s">
        <v>829</v>
      </c>
      <c r="D2392" s="14" t="s">
        <v>847</v>
      </c>
      <c r="E2392" s="15">
        <v>1</v>
      </c>
      <c r="F2392" s="15">
        <v>645.11</v>
      </c>
      <c r="G2392" s="16">
        <f>ROUND(E2392*F2392,2)</f>
        <v>645.11</v>
      </c>
    </row>
    <row r="2393" spans="1:7" ht="31.2" x14ac:dyDescent="0.3">
      <c r="A2393" s="13" t="s">
        <v>848</v>
      </c>
      <c r="B2393" s="13" t="s">
        <v>15</v>
      </c>
      <c r="C2393" s="13" t="s">
        <v>829</v>
      </c>
      <c r="D2393" s="14" t="s">
        <v>849</v>
      </c>
      <c r="E2393" s="15">
        <v>1</v>
      </c>
      <c r="F2393" s="15">
        <v>1220.1099999999999</v>
      </c>
      <c r="G2393" s="16">
        <f>ROUND(E2393*F2393,2)</f>
        <v>1220.1099999999999</v>
      </c>
    </row>
    <row r="2394" spans="1:7" x14ac:dyDescent="0.3">
      <c r="A2394" s="13" t="s">
        <v>850</v>
      </c>
      <c r="B2394" s="13" t="s">
        <v>15</v>
      </c>
      <c r="C2394" s="13" t="s">
        <v>852</v>
      </c>
      <c r="D2394" s="14" t="s">
        <v>851</v>
      </c>
      <c r="E2394" s="15">
        <v>482.24</v>
      </c>
      <c r="F2394" s="15">
        <v>20</v>
      </c>
      <c r="G2394" s="16">
        <f>ROUND(E2394*F2394,2)</f>
        <v>9644.7999999999993</v>
      </c>
    </row>
    <row r="2395" spans="1:7" x14ac:dyDescent="0.3">
      <c r="A2395" s="17"/>
      <c r="B2395" s="17"/>
      <c r="C2395" s="17"/>
      <c r="D2395" s="18" t="s">
        <v>853</v>
      </c>
      <c r="E2395" s="15">
        <v>1</v>
      </c>
      <c r="F2395" s="12">
        <f>SUM(G2383:G2394)</f>
        <v>57868.490000000005</v>
      </c>
      <c r="G2395" s="12">
        <f>ROUND(F2395*E2395,2)</f>
        <v>57868.49</v>
      </c>
    </row>
    <row r="2396" spans="1:7" ht="1.05" customHeight="1" x14ac:dyDescent="0.3">
      <c r="A2396" s="20"/>
      <c r="B2396" s="20"/>
      <c r="C2396" s="20"/>
      <c r="D2396" s="21"/>
      <c r="E2396" s="20"/>
      <c r="F2396" s="20"/>
      <c r="G2396" s="20"/>
    </row>
    <row r="2397" spans="1:7" x14ac:dyDescent="0.3">
      <c r="A2397" s="22" t="s">
        <v>854</v>
      </c>
      <c r="B2397" s="22" t="s">
        <v>11</v>
      </c>
      <c r="C2397" s="22" t="s">
        <v>12</v>
      </c>
      <c r="D2397" s="23" t="s">
        <v>855</v>
      </c>
      <c r="E2397" s="12">
        <f>E2408</f>
        <v>1</v>
      </c>
      <c r="F2397" s="12">
        <f>F2408</f>
        <v>60140.570000000007</v>
      </c>
      <c r="G2397" s="12">
        <f>G2408</f>
        <v>60140.57</v>
      </c>
    </row>
    <row r="2398" spans="1:7" ht="31.2" x14ac:dyDescent="0.3">
      <c r="A2398" s="13" t="s">
        <v>856</v>
      </c>
      <c r="B2398" s="13" t="s">
        <v>15</v>
      </c>
      <c r="C2398" s="13" t="s">
        <v>858</v>
      </c>
      <c r="D2398" s="14" t="s">
        <v>857</v>
      </c>
      <c r="E2398" s="15">
        <v>1</v>
      </c>
      <c r="F2398" s="15">
        <v>41772</v>
      </c>
      <c r="G2398" s="16">
        <f>ROUND(E2398*F2398,2)</f>
        <v>41772</v>
      </c>
    </row>
    <row r="2399" spans="1:7" x14ac:dyDescent="0.3">
      <c r="A2399" s="13" t="s">
        <v>859</v>
      </c>
      <c r="B2399" s="13" t="s">
        <v>15</v>
      </c>
      <c r="C2399" s="13" t="s">
        <v>858</v>
      </c>
      <c r="D2399" s="14" t="s">
        <v>860</v>
      </c>
      <c r="E2399" s="15">
        <v>1</v>
      </c>
      <c r="F2399" s="15">
        <v>1588.32</v>
      </c>
      <c r="G2399" s="16">
        <f>ROUND(E2399*F2399,2)</f>
        <v>1588.32</v>
      </c>
    </row>
    <row r="2400" spans="1:7" ht="31.2" x14ac:dyDescent="0.3">
      <c r="A2400" s="13" t="s">
        <v>861</v>
      </c>
      <c r="B2400" s="13" t="s">
        <v>15</v>
      </c>
      <c r="C2400" s="13" t="s">
        <v>858</v>
      </c>
      <c r="D2400" s="14" t="s">
        <v>862</v>
      </c>
      <c r="E2400" s="15">
        <v>1</v>
      </c>
      <c r="F2400" s="15">
        <v>234.13</v>
      </c>
      <c r="G2400" s="16">
        <f>ROUND(E2400*F2400,2)</f>
        <v>234.13</v>
      </c>
    </row>
    <row r="2401" spans="1:7" ht="31.2" x14ac:dyDescent="0.3">
      <c r="A2401" s="13" t="s">
        <v>863</v>
      </c>
      <c r="B2401" s="13" t="s">
        <v>15</v>
      </c>
      <c r="C2401" s="13" t="s">
        <v>858</v>
      </c>
      <c r="D2401" s="14" t="s">
        <v>864</v>
      </c>
      <c r="E2401" s="15">
        <v>1</v>
      </c>
      <c r="F2401" s="15">
        <v>22.48</v>
      </c>
      <c r="G2401" s="16">
        <f>ROUND(E2401*F2401,2)</f>
        <v>22.48</v>
      </c>
    </row>
    <row r="2402" spans="1:7" ht="46.8" x14ac:dyDescent="0.3">
      <c r="A2402" s="13" t="s">
        <v>865</v>
      </c>
      <c r="B2402" s="13" t="s">
        <v>15</v>
      </c>
      <c r="C2402" s="13" t="s">
        <v>858</v>
      </c>
      <c r="D2402" s="14" t="s">
        <v>866</v>
      </c>
      <c r="E2402" s="15">
        <v>1</v>
      </c>
      <c r="F2402" s="15">
        <v>234.13</v>
      </c>
      <c r="G2402" s="16">
        <f>ROUND(E2402*F2402,2)</f>
        <v>234.13</v>
      </c>
    </row>
    <row r="2403" spans="1:7" x14ac:dyDescent="0.3">
      <c r="A2403" s="13" t="s">
        <v>867</v>
      </c>
      <c r="B2403" s="13" t="s">
        <v>15</v>
      </c>
      <c r="C2403" s="13" t="s">
        <v>852</v>
      </c>
      <c r="D2403" s="14" t="s">
        <v>868</v>
      </c>
      <c r="E2403" s="15">
        <v>1</v>
      </c>
      <c r="F2403" s="15">
        <v>3101.69</v>
      </c>
      <c r="G2403" s="16">
        <f>ROUND(E2403*F2403,2)</f>
        <v>3101.69</v>
      </c>
    </row>
    <row r="2404" spans="1:7" x14ac:dyDescent="0.3">
      <c r="A2404" s="13" t="s">
        <v>869</v>
      </c>
      <c r="B2404" s="13" t="s">
        <v>15</v>
      </c>
      <c r="C2404" s="13" t="s">
        <v>852</v>
      </c>
      <c r="D2404" s="14" t="s">
        <v>870</v>
      </c>
      <c r="E2404" s="15">
        <v>1</v>
      </c>
      <c r="F2404" s="15">
        <v>1385.05</v>
      </c>
      <c r="G2404" s="16">
        <f>ROUND(E2404*F2404,2)</f>
        <v>1385.05</v>
      </c>
    </row>
    <row r="2405" spans="1:7" ht="31.2" x14ac:dyDescent="0.3">
      <c r="A2405" s="13" t="s">
        <v>871</v>
      </c>
      <c r="B2405" s="13" t="s">
        <v>15</v>
      </c>
      <c r="C2405" s="13" t="s">
        <v>852</v>
      </c>
      <c r="D2405" s="14" t="s">
        <v>872</v>
      </c>
      <c r="E2405" s="15">
        <v>1</v>
      </c>
      <c r="F2405" s="15">
        <v>749.21</v>
      </c>
      <c r="G2405" s="16">
        <f>ROUND(E2405*F2405,2)</f>
        <v>749.21</v>
      </c>
    </row>
    <row r="2406" spans="1:7" ht="31.2" x14ac:dyDescent="0.3">
      <c r="A2406" s="13" t="s">
        <v>873</v>
      </c>
      <c r="B2406" s="13" t="s">
        <v>15</v>
      </c>
      <c r="C2406" s="13" t="s">
        <v>852</v>
      </c>
      <c r="D2406" s="14" t="s">
        <v>874</v>
      </c>
      <c r="E2406" s="15">
        <v>1</v>
      </c>
      <c r="F2406" s="15">
        <v>1030.1600000000001</v>
      </c>
      <c r="G2406" s="16">
        <f>ROUND(E2406*F2406,2)</f>
        <v>1030.1600000000001</v>
      </c>
    </row>
    <row r="2407" spans="1:7" x14ac:dyDescent="0.3">
      <c r="A2407" s="13" t="s">
        <v>850</v>
      </c>
      <c r="B2407" s="13" t="s">
        <v>15</v>
      </c>
      <c r="C2407" s="13" t="s">
        <v>852</v>
      </c>
      <c r="D2407" s="14" t="s">
        <v>851</v>
      </c>
      <c r="E2407" s="15">
        <v>501.17</v>
      </c>
      <c r="F2407" s="15">
        <v>20</v>
      </c>
      <c r="G2407" s="16">
        <f>ROUND(E2407*F2407,2)</f>
        <v>10023.4</v>
      </c>
    </row>
    <row r="2408" spans="1:7" x14ac:dyDescent="0.3">
      <c r="A2408" s="17"/>
      <c r="B2408" s="17"/>
      <c r="C2408" s="17"/>
      <c r="D2408" s="18" t="s">
        <v>875</v>
      </c>
      <c r="E2408" s="15">
        <v>1</v>
      </c>
      <c r="F2408" s="12">
        <f>SUM(G2398:G2407)</f>
        <v>60140.570000000007</v>
      </c>
      <c r="G2408" s="12">
        <f>ROUND(F2408*E2408,2)</f>
        <v>60140.57</v>
      </c>
    </row>
    <row r="2409" spans="1:7" ht="1.05" customHeight="1" x14ac:dyDescent="0.3">
      <c r="A2409" s="20"/>
      <c r="B2409" s="20"/>
      <c r="C2409" s="20"/>
      <c r="D2409" s="21"/>
      <c r="E2409" s="20"/>
      <c r="F2409" s="20"/>
      <c r="G2409" s="20"/>
    </row>
    <row r="2410" spans="1:7" x14ac:dyDescent="0.3">
      <c r="A2410" s="22" t="s">
        <v>876</v>
      </c>
      <c r="B2410" s="22" t="s">
        <v>11</v>
      </c>
      <c r="C2410" s="22" t="s">
        <v>12</v>
      </c>
      <c r="D2410" s="23" t="s">
        <v>877</v>
      </c>
      <c r="E2410" s="12">
        <f>E2433</f>
        <v>1</v>
      </c>
      <c r="F2410" s="12">
        <f>F2433</f>
        <v>26523.160000000007</v>
      </c>
      <c r="G2410" s="12">
        <f>G2433</f>
        <v>26523.16</v>
      </c>
    </row>
    <row r="2411" spans="1:7" ht="31.2" x14ac:dyDescent="0.3">
      <c r="A2411" s="13" t="s">
        <v>878</v>
      </c>
      <c r="B2411" s="13" t="s">
        <v>15</v>
      </c>
      <c r="C2411" s="13" t="s">
        <v>16</v>
      </c>
      <c r="D2411" s="14" t="s">
        <v>879</v>
      </c>
      <c r="E2411" s="15">
        <v>1</v>
      </c>
      <c r="F2411" s="15">
        <v>2048.11</v>
      </c>
      <c r="G2411" s="16">
        <f>ROUND(E2411*F2411,2)</f>
        <v>2048.11</v>
      </c>
    </row>
    <row r="2412" spans="1:7" ht="31.2" x14ac:dyDescent="0.3">
      <c r="A2412" s="13" t="s">
        <v>880</v>
      </c>
      <c r="B2412" s="13" t="s">
        <v>15</v>
      </c>
      <c r="C2412" s="13" t="s">
        <v>16</v>
      </c>
      <c r="D2412" s="14" t="s">
        <v>881</v>
      </c>
      <c r="E2412" s="15">
        <v>1</v>
      </c>
      <c r="F2412" s="15">
        <v>1727.35</v>
      </c>
      <c r="G2412" s="16">
        <f>ROUND(E2412*F2412,2)</f>
        <v>1727.35</v>
      </c>
    </row>
    <row r="2413" spans="1:7" ht="31.2" x14ac:dyDescent="0.3">
      <c r="A2413" s="13" t="s">
        <v>882</v>
      </c>
      <c r="B2413" s="13" t="s">
        <v>15</v>
      </c>
      <c r="C2413" s="13" t="s">
        <v>16</v>
      </c>
      <c r="D2413" s="14" t="s">
        <v>883</v>
      </c>
      <c r="E2413" s="15">
        <v>1</v>
      </c>
      <c r="F2413" s="15">
        <v>3074.15</v>
      </c>
      <c r="G2413" s="16">
        <f>ROUND(E2413*F2413,2)</f>
        <v>3074.15</v>
      </c>
    </row>
    <row r="2414" spans="1:7" ht="31.2" x14ac:dyDescent="0.3">
      <c r="A2414" s="13" t="s">
        <v>884</v>
      </c>
      <c r="B2414" s="13" t="s">
        <v>15</v>
      </c>
      <c r="C2414" s="13" t="s">
        <v>16</v>
      </c>
      <c r="D2414" s="14" t="s">
        <v>885</v>
      </c>
      <c r="E2414" s="15">
        <v>1</v>
      </c>
      <c r="F2414" s="15">
        <v>367.88</v>
      </c>
      <c r="G2414" s="16">
        <f>ROUND(E2414*F2414,2)</f>
        <v>367.88</v>
      </c>
    </row>
    <row r="2415" spans="1:7" ht="31.2" x14ac:dyDescent="0.3">
      <c r="A2415" s="13" t="s">
        <v>886</v>
      </c>
      <c r="B2415" s="13" t="s">
        <v>15</v>
      </c>
      <c r="C2415" s="13" t="s">
        <v>16</v>
      </c>
      <c r="D2415" s="14" t="s">
        <v>887</v>
      </c>
      <c r="E2415" s="15">
        <v>1</v>
      </c>
      <c r="F2415" s="15">
        <v>551.83000000000004</v>
      </c>
      <c r="G2415" s="16">
        <f>ROUND(E2415*F2415,2)</f>
        <v>551.83000000000004</v>
      </c>
    </row>
    <row r="2416" spans="1:7" ht="31.2" x14ac:dyDescent="0.3">
      <c r="A2416" s="13" t="s">
        <v>888</v>
      </c>
      <c r="B2416" s="13" t="s">
        <v>15</v>
      </c>
      <c r="C2416" s="13" t="s">
        <v>16</v>
      </c>
      <c r="D2416" s="14" t="s">
        <v>889</v>
      </c>
      <c r="E2416" s="15">
        <v>1</v>
      </c>
      <c r="F2416" s="15">
        <v>1032.6400000000001</v>
      </c>
      <c r="G2416" s="16">
        <f>ROUND(E2416*F2416,2)</f>
        <v>1032.6400000000001</v>
      </c>
    </row>
    <row r="2417" spans="1:7" ht="31.2" x14ac:dyDescent="0.3">
      <c r="A2417" s="13" t="s">
        <v>890</v>
      </c>
      <c r="B2417" s="13" t="s">
        <v>15</v>
      </c>
      <c r="C2417" s="13" t="s">
        <v>16</v>
      </c>
      <c r="D2417" s="14" t="s">
        <v>891</v>
      </c>
      <c r="E2417" s="15">
        <v>1</v>
      </c>
      <c r="F2417" s="15">
        <v>2380.5300000000002</v>
      </c>
      <c r="G2417" s="16">
        <f>ROUND(E2417*F2417,2)</f>
        <v>2380.5300000000002</v>
      </c>
    </row>
    <row r="2418" spans="1:7" ht="31.2" x14ac:dyDescent="0.3">
      <c r="A2418" s="13" t="s">
        <v>892</v>
      </c>
      <c r="B2418" s="13" t="s">
        <v>15</v>
      </c>
      <c r="C2418" s="13" t="s">
        <v>16</v>
      </c>
      <c r="D2418" s="14" t="s">
        <v>893</v>
      </c>
      <c r="E2418" s="15">
        <v>2</v>
      </c>
      <c r="F2418" s="15">
        <v>2380.5300000000002</v>
      </c>
      <c r="G2418" s="16">
        <f>ROUND(E2418*F2418,2)</f>
        <v>4761.0600000000004</v>
      </c>
    </row>
    <row r="2419" spans="1:7" ht="31.2" x14ac:dyDescent="0.3">
      <c r="A2419" s="13" t="s">
        <v>894</v>
      </c>
      <c r="B2419" s="13" t="s">
        <v>15</v>
      </c>
      <c r="C2419" s="13" t="s">
        <v>16</v>
      </c>
      <c r="D2419" s="14" t="s">
        <v>895</v>
      </c>
      <c r="E2419" s="15">
        <v>1</v>
      </c>
      <c r="F2419" s="15">
        <v>5139.2</v>
      </c>
      <c r="G2419" s="16">
        <f>ROUND(E2419*F2419,2)</f>
        <v>5139.2</v>
      </c>
    </row>
    <row r="2420" spans="1:7" ht="31.2" x14ac:dyDescent="0.3">
      <c r="A2420" s="13" t="s">
        <v>896</v>
      </c>
      <c r="B2420" s="13" t="s">
        <v>15</v>
      </c>
      <c r="C2420" s="13" t="s">
        <v>16</v>
      </c>
      <c r="D2420" s="14" t="s">
        <v>897</v>
      </c>
      <c r="E2420" s="15">
        <v>1</v>
      </c>
      <c r="F2420" s="15">
        <v>918.06</v>
      </c>
      <c r="G2420" s="16">
        <f>ROUND(E2420*F2420,2)</f>
        <v>918.06</v>
      </c>
    </row>
    <row r="2421" spans="1:7" ht="31.2" x14ac:dyDescent="0.3">
      <c r="A2421" s="13" t="s">
        <v>898</v>
      </c>
      <c r="B2421" s="13" t="s">
        <v>15</v>
      </c>
      <c r="C2421" s="13" t="s">
        <v>16</v>
      </c>
      <c r="D2421" s="14" t="s">
        <v>897</v>
      </c>
      <c r="E2421" s="15">
        <v>1</v>
      </c>
      <c r="F2421" s="15">
        <v>800.09</v>
      </c>
      <c r="G2421" s="16">
        <f>ROUND(E2421*F2421,2)</f>
        <v>800.09</v>
      </c>
    </row>
    <row r="2422" spans="1:7" ht="31.2" x14ac:dyDescent="0.3">
      <c r="A2422" s="13" t="s">
        <v>899</v>
      </c>
      <c r="B2422" s="13" t="s">
        <v>15</v>
      </c>
      <c r="C2422" s="13" t="s">
        <v>16</v>
      </c>
      <c r="D2422" s="14" t="s">
        <v>900</v>
      </c>
      <c r="E2422" s="15">
        <v>1</v>
      </c>
      <c r="F2422" s="15">
        <v>1210.43</v>
      </c>
      <c r="G2422" s="16">
        <f>ROUND(E2422*F2422,2)</f>
        <v>1210.43</v>
      </c>
    </row>
    <row r="2423" spans="1:7" ht="31.2" x14ac:dyDescent="0.3">
      <c r="A2423" s="13" t="s">
        <v>901</v>
      </c>
      <c r="B2423" s="13" t="s">
        <v>15</v>
      </c>
      <c r="C2423" s="13" t="s">
        <v>16</v>
      </c>
      <c r="D2423" s="14" t="s">
        <v>902</v>
      </c>
      <c r="E2423" s="15">
        <v>1</v>
      </c>
      <c r="F2423" s="15">
        <v>158.31</v>
      </c>
      <c r="G2423" s="16">
        <f>ROUND(E2423*F2423,2)</f>
        <v>158.31</v>
      </c>
    </row>
    <row r="2424" spans="1:7" ht="31.2" x14ac:dyDescent="0.3">
      <c r="A2424" s="13" t="s">
        <v>903</v>
      </c>
      <c r="B2424" s="13" t="s">
        <v>15</v>
      </c>
      <c r="C2424" s="13" t="s">
        <v>16</v>
      </c>
      <c r="D2424" s="14" t="s">
        <v>904</v>
      </c>
      <c r="E2424" s="15">
        <v>1</v>
      </c>
      <c r="F2424" s="15">
        <v>265.77</v>
      </c>
      <c r="G2424" s="16">
        <f>ROUND(E2424*F2424,2)</f>
        <v>265.77</v>
      </c>
    </row>
    <row r="2425" spans="1:7" ht="31.2" x14ac:dyDescent="0.3">
      <c r="A2425" s="13" t="s">
        <v>905</v>
      </c>
      <c r="B2425" s="13" t="s">
        <v>15</v>
      </c>
      <c r="C2425" s="13" t="s">
        <v>16</v>
      </c>
      <c r="D2425" s="14" t="s">
        <v>906</v>
      </c>
      <c r="E2425" s="15">
        <v>1</v>
      </c>
      <c r="F2425" s="15">
        <v>265.77</v>
      </c>
      <c r="G2425" s="16">
        <f>ROUND(E2425*F2425,2)</f>
        <v>265.77</v>
      </c>
    </row>
    <row r="2426" spans="1:7" ht="31.2" x14ac:dyDescent="0.3">
      <c r="A2426" s="13" t="s">
        <v>907</v>
      </c>
      <c r="B2426" s="13" t="s">
        <v>15</v>
      </c>
      <c r="C2426" s="13" t="s">
        <v>16</v>
      </c>
      <c r="D2426" s="14" t="s">
        <v>908</v>
      </c>
      <c r="E2426" s="15">
        <v>1</v>
      </c>
      <c r="F2426" s="15">
        <v>92.03</v>
      </c>
      <c r="G2426" s="16">
        <f>ROUND(E2426*F2426,2)</f>
        <v>92.03</v>
      </c>
    </row>
    <row r="2427" spans="1:7" ht="31.2" x14ac:dyDescent="0.3">
      <c r="A2427" s="13" t="s">
        <v>909</v>
      </c>
      <c r="B2427" s="13" t="s">
        <v>15</v>
      </c>
      <c r="C2427" s="13" t="s">
        <v>16</v>
      </c>
      <c r="D2427" s="14" t="s">
        <v>910</v>
      </c>
      <c r="E2427" s="15">
        <v>1</v>
      </c>
      <c r="F2427" s="15">
        <v>92.03</v>
      </c>
      <c r="G2427" s="16">
        <f>ROUND(E2427*F2427,2)</f>
        <v>92.03</v>
      </c>
    </row>
    <row r="2428" spans="1:7" ht="31.2" x14ac:dyDescent="0.3">
      <c r="A2428" s="13" t="s">
        <v>911</v>
      </c>
      <c r="B2428" s="13" t="s">
        <v>15</v>
      </c>
      <c r="C2428" s="13" t="s">
        <v>16</v>
      </c>
      <c r="D2428" s="14" t="s">
        <v>912</v>
      </c>
      <c r="E2428" s="15">
        <v>2</v>
      </c>
      <c r="F2428" s="15">
        <v>106.82</v>
      </c>
      <c r="G2428" s="16">
        <f>ROUND(E2428*F2428,2)</f>
        <v>213.64</v>
      </c>
    </row>
    <row r="2429" spans="1:7" ht="31.2" x14ac:dyDescent="0.3">
      <c r="A2429" s="13" t="s">
        <v>913</v>
      </c>
      <c r="B2429" s="13" t="s">
        <v>15</v>
      </c>
      <c r="C2429" s="13" t="s">
        <v>16</v>
      </c>
      <c r="D2429" s="14" t="s">
        <v>914</v>
      </c>
      <c r="E2429" s="15">
        <v>1</v>
      </c>
      <c r="F2429" s="15">
        <v>413.14</v>
      </c>
      <c r="G2429" s="16">
        <f>ROUND(E2429*F2429,2)</f>
        <v>413.14</v>
      </c>
    </row>
    <row r="2430" spans="1:7" ht="31.2" x14ac:dyDescent="0.3">
      <c r="A2430" s="13" t="s">
        <v>915</v>
      </c>
      <c r="B2430" s="13" t="s">
        <v>15</v>
      </c>
      <c r="C2430" s="13" t="s">
        <v>16</v>
      </c>
      <c r="D2430" s="14" t="s">
        <v>916</v>
      </c>
      <c r="E2430" s="15">
        <v>1</v>
      </c>
      <c r="F2430" s="15">
        <v>169.25</v>
      </c>
      <c r="G2430" s="16">
        <f>ROUND(E2430*F2430,2)</f>
        <v>169.25</v>
      </c>
    </row>
    <row r="2431" spans="1:7" ht="31.2" x14ac:dyDescent="0.3">
      <c r="A2431" s="13" t="s">
        <v>917</v>
      </c>
      <c r="B2431" s="13" t="s">
        <v>15</v>
      </c>
      <c r="C2431" s="13" t="s">
        <v>16</v>
      </c>
      <c r="D2431" s="14" t="s">
        <v>918</v>
      </c>
      <c r="E2431" s="15">
        <v>1</v>
      </c>
      <c r="F2431" s="15">
        <v>158.31</v>
      </c>
      <c r="G2431" s="16">
        <f>ROUND(E2431*F2431,2)</f>
        <v>158.31</v>
      </c>
    </row>
    <row r="2432" spans="1:7" ht="31.2" x14ac:dyDescent="0.3">
      <c r="A2432" s="13" t="s">
        <v>919</v>
      </c>
      <c r="B2432" s="13" t="s">
        <v>15</v>
      </c>
      <c r="C2432" s="13" t="s">
        <v>16</v>
      </c>
      <c r="D2432" s="14" t="s">
        <v>920</v>
      </c>
      <c r="E2432" s="15">
        <v>1</v>
      </c>
      <c r="F2432" s="15">
        <v>683.58</v>
      </c>
      <c r="G2432" s="16">
        <f>ROUND(E2432*F2432,2)</f>
        <v>683.58</v>
      </c>
    </row>
    <row r="2433" spans="1:7" x14ac:dyDescent="0.3">
      <c r="A2433" s="17"/>
      <c r="B2433" s="17"/>
      <c r="C2433" s="17"/>
      <c r="D2433" s="18" t="s">
        <v>921</v>
      </c>
      <c r="E2433" s="15">
        <v>1</v>
      </c>
      <c r="F2433" s="12">
        <f>SUM(G2411:G2432)</f>
        <v>26523.160000000007</v>
      </c>
      <c r="G2433" s="12">
        <f>ROUND(F2433*E2433,2)</f>
        <v>26523.16</v>
      </c>
    </row>
    <row r="2434" spans="1:7" ht="1.05" customHeight="1" x14ac:dyDescent="0.3">
      <c r="A2434" s="20"/>
      <c r="B2434" s="20"/>
      <c r="C2434" s="20"/>
      <c r="D2434" s="21"/>
      <c r="E2434" s="20"/>
      <c r="F2434" s="20"/>
      <c r="G2434" s="20"/>
    </row>
    <row r="2435" spans="1:7" ht="31.2" x14ac:dyDescent="0.3">
      <c r="A2435" s="22" t="s">
        <v>922</v>
      </c>
      <c r="B2435" s="22" t="s">
        <v>11</v>
      </c>
      <c r="C2435" s="22" t="s">
        <v>12</v>
      </c>
      <c r="D2435" s="23" t="s">
        <v>923</v>
      </c>
      <c r="E2435" s="12">
        <f>E2445</f>
        <v>1</v>
      </c>
      <c r="F2435" s="12">
        <f>F2445</f>
        <v>5613.9599999999991</v>
      </c>
      <c r="G2435" s="12">
        <f>G2445</f>
        <v>5613.96</v>
      </c>
    </row>
    <row r="2436" spans="1:7" ht="31.2" x14ac:dyDescent="0.3">
      <c r="A2436" s="13" t="s">
        <v>924</v>
      </c>
      <c r="B2436" s="13" t="s">
        <v>15</v>
      </c>
      <c r="C2436" s="13" t="s">
        <v>926</v>
      </c>
      <c r="D2436" s="14" t="s">
        <v>925</v>
      </c>
      <c r="E2436" s="15">
        <v>537</v>
      </c>
      <c r="F2436" s="15">
        <v>2.72</v>
      </c>
      <c r="G2436" s="16">
        <f>ROUND(E2436*F2436,2)</f>
        <v>1460.64</v>
      </c>
    </row>
    <row r="2437" spans="1:7" ht="31.2" x14ac:dyDescent="0.3">
      <c r="A2437" s="13" t="s">
        <v>927</v>
      </c>
      <c r="B2437" s="13" t="s">
        <v>15</v>
      </c>
      <c r="C2437" s="13" t="s">
        <v>926</v>
      </c>
      <c r="D2437" s="14" t="s">
        <v>928</v>
      </c>
      <c r="E2437" s="15">
        <v>2</v>
      </c>
      <c r="F2437" s="15">
        <v>1111.1099999999999</v>
      </c>
      <c r="G2437" s="16">
        <f>ROUND(E2437*F2437,2)</f>
        <v>2222.2199999999998</v>
      </c>
    </row>
    <row r="2438" spans="1:7" x14ac:dyDescent="0.3">
      <c r="A2438" s="13" t="s">
        <v>929</v>
      </c>
      <c r="B2438" s="13" t="s">
        <v>15</v>
      </c>
      <c r="C2438" s="13" t="s">
        <v>858</v>
      </c>
      <c r="D2438" s="14" t="s">
        <v>930</v>
      </c>
      <c r="E2438" s="15">
        <v>1.5</v>
      </c>
      <c r="F2438" s="15">
        <v>158.37</v>
      </c>
      <c r="G2438" s="16">
        <f>ROUND(E2438*F2438,2)</f>
        <v>237.56</v>
      </c>
    </row>
    <row r="2439" spans="1:7" ht="31.2" x14ac:dyDescent="0.3">
      <c r="A2439" s="13" t="s">
        <v>931</v>
      </c>
      <c r="B2439" s="13" t="s">
        <v>15</v>
      </c>
      <c r="C2439" s="13" t="s">
        <v>858</v>
      </c>
      <c r="D2439" s="14" t="s">
        <v>932</v>
      </c>
      <c r="E2439" s="15">
        <v>4</v>
      </c>
      <c r="F2439" s="15">
        <v>21.38</v>
      </c>
      <c r="G2439" s="16">
        <f>ROUND(E2439*F2439,2)</f>
        <v>85.52</v>
      </c>
    </row>
    <row r="2440" spans="1:7" x14ac:dyDescent="0.3">
      <c r="A2440" s="13" t="s">
        <v>933</v>
      </c>
      <c r="B2440" s="13" t="s">
        <v>15</v>
      </c>
      <c r="C2440" s="13" t="s">
        <v>852</v>
      </c>
      <c r="D2440" s="14" t="s">
        <v>934</v>
      </c>
      <c r="E2440" s="15">
        <v>0.25</v>
      </c>
      <c r="F2440" s="15">
        <v>592.04</v>
      </c>
      <c r="G2440" s="16">
        <f>ROUND(E2440*F2440,2)</f>
        <v>148.01</v>
      </c>
    </row>
    <row r="2441" spans="1:7" x14ac:dyDescent="0.3">
      <c r="A2441" s="13" t="s">
        <v>935</v>
      </c>
      <c r="B2441" s="13" t="s">
        <v>15</v>
      </c>
      <c r="C2441" s="13" t="s">
        <v>858</v>
      </c>
      <c r="D2441" s="14" t="s">
        <v>936</v>
      </c>
      <c r="E2441" s="15">
        <v>1.5</v>
      </c>
      <c r="F2441" s="15">
        <v>54.58</v>
      </c>
      <c r="G2441" s="16">
        <f>ROUND(E2441*F2441,2)</f>
        <v>81.87</v>
      </c>
    </row>
    <row r="2442" spans="1:7" ht="31.2" x14ac:dyDescent="0.3">
      <c r="A2442" s="13" t="s">
        <v>937</v>
      </c>
      <c r="B2442" s="13" t="s">
        <v>15</v>
      </c>
      <c r="C2442" s="13" t="s">
        <v>939</v>
      </c>
      <c r="D2442" s="14" t="s">
        <v>938</v>
      </c>
      <c r="E2442" s="15">
        <v>76</v>
      </c>
      <c r="F2442" s="15">
        <v>1.78</v>
      </c>
      <c r="G2442" s="16">
        <f>ROUND(E2442*F2442,2)</f>
        <v>135.28</v>
      </c>
    </row>
    <row r="2443" spans="1:7" x14ac:dyDescent="0.3">
      <c r="A2443" s="13" t="s">
        <v>940</v>
      </c>
      <c r="B2443" s="13" t="s">
        <v>15</v>
      </c>
      <c r="C2443" s="13" t="s">
        <v>852</v>
      </c>
      <c r="D2443" s="14" t="s">
        <v>941</v>
      </c>
      <c r="E2443" s="15">
        <v>1</v>
      </c>
      <c r="F2443" s="15">
        <v>131.75</v>
      </c>
      <c r="G2443" s="16">
        <f>ROUND(E2443*F2443,2)</f>
        <v>131.75</v>
      </c>
    </row>
    <row r="2444" spans="1:7" x14ac:dyDescent="0.3">
      <c r="A2444" s="13" t="s">
        <v>942</v>
      </c>
      <c r="B2444" s="13" t="s">
        <v>15</v>
      </c>
      <c r="C2444" s="13" t="s">
        <v>852</v>
      </c>
      <c r="D2444" s="14" t="s">
        <v>943</v>
      </c>
      <c r="E2444" s="15">
        <v>1</v>
      </c>
      <c r="F2444" s="15">
        <v>1111.1099999999999</v>
      </c>
      <c r="G2444" s="16">
        <f>ROUND(E2444*F2444,2)</f>
        <v>1111.1099999999999</v>
      </c>
    </row>
    <row r="2445" spans="1:7" x14ac:dyDescent="0.3">
      <c r="A2445" s="17"/>
      <c r="B2445" s="17"/>
      <c r="C2445" s="17"/>
      <c r="D2445" s="18" t="s">
        <v>944</v>
      </c>
      <c r="E2445" s="15">
        <v>1</v>
      </c>
      <c r="F2445" s="12">
        <f>SUM(G2436:G2444)</f>
        <v>5613.9599999999991</v>
      </c>
      <c r="G2445" s="12">
        <f>ROUND(F2445*E2445,2)</f>
        <v>5613.96</v>
      </c>
    </row>
    <row r="2446" spans="1:7" ht="1.05" customHeight="1" x14ac:dyDescent="0.3">
      <c r="A2446" s="20"/>
      <c r="B2446" s="20"/>
      <c r="C2446" s="20"/>
      <c r="D2446" s="21"/>
      <c r="E2446" s="20"/>
      <c r="F2446" s="20"/>
      <c r="G2446" s="20"/>
    </row>
    <row r="2447" spans="1:7" x14ac:dyDescent="0.3">
      <c r="A2447" s="17"/>
      <c r="B2447" s="17"/>
      <c r="C2447" s="17"/>
      <c r="D2447" s="18" t="s">
        <v>945</v>
      </c>
      <c r="E2447" s="19">
        <v>1</v>
      </c>
      <c r="F2447" s="12">
        <f>G2395+G2408+G2433+G2445</f>
        <v>150146.18</v>
      </c>
      <c r="G2447" s="12">
        <f>ROUND(F2447*E2447,2)</f>
        <v>150146.18</v>
      </c>
    </row>
    <row r="2448" spans="1:7" ht="1.05" customHeight="1" x14ac:dyDescent="0.3">
      <c r="A2448" s="20"/>
      <c r="B2448" s="20"/>
      <c r="C2448" s="20"/>
      <c r="D2448" s="21"/>
      <c r="E2448" s="20"/>
      <c r="F2448" s="20"/>
      <c r="G2448" s="20"/>
    </row>
    <row r="2449" spans="1:7" x14ac:dyDescent="0.3">
      <c r="A2449" s="17"/>
      <c r="B2449" s="17"/>
      <c r="C2449" s="17"/>
      <c r="D2449" s="18" t="s">
        <v>946</v>
      </c>
      <c r="E2449" s="19">
        <v>1</v>
      </c>
      <c r="F2449" s="12">
        <f>G15+G22+G186+G326+G445+G563+G723+G879+G1035+G1191+G1347+G1503+G1659+G1815+G1971+G2127+G2287+G2372+G2379+G2447</f>
        <v>4404786.41</v>
      </c>
      <c r="G2449" s="12">
        <f>ROUND(F2449*E2449,2)</f>
        <v>4404786.41</v>
      </c>
    </row>
    <row r="2450" spans="1:7" x14ac:dyDescent="0.3">
      <c r="A2450" s="17"/>
      <c r="B2450" s="17"/>
      <c r="C2450" s="17"/>
      <c r="D2450" s="25"/>
      <c r="E2450" s="17"/>
      <c r="F2450" s="17"/>
      <c r="G2450" s="17"/>
    </row>
  </sheetData>
  <dataValidations disablePrompts="1" count="1">
    <dataValidation type="list" allowBlank="1" showInputMessage="1" showErrorMessage="1" sqref="B4:B2450" xr:uid="{14207139-891D-4CAE-978C-2AFFBED8D952}">
      <formula1>"Capítulo;Partida;Mano de obra;Maquinaria;Material;Otros;"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Ciprian</dc:creator>
  <cp:lastModifiedBy>Leonel Ciprian</cp:lastModifiedBy>
  <dcterms:created xsi:type="dcterms:W3CDTF">2025-10-17T13:22:51Z</dcterms:created>
  <dcterms:modified xsi:type="dcterms:W3CDTF">2025-10-17T13:38:57Z</dcterms:modified>
</cp:coreProperties>
</file>