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baez\Desktop\IA\"/>
    </mc:Choice>
  </mc:AlternateContent>
  <xr:revisionPtr revIDLastSave="0" documentId="13_ncr:1_{698B48C5-EC04-491D-A4AA-53649A24A01E}" xr6:coauthVersionLast="47" xr6:coauthVersionMax="47" xr10:uidLastSave="{00000000-0000-0000-0000-000000000000}"/>
  <bookViews>
    <workbookView xWindow="-28920" yWindow="-15" windowWidth="29040" windowHeight="15720" xr2:uid="{68E67A3E-336A-418B-93DE-D69C8A8D8B51}"/>
  </bookViews>
  <sheets>
    <sheet name="OBRA GRIS (2)" sheetId="4" r:id="rId1"/>
    <sheet name="OBRA GRIS" sheetId="2" state="hidden" r:id="rId2"/>
    <sheet name="TERMINACIONES" sheetId="3" r:id="rId3"/>
    <sheet name="GENERAL" sheetId="1" state="hidden" r:id="rId4"/>
  </sheets>
  <definedNames>
    <definedName name="_xlnm.Print_Area" localSheetId="3">GENERAL!$A$1:$H$799</definedName>
    <definedName name="_xlnm.Print_Area" localSheetId="1">'OBRA GRIS'!$A$1:$H$798</definedName>
    <definedName name="_xlnm.Print_Area" localSheetId="0">'OBRA GRIS (2)'!$A$1:$H$798</definedName>
    <definedName name="_xlnm.Print_Area" localSheetId="2">TERMINACIONES!$A$1:$H$799</definedName>
    <definedName name="_xlnm.Print_Titles" localSheetId="1">'OBRA GRIS'!$1:$6</definedName>
    <definedName name="_xlnm.Print_Titles" localSheetId="0">'OBRA GRIS (2)'!$1:$6</definedName>
    <definedName name="_xlnm.Print_Titles" localSheetId="2">TERMINACIONES!$1:$6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98" i="1" l="1"/>
  <c r="G718" i="4"/>
  <c r="H718" i="4" s="1"/>
  <c r="G26" i="4"/>
  <c r="E21" i="4"/>
  <c r="G15" i="4"/>
  <c r="G786" i="4"/>
  <c r="E785" i="4"/>
  <c r="E787" i="4" s="1"/>
  <c r="H787" i="4" s="1"/>
  <c r="H786" i="4"/>
  <c r="E784" i="4"/>
  <c r="E783" i="4"/>
  <c r="G775" i="4"/>
  <c r="E769" i="4"/>
  <c r="G767" i="4"/>
  <c r="H767" i="4" s="1"/>
  <c r="H762" i="4" s="1"/>
  <c r="G762" i="4"/>
  <c r="E762" i="4"/>
  <c r="E761" i="4"/>
  <c r="G757" i="4"/>
  <c r="H757" i="4" s="1"/>
  <c r="H751" i="4" s="1"/>
  <c r="G751" i="4"/>
  <c r="E751" i="4"/>
  <c r="G749" i="4"/>
  <c r="H749" i="4" s="1"/>
  <c r="H744" i="4" s="1"/>
  <c r="E744" i="4"/>
  <c r="E743" i="4"/>
  <c r="G739" i="4"/>
  <c r="H739" i="4" s="1"/>
  <c r="G736" i="4"/>
  <c r="G734" i="4"/>
  <c r="E730" i="4"/>
  <c r="E729" i="4"/>
  <c r="H725" i="4"/>
  <c r="H723" i="4"/>
  <c r="H721" i="4"/>
  <c r="E716" i="4"/>
  <c r="E715" i="4"/>
  <c r="H708" i="4"/>
  <c r="H707" i="4"/>
  <c r="H706" i="4"/>
  <c r="H705" i="4"/>
  <c r="H704" i="4"/>
  <c r="H703" i="4"/>
  <c r="H702" i="4"/>
  <c r="H701" i="4"/>
  <c r="H700" i="4"/>
  <c r="H699" i="4"/>
  <c r="E698" i="4"/>
  <c r="E697" i="4"/>
  <c r="G693" i="4"/>
  <c r="G690" i="4" s="1"/>
  <c r="E690" i="4"/>
  <c r="E689" i="4"/>
  <c r="H681" i="4"/>
  <c r="H680" i="4"/>
  <c r="G683" i="4" s="1"/>
  <c r="E679" i="4"/>
  <c r="G677" i="4"/>
  <c r="E673" i="4"/>
  <c r="H670" i="4"/>
  <c r="H669" i="4"/>
  <c r="H668" i="4"/>
  <c r="H667" i="4"/>
  <c r="H666" i="4"/>
  <c r="H665" i="4"/>
  <c r="G671" i="4" s="1"/>
  <c r="E664" i="4"/>
  <c r="H661" i="4"/>
  <c r="H660" i="4"/>
  <c r="E659" i="4"/>
  <c r="E658" i="4"/>
  <c r="H653" i="4"/>
  <c r="H652" i="4"/>
  <c r="E651" i="4"/>
  <c r="G649" i="4"/>
  <c r="H649" i="4" s="1"/>
  <c r="H645" i="4" s="1"/>
  <c r="G645" i="4"/>
  <c r="E645" i="4"/>
  <c r="H642" i="4"/>
  <c r="H641" i="4"/>
  <c r="H640" i="4"/>
  <c r="H639" i="4"/>
  <c r="H638" i="4"/>
  <c r="H637" i="4"/>
  <c r="H636" i="4"/>
  <c r="H635" i="4"/>
  <c r="G643" i="4" s="1"/>
  <c r="E634" i="4"/>
  <c r="H631" i="4"/>
  <c r="H630" i="4"/>
  <c r="E629" i="4"/>
  <c r="H626" i="4"/>
  <c r="H625" i="4"/>
  <c r="H624" i="4"/>
  <c r="H623" i="4"/>
  <c r="H622" i="4"/>
  <c r="E621" i="4"/>
  <c r="H618" i="4"/>
  <c r="H617" i="4"/>
  <c r="H616" i="4"/>
  <c r="H615" i="4"/>
  <c r="H614" i="4"/>
  <c r="H613" i="4"/>
  <c r="H612" i="4"/>
  <c r="H611" i="4"/>
  <c r="G619" i="4" s="1"/>
  <c r="E610" i="4"/>
  <c r="E609" i="4"/>
  <c r="E608" i="4"/>
  <c r="E607" i="4"/>
  <c r="G597" i="4"/>
  <c r="G594" i="4"/>
  <c r="E594" i="4"/>
  <c r="H592" i="4"/>
  <c r="H589" i="4" s="1"/>
  <c r="G592" i="4"/>
  <c r="G589" i="4"/>
  <c r="E589" i="4"/>
  <c r="G587" i="4"/>
  <c r="E585" i="4"/>
  <c r="E584" i="4"/>
  <c r="G580" i="4"/>
  <c r="E575" i="4"/>
  <c r="G573" i="4"/>
  <c r="E564" i="4"/>
  <c r="E563" i="4"/>
  <c r="G559" i="4"/>
  <c r="E553" i="4"/>
  <c r="G551" i="4"/>
  <c r="H551" i="4" s="1"/>
  <c r="H549" i="4" s="1"/>
  <c r="G549" i="4"/>
  <c r="E549" i="4"/>
  <c r="E548" i="4"/>
  <c r="G546" i="4"/>
  <c r="H546" i="4" s="1"/>
  <c r="H542" i="4" s="1"/>
  <c r="E542" i="4"/>
  <c r="G538" i="4"/>
  <c r="H538" i="4" s="1"/>
  <c r="H535" i="4" s="1"/>
  <c r="G535" i="4"/>
  <c r="E535" i="4"/>
  <c r="G533" i="4"/>
  <c r="G530" i="4"/>
  <c r="E530" i="4"/>
  <c r="H528" i="4"/>
  <c r="H515" i="4" s="1"/>
  <c r="G528" i="4"/>
  <c r="G515" i="4"/>
  <c r="E515" i="4"/>
  <c r="E514" i="4"/>
  <c r="H510" i="4"/>
  <c r="H505" i="4" s="1"/>
  <c r="G510" i="4"/>
  <c r="G505" i="4"/>
  <c r="E505" i="4"/>
  <c r="H503" i="4"/>
  <c r="H496" i="4" s="1"/>
  <c r="G503" i="4"/>
  <c r="G496" i="4"/>
  <c r="E496" i="4"/>
  <c r="E495" i="4"/>
  <c r="G491" i="4"/>
  <c r="E489" i="4"/>
  <c r="G487" i="4"/>
  <c r="H487" i="4" s="1"/>
  <c r="H479" i="4" s="1"/>
  <c r="E479" i="4"/>
  <c r="E478" i="4"/>
  <c r="G474" i="4"/>
  <c r="E466" i="4"/>
  <c r="G464" i="4"/>
  <c r="H464" i="4" s="1"/>
  <c r="H460" i="4"/>
  <c r="G460" i="4"/>
  <c r="E460" i="4"/>
  <c r="E459" i="4"/>
  <c r="H456" i="4"/>
  <c r="H455" i="4"/>
  <c r="H454" i="4"/>
  <c r="H453" i="4"/>
  <c r="H452" i="4"/>
  <c r="H451" i="4"/>
  <c r="H450" i="4"/>
  <c r="H449" i="4"/>
  <c r="H448" i="4"/>
  <c r="H447" i="4"/>
  <c r="E446" i="4"/>
  <c r="H443" i="4"/>
  <c r="H442" i="4"/>
  <c r="H441" i="4"/>
  <c r="H440" i="4"/>
  <c r="H439" i="4"/>
  <c r="H438" i="4"/>
  <c r="H437" i="4"/>
  <c r="H436" i="4"/>
  <c r="H435" i="4"/>
  <c r="H434" i="4"/>
  <c r="G444" i="4" s="1"/>
  <c r="G433" i="4" s="1"/>
  <c r="E433" i="4"/>
  <c r="E432" i="4"/>
  <c r="H426" i="4"/>
  <c r="H422" i="4" s="1"/>
  <c r="G426" i="4"/>
  <c r="G422" i="4"/>
  <c r="E422" i="4"/>
  <c r="H420" i="4"/>
  <c r="H413" i="4" s="1"/>
  <c r="G420" i="4"/>
  <c r="E413" i="4"/>
  <c r="G411" i="4"/>
  <c r="G397" i="4"/>
  <c r="E397" i="4"/>
  <c r="E396" i="4"/>
  <c r="G392" i="4"/>
  <c r="H392" i="4" s="1"/>
  <c r="H386" i="4" s="1"/>
  <c r="E386" i="4"/>
  <c r="G384" i="4"/>
  <c r="G382" i="4"/>
  <c r="E382" i="4"/>
  <c r="E381" i="4"/>
  <c r="G379" i="4"/>
  <c r="H379" i="4" s="1"/>
  <c r="H374" i="4" s="1"/>
  <c r="E374" i="4"/>
  <c r="G370" i="4"/>
  <c r="H370" i="4" s="1"/>
  <c r="H368" i="4" s="1"/>
  <c r="E368" i="4"/>
  <c r="G366" i="4"/>
  <c r="G364" i="4"/>
  <c r="E364" i="4"/>
  <c r="E363" i="4"/>
  <c r="G359" i="4"/>
  <c r="E354" i="4"/>
  <c r="G352" i="4"/>
  <c r="E347" i="4"/>
  <c r="G345" i="4"/>
  <c r="G343" i="4"/>
  <c r="E343" i="4"/>
  <c r="H341" i="4"/>
  <c r="H339" i="4" s="1"/>
  <c r="G341" i="4"/>
  <c r="G339" i="4"/>
  <c r="E339" i="4"/>
  <c r="G337" i="4"/>
  <c r="H337" i="4" s="1"/>
  <c r="H328" i="4" s="1"/>
  <c r="E328" i="4"/>
  <c r="G326" i="4"/>
  <c r="G323" i="4" s="1"/>
  <c r="E323" i="4"/>
  <c r="G321" i="4"/>
  <c r="E317" i="4"/>
  <c r="G315" i="4"/>
  <c r="E304" i="4"/>
  <c r="E303" i="4"/>
  <c r="H299" i="4"/>
  <c r="H294" i="4" s="1"/>
  <c r="G299" i="4"/>
  <c r="E294" i="4"/>
  <c r="H292" i="4"/>
  <c r="H285" i="4" s="1"/>
  <c r="G292" i="4"/>
  <c r="G285" i="4"/>
  <c r="E285" i="4"/>
  <c r="E284" i="4"/>
  <c r="G280" i="4"/>
  <c r="E278" i="4"/>
  <c r="G276" i="4"/>
  <c r="E271" i="4"/>
  <c r="E270" i="4"/>
  <c r="G266" i="4"/>
  <c r="E258" i="4"/>
  <c r="H256" i="4"/>
  <c r="H253" i="4" s="1"/>
  <c r="G256" i="4"/>
  <c r="G253" i="4"/>
  <c r="E253" i="4"/>
  <c r="E252" i="4"/>
  <c r="H249" i="4"/>
  <c r="H248" i="4"/>
  <c r="H247" i="4"/>
  <c r="H246" i="4"/>
  <c r="H245" i="4"/>
  <c r="H244" i="4"/>
  <c r="H243" i="4"/>
  <c r="H242" i="4"/>
  <c r="H241" i="4"/>
  <c r="H240" i="4"/>
  <c r="G250" i="4" s="1"/>
  <c r="E239" i="4"/>
  <c r="H236" i="4"/>
  <c r="H235" i="4"/>
  <c r="H234" i="4"/>
  <c r="H233" i="4"/>
  <c r="H232" i="4"/>
  <c r="H231" i="4"/>
  <c r="H230" i="4"/>
  <c r="H229" i="4"/>
  <c r="H228" i="4"/>
  <c r="H227" i="4"/>
  <c r="H226" i="4"/>
  <c r="G237" i="4" s="1"/>
  <c r="E225" i="4"/>
  <c r="E224" i="4"/>
  <c r="E223" i="4"/>
  <c r="H216" i="4"/>
  <c r="H215" i="4"/>
  <c r="H214" i="4"/>
  <c r="H213" i="4"/>
  <c r="H212" i="4"/>
  <c r="G217" i="4" s="1"/>
  <c r="E211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G209" i="4" s="1"/>
  <c r="E169" i="4"/>
  <c r="E168" i="4"/>
  <c r="H163" i="4"/>
  <c r="H162" i="4"/>
  <c r="H161" i="4"/>
  <c r="H160" i="4"/>
  <c r="G164" i="4" s="1"/>
  <c r="E159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E97" i="4"/>
  <c r="E96" i="4"/>
  <c r="H91" i="4"/>
  <c r="H90" i="4"/>
  <c r="E89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E50" i="4"/>
  <c r="H47" i="4"/>
  <c r="H46" i="4"/>
  <c r="H45" i="4"/>
  <c r="H44" i="4"/>
  <c r="H43" i="4"/>
  <c r="H42" i="4"/>
  <c r="H41" i="4"/>
  <c r="E40" i="4"/>
  <c r="E39" i="4"/>
  <c r="E38" i="4"/>
  <c r="E37" i="4"/>
  <c r="H32" i="4"/>
  <c r="H31" i="4"/>
  <c r="E30" i="4"/>
  <c r="H27" i="4"/>
  <c r="H26" i="4"/>
  <c r="G28" i="4" s="1"/>
  <c r="E25" i="4"/>
  <c r="H22" i="4"/>
  <c r="H21" i="4"/>
  <c r="H20" i="4"/>
  <c r="G23" i="4" s="1"/>
  <c r="E19" i="4"/>
  <c r="H16" i="4"/>
  <c r="E14" i="4"/>
  <c r="H11" i="4"/>
  <c r="H10" i="4"/>
  <c r="E9" i="4"/>
  <c r="E8" i="4"/>
  <c r="E7" i="4"/>
  <c r="J805" i="1"/>
  <c r="J806" i="1"/>
  <c r="J807" i="1" s="1"/>
  <c r="J808" i="1" s="1"/>
  <c r="H674" i="3"/>
  <c r="H675" i="3"/>
  <c r="H676" i="3"/>
  <c r="H254" i="3"/>
  <c r="H255" i="3"/>
  <c r="H259" i="3"/>
  <c r="H260" i="3"/>
  <c r="H261" i="3"/>
  <c r="H262" i="3"/>
  <c r="H263" i="3"/>
  <c r="H264" i="3"/>
  <c r="H265" i="3"/>
  <c r="G786" i="3"/>
  <c r="H788" i="3"/>
  <c r="H787" i="3"/>
  <c r="H786" i="3"/>
  <c r="H785" i="3"/>
  <c r="E784" i="3"/>
  <c r="E783" i="3"/>
  <c r="H774" i="3"/>
  <c r="H773" i="3"/>
  <c r="G775" i="3" s="1"/>
  <c r="H772" i="3"/>
  <c r="H771" i="3"/>
  <c r="H770" i="3"/>
  <c r="E769" i="3"/>
  <c r="H766" i="3"/>
  <c r="H765" i="3"/>
  <c r="H764" i="3"/>
  <c r="G767" i="3" s="1"/>
  <c r="H763" i="3"/>
  <c r="E762" i="3"/>
  <c r="E761" i="3"/>
  <c r="H756" i="3"/>
  <c r="H755" i="3"/>
  <c r="G757" i="3" s="1"/>
  <c r="H754" i="3"/>
  <c r="H753" i="3"/>
  <c r="H752" i="3"/>
  <c r="E751" i="3"/>
  <c r="H748" i="3"/>
  <c r="H747" i="3"/>
  <c r="G749" i="3" s="1"/>
  <c r="H746" i="3"/>
  <c r="H745" i="3"/>
  <c r="E744" i="3"/>
  <c r="E743" i="3"/>
  <c r="H738" i="3"/>
  <c r="H737" i="3"/>
  <c r="G739" i="3" s="1"/>
  <c r="H733" i="3"/>
  <c r="H732" i="3"/>
  <c r="H731" i="3"/>
  <c r="G734" i="3" s="1"/>
  <c r="H734" i="3" s="1"/>
  <c r="H730" i="3"/>
  <c r="G730" i="3"/>
  <c r="E730" i="3"/>
  <c r="E729" i="3"/>
  <c r="H726" i="3"/>
  <c r="H722" i="3"/>
  <c r="H719" i="3"/>
  <c r="G727" i="3"/>
  <c r="E716" i="3"/>
  <c r="E715" i="3"/>
  <c r="G709" i="3"/>
  <c r="E698" i="3"/>
  <c r="E697" i="3"/>
  <c r="H692" i="3"/>
  <c r="G693" i="3" s="1"/>
  <c r="H691" i="3"/>
  <c r="E690" i="3"/>
  <c r="E689" i="3"/>
  <c r="H682" i="3"/>
  <c r="G683" i="3" s="1"/>
  <c r="E679" i="3"/>
  <c r="G677" i="3"/>
  <c r="E673" i="3"/>
  <c r="G671" i="3"/>
  <c r="E664" i="3"/>
  <c r="G662" i="3"/>
  <c r="H662" i="3" s="1"/>
  <c r="H659" i="3" s="1"/>
  <c r="G659" i="3"/>
  <c r="E659" i="3"/>
  <c r="E658" i="3"/>
  <c r="G654" i="3"/>
  <c r="H654" i="3" s="1"/>
  <c r="H651" i="3" s="1"/>
  <c r="G651" i="3"/>
  <c r="E651" i="3"/>
  <c r="H648" i="3"/>
  <c r="H647" i="3"/>
  <c r="H646" i="3"/>
  <c r="G649" i="3" s="1"/>
  <c r="E645" i="3"/>
  <c r="E634" i="3"/>
  <c r="G632" i="3"/>
  <c r="H632" i="3" s="1"/>
  <c r="H629" i="3" s="1"/>
  <c r="E629" i="3"/>
  <c r="G627" i="3"/>
  <c r="H627" i="3" s="1"/>
  <c r="H621" i="3" s="1"/>
  <c r="G621" i="3"/>
  <c r="E621" i="3"/>
  <c r="G619" i="3"/>
  <c r="G610" i="3" s="1"/>
  <c r="E610" i="3"/>
  <c r="E609" i="3"/>
  <c r="E608" i="3"/>
  <c r="E607" i="3"/>
  <c r="H596" i="3"/>
  <c r="H595" i="3"/>
  <c r="G597" i="3" s="1"/>
  <c r="E594" i="3"/>
  <c r="G592" i="3"/>
  <c r="H592" i="3" s="1"/>
  <c r="H589" i="3" s="1"/>
  <c r="H591" i="3"/>
  <c r="H590" i="3"/>
  <c r="E589" i="3"/>
  <c r="H587" i="3"/>
  <c r="H585" i="3" s="1"/>
  <c r="G587" i="3"/>
  <c r="G585" i="3" s="1"/>
  <c r="H586" i="3"/>
  <c r="E585" i="3"/>
  <c r="E584" i="3"/>
  <c r="H579" i="3"/>
  <c r="H578" i="3"/>
  <c r="H577" i="3"/>
  <c r="H576" i="3"/>
  <c r="G580" i="3" s="1"/>
  <c r="E575" i="3"/>
  <c r="H572" i="3"/>
  <c r="H571" i="3"/>
  <c r="H570" i="3"/>
  <c r="H569" i="3"/>
  <c r="H568" i="3"/>
  <c r="H567" i="3"/>
  <c r="H566" i="3"/>
  <c r="H565" i="3"/>
  <c r="G573" i="3" s="1"/>
  <c r="E564" i="3"/>
  <c r="E563" i="3"/>
  <c r="H558" i="3"/>
  <c r="H557" i="3"/>
  <c r="H556" i="3"/>
  <c r="G559" i="3" s="1"/>
  <c r="H555" i="3"/>
  <c r="H554" i="3"/>
  <c r="E553" i="3"/>
  <c r="H550" i="3"/>
  <c r="G551" i="3" s="1"/>
  <c r="E549" i="3"/>
  <c r="E548" i="3"/>
  <c r="H545" i="3"/>
  <c r="H544" i="3"/>
  <c r="H543" i="3"/>
  <c r="G546" i="3" s="1"/>
  <c r="E542" i="3"/>
  <c r="H537" i="3"/>
  <c r="H536" i="3"/>
  <c r="G538" i="3" s="1"/>
  <c r="H538" i="3" s="1"/>
  <c r="H535" i="3" s="1"/>
  <c r="G535" i="3"/>
  <c r="E535" i="3"/>
  <c r="H532" i="3"/>
  <c r="G533" i="3" s="1"/>
  <c r="H531" i="3"/>
  <c r="E530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G528" i="3" s="1"/>
  <c r="H528" i="3" s="1"/>
  <c r="H515" i="3" s="1"/>
  <c r="G515" i="3"/>
  <c r="E515" i="3"/>
  <c r="E514" i="3"/>
  <c r="H509" i="3"/>
  <c r="H508" i="3"/>
  <c r="H507" i="3"/>
  <c r="H506" i="3"/>
  <c r="G510" i="3" s="1"/>
  <c r="E505" i="3"/>
  <c r="H502" i="3"/>
  <c r="H501" i="3"/>
  <c r="H500" i="3"/>
  <c r="H499" i="3"/>
  <c r="H498" i="3"/>
  <c r="H497" i="3"/>
  <c r="G503" i="3" s="1"/>
  <c r="H503" i="3" s="1"/>
  <c r="H496" i="3"/>
  <c r="G496" i="3"/>
  <c r="E496" i="3"/>
  <c r="E495" i="3"/>
  <c r="H490" i="3"/>
  <c r="G491" i="3" s="1"/>
  <c r="E489" i="3"/>
  <c r="H486" i="3"/>
  <c r="H485" i="3"/>
  <c r="H484" i="3"/>
  <c r="H483" i="3"/>
  <c r="H482" i="3"/>
  <c r="H481" i="3"/>
  <c r="H480" i="3"/>
  <c r="E479" i="3"/>
  <c r="E478" i="3"/>
  <c r="H473" i="3"/>
  <c r="H472" i="3"/>
  <c r="H471" i="3"/>
  <c r="H470" i="3"/>
  <c r="H469" i="3"/>
  <c r="H468" i="3"/>
  <c r="H467" i="3"/>
  <c r="G474" i="3" s="1"/>
  <c r="E466" i="3"/>
  <c r="H463" i="3"/>
  <c r="H462" i="3"/>
  <c r="H461" i="3"/>
  <c r="G464" i="3" s="1"/>
  <c r="H464" i="3" s="1"/>
  <c r="H460" i="3"/>
  <c r="G460" i="3"/>
  <c r="E460" i="3"/>
  <c r="E459" i="3"/>
  <c r="G457" i="3"/>
  <c r="G446" i="3" s="1"/>
  <c r="E446" i="3"/>
  <c r="G444" i="3"/>
  <c r="E433" i="3"/>
  <c r="E432" i="3"/>
  <c r="H425" i="3"/>
  <c r="H424" i="3"/>
  <c r="H423" i="3"/>
  <c r="G426" i="3" s="1"/>
  <c r="H426" i="3" s="1"/>
  <c r="H422" i="3"/>
  <c r="G422" i="3"/>
  <c r="E422" i="3"/>
  <c r="H419" i="3"/>
  <c r="H418" i="3"/>
  <c r="G420" i="3" s="1"/>
  <c r="H417" i="3"/>
  <c r="H416" i="3"/>
  <c r="H415" i="3"/>
  <c r="H414" i="3"/>
  <c r="E413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E397" i="3"/>
  <c r="E396" i="3"/>
  <c r="H391" i="3"/>
  <c r="H390" i="3"/>
  <c r="H389" i="3"/>
  <c r="H388" i="3"/>
  <c r="G392" i="3" s="1"/>
  <c r="H387" i="3"/>
  <c r="E386" i="3"/>
  <c r="H383" i="3"/>
  <c r="G384" i="3" s="1"/>
  <c r="E382" i="3"/>
  <c r="E381" i="3"/>
  <c r="H378" i="3"/>
  <c r="H377" i="3"/>
  <c r="H376" i="3"/>
  <c r="H375" i="3"/>
  <c r="G379" i="3" s="1"/>
  <c r="E374" i="3"/>
  <c r="H369" i="3"/>
  <c r="G370" i="3" s="1"/>
  <c r="E368" i="3"/>
  <c r="H365" i="3"/>
  <c r="G366" i="3" s="1"/>
  <c r="E364" i="3"/>
  <c r="E363" i="3"/>
  <c r="H358" i="3"/>
  <c r="H357" i="3"/>
  <c r="H356" i="3"/>
  <c r="H355" i="3"/>
  <c r="G359" i="3" s="1"/>
  <c r="E354" i="3"/>
  <c r="H351" i="3"/>
  <c r="H350" i="3"/>
  <c r="H349" i="3"/>
  <c r="H348" i="3"/>
  <c r="E347" i="3"/>
  <c r="H344" i="3"/>
  <c r="G345" i="3" s="1"/>
  <c r="G343" i="3" s="1"/>
  <c r="E343" i="3"/>
  <c r="H341" i="3"/>
  <c r="G341" i="3"/>
  <c r="H340" i="3"/>
  <c r="H339" i="3"/>
  <c r="G339" i="3"/>
  <c r="E339" i="3"/>
  <c r="H336" i="3"/>
  <c r="H335" i="3"/>
  <c r="H334" i="3"/>
  <c r="H333" i="3"/>
  <c r="H332" i="3"/>
  <c r="H331" i="3"/>
  <c r="H330" i="3"/>
  <c r="H329" i="3"/>
  <c r="G337" i="3" s="1"/>
  <c r="G328" i="3" s="1"/>
  <c r="E328" i="3"/>
  <c r="G326" i="3"/>
  <c r="H326" i="3" s="1"/>
  <c r="H323" i="3" s="1"/>
  <c r="H325" i="3"/>
  <c r="H324" i="3"/>
  <c r="G323" i="3"/>
  <c r="E323" i="3"/>
  <c r="H320" i="3"/>
  <c r="H319" i="3"/>
  <c r="H318" i="3"/>
  <c r="G321" i="3" s="1"/>
  <c r="E317" i="3"/>
  <c r="H314" i="3"/>
  <c r="H313" i="3"/>
  <c r="H312" i="3"/>
  <c r="H311" i="3"/>
  <c r="H310" i="3"/>
  <c r="H309" i="3"/>
  <c r="H308" i="3"/>
  <c r="G315" i="3" s="1"/>
  <c r="H307" i="3"/>
  <c r="H306" i="3"/>
  <c r="H305" i="3"/>
  <c r="E304" i="3"/>
  <c r="E303" i="3"/>
  <c r="H299" i="3"/>
  <c r="H294" i="3" s="1"/>
  <c r="H298" i="3"/>
  <c r="H297" i="3"/>
  <c r="H296" i="3"/>
  <c r="H295" i="3"/>
  <c r="G299" i="3" s="1"/>
  <c r="G294" i="3"/>
  <c r="E294" i="3"/>
  <c r="H291" i="3"/>
  <c r="H290" i="3"/>
  <c r="G292" i="3" s="1"/>
  <c r="H289" i="3"/>
  <c r="H288" i="3"/>
  <c r="H287" i="3"/>
  <c r="H286" i="3"/>
  <c r="E285" i="3"/>
  <c r="E284" i="3"/>
  <c r="H279" i="3"/>
  <c r="G280" i="3" s="1"/>
  <c r="E278" i="3"/>
  <c r="H275" i="3"/>
  <c r="H274" i="3"/>
  <c r="G276" i="3" s="1"/>
  <c r="H273" i="3"/>
  <c r="H272" i="3"/>
  <c r="E271" i="3"/>
  <c r="E270" i="3"/>
  <c r="E258" i="3"/>
  <c r="G256" i="3"/>
  <c r="E253" i="3"/>
  <c r="E252" i="3"/>
  <c r="E239" i="3"/>
  <c r="G237" i="3"/>
  <c r="E225" i="3"/>
  <c r="E224" i="3"/>
  <c r="E223" i="3"/>
  <c r="G217" i="3"/>
  <c r="G211" i="3" s="1"/>
  <c r="E211" i="3"/>
  <c r="E169" i="3"/>
  <c r="E168" i="3"/>
  <c r="G164" i="3"/>
  <c r="H164" i="3" s="1"/>
  <c r="H159" i="3" s="1"/>
  <c r="E159" i="3"/>
  <c r="G157" i="3"/>
  <c r="E97" i="3"/>
  <c r="E96" i="3"/>
  <c r="G92" i="3"/>
  <c r="E89" i="3"/>
  <c r="E50" i="3"/>
  <c r="G48" i="3"/>
  <c r="E40" i="3"/>
  <c r="E39" i="3"/>
  <c r="E38" i="3"/>
  <c r="E37" i="3"/>
  <c r="G33" i="3"/>
  <c r="E30" i="3"/>
  <c r="H26" i="3"/>
  <c r="G28" i="3" s="1"/>
  <c r="G25" i="3" s="1"/>
  <c r="E25" i="3"/>
  <c r="H21" i="3"/>
  <c r="G23" i="3"/>
  <c r="H23" i="3" s="1"/>
  <c r="H19" i="3" s="1"/>
  <c r="E19" i="3"/>
  <c r="G17" i="3"/>
  <c r="H17" i="3" s="1"/>
  <c r="H14" i="3"/>
  <c r="E14" i="3"/>
  <c r="G12" i="3"/>
  <c r="E9" i="3"/>
  <c r="E8" i="3"/>
  <c r="E7" i="3"/>
  <c r="G786" i="2"/>
  <c r="H10" i="2"/>
  <c r="H11" i="2"/>
  <c r="G12" i="2" s="1"/>
  <c r="H15" i="2"/>
  <c r="G17" i="2" s="1"/>
  <c r="H16" i="2"/>
  <c r="H20" i="2"/>
  <c r="H788" i="2"/>
  <c r="H787" i="2"/>
  <c r="H786" i="2"/>
  <c r="H785" i="2"/>
  <c r="E784" i="2"/>
  <c r="E783" i="2"/>
  <c r="G775" i="2"/>
  <c r="E769" i="2"/>
  <c r="G767" i="2"/>
  <c r="E762" i="2"/>
  <c r="E761" i="2"/>
  <c r="E751" i="2"/>
  <c r="G749" i="2"/>
  <c r="E744" i="2"/>
  <c r="E743" i="2"/>
  <c r="G739" i="2"/>
  <c r="H739" i="2" s="1"/>
  <c r="G736" i="2"/>
  <c r="H736" i="2" s="1"/>
  <c r="G734" i="2"/>
  <c r="H734" i="2" s="1"/>
  <c r="H730" i="2" s="1"/>
  <c r="E730" i="2"/>
  <c r="E729" i="2"/>
  <c r="H725" i="2"/>
  <c r="H723" i="2"/>
  <c r="G727" i="2" s="1"/>
  <c r="H721" i="2"/>
  <c r="H718" i="2"/>
  <c r="E716" i="2"/>
  <c r="E715" i="2"/>
  <c r="H708" i="2"/>
  <c r="H707" i="2"/>
  <c r="H706" i="2"/>
  <c r="H705" i="2"/>
  <c r="H704" i="2"/>
  <c r="H703" i="2"/>
  <c r="H702" i="2"/>
  <c r="H701" i="2"/>
  <c r="H700" i="2"/>
  <c r="H699" i="2"/>
  <c r="G709" i="2" s="1"/>
  <c r="H709" i="2" s="1"/>
  <c r="H698" i="2" s="1"/>
  <c r="G711" i="2" s="1"/>
  <c r="G697" i="2" s="1"/>
  <c r="E698" i="2"/>
  <c r="E697" i="2"/>
  <c r="G693" i="2"/>
  <c r="E690" i="2"/>
  <c r="E689" i="2"/>
  <c r="H681" i="2"/>
  <c r="H680" i="2"/>
  <c r="G683" i="2" s="1"/>
  <c r="E679" i="2"/>
  <c r="G677" i="2"/>
  <c r="E673" i="2"/>
  <c r="H670" i="2"/>
  <c r="H669" i="2"/>
  <c r="H668" i="2"/>
  <c r="H667" i="2"/>
  <c r="H666" i="2"/>
  <c r="H665" i="2"/>
  <c r="E664" i="2"/>
  <c r="H661" i="2"/>
  <c r="G662" i="2" s="1"/>
  <c r="G659" i="2" s="1"/>
  <c r="H660" i="2"/>
  <c r="E659" i="2"/>
  <c r="E658" i="2"/>
  <c r="H653" i="2"/>
  <c r="H652" i="2"/>
  <c r="E651" i="2"/>
  <c r="G649" i="2"/>
  <c r="H649" i="2" s="1"/>
  <c r="H645" i="2" s="1"/>
  <c r="G645" i="2"/>
  <c r="E645" i="2"/>
  <c r="H642" i="2"/>
  <c r="H641" i="2"/>
  <c r="H640" i="2"/>
  <c r="H639" i="2"/>
  <c r="H638" i="2"/>
  <c r="H637" i="2"/>
  <c r="H636" i="2"/>
  <c r="H635" i="2"/>
  <c r="E634" i="2"/>
  <c r="H631" i="2"/>
  <c r="H630" i="2"/>
  <c r="E629" i="2"/>
  <c r="H626" i="2"/>
  <c r="H625" i="2"/>
  <c r="H624" i="2"/>
  <c r="H623" i="2"/>
  <c r="H622" i="2"/>
  <c r="G627" i="2" s="1"/>
  <c r="E621" i="2"/>
  <c r="H618" i="2"/>
  <c r="H617" i="2"/>
  <c r="H616" i="2"/>
  <c r="H615" i="2"/>
  <c r="H614" i="2"/>
  <c r="H613" i="2"/>
  <c r="H612" i="2"/>
  <c r="H611" i="2"/>
  <c r="G619" i="2" s="1"/>
  <c r="G610" i="2" s="1"/>
  <c r="E610" i="2"/>
  <c r="E609" i="2"/>
  <c r="E608" i="2"/>
  <c r="E607" i="2"/>
  <c r="G597" i="2"/>
  <c r="E594" i="2"/>
  <c r="G592" i="2"/>
  <c r="E589" i="2"/>
  <c r="G587" i="2"/>
  <c r="H587" i="2" s="1"/>
  <c r="H585" i="2" s="1"/>
  <c r="G585" i="2"/>
  <c r="E585" i="2"/>
  <c r="E584" i="2"/>
  <c r="G580" i="2"/>
  <c r="E575" i="2"/>
  <c r="E564" i="2"/>
  <c r="E563" i="2"/>
  <c r="G559" i="2"/>
  <c r="E553" i="2"/>
  <c r="G551" i="2"/>
  <c r="H551" i="2" s="1"/>
  <c r="H549" i="2" s="1"/>
  <c r="E549" i="2"/>
  <c r="E548" i="2"/>
  <c r="G546" i="2"/>
  <c r="E542" i="2"/>
  <c r="G538" i="2"/>
  <c r="G535" i="2" s="1"/>
  <c r="E535" i="2"/>
  <c r="G533" i="2"/>
  <c r="E530" i="2"/>
  <c r="E515" i="2"/>
  <c r="E514" i="2"/>
  <c r="G510" i="2"/>
  <c r="E505" i="2"/>
  <c r="G503" i="2"/>
  <c r="E496" i="2"/>
  <c r="E495" i="2"/>
  <c r="G491" i="2"/>
  <c r="E489" i="2"/>
  <c r="G487" i="2"/>
  <c r="E479" i="2"/>
  <c r="E478" i="2"/>
  <c r="G474" i="2"/>
  <c r="E466" i="2"/>
  <c r="G464" i="2"/>
  <c r="G460" i="2" s="1"/>
  <c r="E460" i="2"/>
  <c r="E459" i="2"/>
  <c r="H456" i="2"/>
  <c r="H455" i="2"/>
  <c r="H454" i="2"/>
  <c r="H453" i="2"/>
  <c r="H452" i="2"/>
  <c r="H451" i="2"/>
  <c r="H450" i="2"/>
  <c r="H449" i="2"/>
  <c r="H448" i="2"/>
  <c r="H447" i="2"/>
  <c r="G457" i="2" s="1"/>
  <c r="H457" i="2" s="1"/>
  <c r="H446" i="2" s="1"/>
  <c r="E446" i="2"/>
  <c r="H443" i="2"/>
  <c r="H442" i="2"/>
  <c r="H441" i="2"/>
  <c r="H440" i="2"/>
  <c r="H439" i="2"/>
  <c r="H438" i="2"/>
  <c r="H437" i="2"/>
  <c r="H436" i="2"/>
  <c r="H435" i="2"/>
  <c r="H434" i="2"/>
  <c r="E433" i="2"/>
  <c r="E432" i="2"/>
  <c r="G426" i="2"/>
  <c r="G422" i="2" s="1"/>
  <c r="E422" i="2"/>
  <c r="G420" i="2"/>
  <c r="E413" i="2"/>
  <c r="E397" i="2"/>
  <c r="E396" i="2"/>
  <c r="G392" i="2"/>
  <c r="E386" i="2"/>
  <c r="G384" i="2"/>
  <c r="H384" i="2" s="1"/>
  <c r="H382" i="2"/>
  <c r="E382" i="2"/>
  <c r="E381" i="2"/>
  <c r="G379" i="2"/>
  <c r="E374" i="2"/>
  <c r="G370" i="2"/>
  <c r="G368" i="2" s="1"/>
  <c r="E368" i="2"/>
  <c r="G366" i="2"/>
  <c r="E364" i="2"/>
  <c r="E363" i="2"/>
  <c r="G359" i="2"/>
  <c r="H359" i="2" s="1"/>
  <c r="H354" i="2" s="1"/>
  <c r="G354" i="2"/>
  <c r="E354" i="2"/>
  <c r="G352" i="2"/>
  <c r="H352" i="2" s="1"/>
  <c r="H347" i="2"/>
  <c r="E347" i="2"/>
  <c r="G345" i="2"/>
  <c r="E343" i="2"/>
  <c r="G341" i="2"/>
  <c r="H341" i="2" s="1"/>
  <c r="H339" i="2" s="1"/>
  <c r="E339" i="2"/>
  <c r="G337" i="2"/>
  <c r="E328" i="2"/>
  <c r="G326" i="2"/>
  <c r="E323" i="2"/>
  <c r="G321" i="2"/>
  <c r="H321" i="2" s="1"/>
  <c r="H317" i="2" s="1"/>
  <c r="G317" i="2"/>
  <c r="E317" i="2"/>
  <c r="G315" i="2"/>
  <c r="E304" i="2"/>
  <c r="E303" i="2"/>
  <c r="G299" i="2"/>
  <c r="E294" i="2"/>
  <c r="G292" i="2"/>
  <c r="G285" i="2" s="1"/>
  <c r="E285" i="2"/>
  <c r="E284" i="2"/>
  <c r="G280" i="2"/>
  <c r="G278" i="2" s="1"/>
  <c r="E278" i="2"/>
  <c r="G276" i="2"/>
  <c r="E271" i="2"/>
  <c r="E270" i="2"/>
  <c r="G266" i="2"/>
  <c r="E258" i="2"/>
  <c r="G256" i="2"/>
  <c r="G253" i="2" s="1"/>
  <c r="E253" i="2"/>
  <c r="E252" i="2"/>
  <c r="H249" i="2"/>
  <c r="H248" i="2"/>
  <c r="H247" i="2"/>
  <c r="H246" i="2"/>
  <c r="H245" i="2"/>
  <c r="H244" i="2"/>
  <c r="H243" i="2"/>
  <c r="H242" i="2"/>
  <c r="H241" i="2"/>
  <c r="H240" i="2"/>
  <c r="G250" i="2" s="1"/>
  <c r="H250" i="2" s="1"/>
  <c r="H239" i="2" s="1"/>
  <c r="E239" i="2"/>
  <c r="H236" i="2"/>
  <c r="H235" i="2"/>
  <c r="H234" i="2"/>
  <c r="H233" i="2"/>
  <c r="H232" i="2"/>
  <c r="H231" i="2"/>
  <c r="H230" i="2"/>
  <c r="H229" i="2"/>
  <c r="H228" i="2"/>
  <c r="G237" i="2" s="1"/>
  <c r="G225" i="2" s="1"/>
  <c r="H227" i="2"/>
  <c r="H226" i="2"/>
  <c r="E225" i="2"/>
  <c r="E224" i="2"/>
  <c r="E223" i="2"/>
  <c r="H216" i="2"/>
  <c r="H215" i="2"/>
  <c r="H214" i="2"/>
  <c r="H213" i="2"/>
  <c r="H212" i="2"/>
  <c r="E211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E169" i="2"/>
  <c r="E168" i="2"/>
  <c r="H163" i="2"/>
  <c r="H162" i="2"/>
  <c r="H161" i="2"/>
  <c r="H160" i="2"/>
  <c r="E159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E97" i="2"/>
  <c r="E96" i="2"/>
  <c r="H91" i="2"/>
  <c r="H90" i="2"/>
  <c r="G92" i="2" s="1"/>
  <c r="H92" i="2" s="1"/>
  <c r="H89" i="2" s="1"/>
  <c r="E89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E50" i="2"/>
  <c r="H47" i="2"/>
  <c r="H46" i="2"/>
  <c r="H45" i="2"/>
  <c r="H44" i="2"/>
  <c r="H43" i="2"/>
  <c r="H42" i="2"/>
  <c r="H41" i="2"/>
  <c r="E40" i="2"/>
  <c r="E39" i="2"/>
  <c r="E38" i="2"/>
  <c r="E37" i="2"/>
  <c r="H32" i="2"/>
  <c r="H31" i="2"/>
  <c r="E30" i="2"/>
  <c r="H27" i="2"/>
  <c r="H26" i="2"/>
  <c r="E25" i="2"/>
  <c r="H22" i="2"/>
  <c r="H21" i="2"/>
  <c r="G23" i="2" s="1"/>
  <c r="E19" i="2"/>
  <c r="E14" i="2"/>
  <c r="E9" i="2"/>
  <c r="E8" i="2"/>
  <c r="E7" i="2"/>
  <c r="G736" i="1"/>
  <c r="H738" i="1"/>
  <c r="H737" i="1"/>
  <c r="G739" i="1" s="1"/>
  <c r="H739" i="1" s="1"/>
  <c r="H408" i="1"/>
  <c r="E783" i="1"/>
  <c r="E784" i="1"/>
  <c r="H788" i="1"/>
  <c r="H787" i="1"/>
  <c r="H786" i="1"/>
  <c r="H785" i="1"/>
  <c r="E7" i="1"/>
  <c r="E715" i="1"/>
  <c r="E761" i="1"/>
  <c r="E769" i="1"/>
  <c r="H774" i="1"/>
  <c r="H773" i="1"/>
  <c r="H772" i="1"/>
  <c r="H771" i="1"/>
  <c r="H770" i="1"/>
  <c r="E762" i="1"/>
  <c r="H766" i="1"/>
  <c r="H765" i="1"/>
  <c r="H764" i="1"/>
  <c r="H763" i="1"/>
  <c r="E743" i="1"/>
  <c r="E751" i="1"/>
  <c r="H756" i="1"/>
  <c r="H755" i="1"/>
  <c r="H754" i="1"/>
  <c r="H753" i="1"/>
  <c r="H752" i="1"/>
  <c r="E744" i="1"/>
  <c r="H748" i="1"/>
  <c r="H747" i="1"/>
  <c r="H746" i="1"/>
  <c r="H745" i="1"/>
  <c r="E729" i="1"/>
  <c r="H736" i="1"/>
  <c r="E730" i="1"/>
  <c r="H733" i="1"/>
  <c r="H732" i="1"/>
  <c r="H731" i="1"/>
  <c r="E716" i="1"/>
  <c r="H726" i="1"/>
  <c r="H725" i="1"/>
  <c r="H724" i="1"/>
  <c r="H723" i="1"/>
  <c r="H722" i="1"/>
  <c r="H721" i="1"/>
  <c r="H720" i="1"/>
  <c r="H719" i="1"/>
  <c r="H718" i="1"/>
  <c r="H717" i="1"/>
  <c r="E607" i="1"/>
  <c r="E697" i="1"/>
  <c r="E698" i="1"/>
  <c r="H708" i="1"/>
  <c r="H707" i="1"/>
  <c r="H706" i="1"/>
  <c r="H705" i="1"/>
  <c r="H704" i="1"/>
  <c r="H703" i="1"/>
  <c r="H702" i="1"/>
  <c r="H701" i="1"/>
  <c r="H700" i="1"/>
  <c r="H699" i="1"/>
  <c r="E689" i="1"/>
  <c r="E690" i="1"/>
  <c r="H692" i="1"/>
  <c r="H691" i="1"/>
  <c r="E608" i="1"/>
  <c r="E658" i="1"/>
  <c r="E679" i="1"/>
  <c r="H682" i="1"/>
  <c r="H681" i="1"/>
  <c r="H680" i="1"/>
  <c r="E673" i="1"/>
  <c r="H676" i="1"/>
  <c r="H675" i="1"/>
  <c r="H674" i="1"/>
  <c r="E664" i="1"/>
  <c r="H670" i="1"/>
  <c r="H669" i="1"/>
  <c r="H668" i="1"/>
  <c r="H667" i="1"/>
  <c r="H666" i="1"/>
  <c r="H665" i="1"/>
  <c r="E659" i="1"/>
  <c r="H661" i="1"/>
  <c r="H660" i="1"/>
  <c r="E609" i="1"/>
  <c r="E651" i="1"/>
  <c r="H653" i="1"/>
  <c r="H652" i="1"/>
  <c r="G654" i="1" s="1"/>
  <c r="E645" i="1"/>
  <c r="H648" i="1"/>
  <c r="H647" i="1"/>
  <c r="H646" i="1"/>
  <c r="E634" i="1"/>
  <c r="H642" i="1"/>
  <c r="H641" i="1"/>
  <c r="H640" i="1"/>
  <c r="H639" i="1"/>
  <c r="H638" i="1"/>
  <c r="H637" i="1"/>
  <c r="H636" i="1"/>
  <c r="H635" i="1"/>
  <c r="E629" i="1"/>
  <c r="H631" i="1"/>
  <c r="H630" i="1"/>
  <c r="E621" i="1"/>
  <c r="H626" i="1"/>
  <c r="H625" i="1"/>
  <c r="H624" i="1"/>
  <c r="H623" i="1"/>
  <c r="H622" i="1"/>
  <c r="E610" i="1"/>
  <c r="H618" i="1"/>
  <c r="H617" i="1"/>
  <c r="H616" i="1"/>
  <c r="H615" i="1"/>
  <c r="H614" i="1"/>
  <c r="H613" i="1"/>
  <c r="H612" i="1"/>
  <c r="H611" i="1"/>
  <c r="E37" i="1"/>
  <c r="E223" i="1"/>
  <c r="E432" i="1"/>
  <c r="E584" i="1"/>
  <c r="E594" i="1"/>
  <c r="H596" i="1"/>
  <c r="H595" i="1"/>
  <c r="E589" i="1"/>
  <c r="H591" i="1"/>
  <c r="H590" i="1"/>
  <c r="E585" i="1"/>
  <c r="H586" i="1"/>
  <c r="G587" i="1" s="1"/>
  <c r="E563" i="1"/>
  <c r="E575" i="1"/>
  <c r="H579" i="1"/>
  <c r="H578" i="1"/>
  <c r="H577" i="1"/>
  <c r="H576" i="1"/>
  <c r="E564" i="1"/>
  <c r="H572" i="1"/>
  <c r="H571" i="1"/>
  <c r="H570" i="1"/>
  <c r="H569" i="1"/>
  <c r="H568" i="1"/>
  <c r="H567" i="1"/>
  <c r="H566" i="1"/>
  <c r="H565" i="1"/>
  <c r="E548" i="1"/>
  <c r="E553" i="1"/>
  <c r="H558" i="1"/>
  <c r="H557" i="1"/>
  <c r="H556" i="1"/>
  <c r="H555" i="1"/>
  <c r="H554" i="1"/>
  <c r="E549" i="1"/>
  <c r="H550" i="1"/>
  <c r="G551" i="1" s="1"/>
  <c r="E542" i="1"/>
  <c r="H545" i="1"/>
  <c r="H544" i="1"/>
  <c r="H543" i="1"/>
  <c r="G546" i="1" s="1"/>
  <c r="E514" i="1"/>
  <c r="E535" i="1"/>
  <c r="H537" i="1"/>
  <c r="H536" i="1"/>
  <c r="E530" i="1"/>
  <c r="H532" i="1"/>
  <c r="H531" i="1"/>
  <c r="E515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E495" i="1"/>
  <c r="E505" i="1"/>
  <c r="H509" i="1"/>
  <c r="H508" i="1"/>
  <c r="H507" i="1"/>
  <c r="H506" i="1"/>
  <c r="E496" i="1"/>
  <c r="H502" i="1"/>
  <c r="H501" i="1"/>
  <c r="H500" i="1"/>
  <c r="H499" i="1"/>
  <c r="H498" i="1"/>
  <c r="H497" i="1"/>
  <c r="E478" i="1"/>
  <c r="E489" i="1"/>
  <c r="H490" i="1"/>
  <c r="G491" i="1" s="1"/>
  <c r="E479" i="1"/>
  <c r="H486" i="1"/>
  <c r="H485" i="1"/>
  <c r="H484" i="1"/>
  <c r="H483" i="1"/>
  <c r="H482" i="1"/>
  <c r="H481" i="1"/>
  <c r="H480" i="1"/>
  <c r="E459" i="1"/>
  <c r="E466" i="1"/>
  <c r="H473" i="1"/>
  <c r="H472" i="1"/>
  <c r="H471" i="1"/>
  <c r="H470" i="1"/>
  <c r="H469" i="1"/>
  <c r="H468" i="1"/>
  <c r="H467" i="1"/>
  <c r="E460" i="1"/>
  <c r="H463" i="1"/>
  <c r="H462" i="1"/>
  <c r="H461" i="1"/>
  <c r="E446" i="1"/>
  <c r="H456" i="1"/>
  <c r="H455" i="1"/>
  <c r="H454" i="1"/>
  <c r="H453" i="1"/>
  <c r="H452" i="1"/>
  <c r="H451" i="1"/>
  <c r="H450" i="1"/>
  <c r="H449" i="1"/>
  <c r="H448" i="1"/>
  <c r="H447" i="1"/>
  <c r="E433" i="1"/>
  <c r="H443" i="1"/>
  <c r="H442" i="1"/>
  <c r="H441" i="1"/>
  <c r="H440" i="1"/>
  <c r="H439" i="1"/>
  <c r="H438" i="1"/>
  <c r="H437" i="1"/>
  <c r="H436" i="1"/>
  <c r="H435" i="1"/>
  <c r="H434" i="1"/>
  <c r="E224" i="1"/>
  <c r="E396" i="1"/>
  <c r="E422" i="1"/>
  <c r="H425" i="1"/>
  <c r="H424" i="1"/>
  <c r="H423" i="1"/>
  <c r="E413" i="1"/>
  <c r="H419" i="1"/>
  <c r="H418" i="1"/>
  <c r="H417" i="1"/>
  <c r="H416" i="1"/>
  <c r="H415" i="1"/>
  <c r="H414" i="1"/>
  <c r="E397" i="1"/>
  <c r="H410" i="1"/>
  <c r="H409" i="1"/>
  <c r="H407" i="1"/>
  <c r="H406" i="1"/>
  <c r="H405" i="1"/>
  <c r="H404" i="1"/>
  <c r="H403" i="1"/>
  <c r="H402" i="1"/>
  <c r="H401" i="1"/>
  <c r="H400" i="1"/>
  <c r="H399" i="1"/>
  <c r="H398" i="1"/>
  <c r="E381" i="1"/>
  <c r="E386" i="1"/>
  <c r="H391" i="1"/>
  <c r="H390" i="1"/>
  <c r="H389" i="1"/>
  <c r="H388" i="1"/>
  <c r="H387" i="1"/>
  <c r="E382" i="1"/>
  <c r="H383" i="1"/>
  <c r="G384" i="1" s="1"/>
  <c r="E374" i="1"/>
  <c r="H378" i="1"/>
  <c r="H377" i="1"/>
  <c r="H376" i="1"/>
  <c r="H375" i="1"/>
  <c r="E363" i="1"/>
  <c r="E368" i="1"/>
  <c r="H369" i="1"/>
  <c r="G370" i="1" s="1"/>
  <c r="G368" i="1" s="1"/>
  <c r="E364" i="1"/>
  <c r="H365" i="1"/>
  <c r="G366" i="1" s="1"/>
  <c r="E303" i="1"/>
  <c r="E354" i="1"/>
  <c r="H358" i="1"/>
  <c r="H357" i="1"/>
  <c r="H356" i="1"/>
  <c r="H355" i="1"/>
  <c r="E347" i="1"/>
  <c r="H351" i="1"/>
  <c r="H350" i="1"/>
  <c r="H349" i="1"/>
  <c r="H348" i="1"/>
  <c r="E343" i="1"/>
  <c r="H344" i="1"/>
  <c r="G345" i="1" s="1"/>
  <c r="H345" i="1" s="1"/>
  <c r="H343" i="1" s="1"/>
  <c r="E339" i="1"/>
  <c r="H340" i="1"/>
  <c r="G341" i="1" s="1"/>
  <c r="E328" i="1"/>
  <c r="H336" i="1"/>
  <c r="H335" i="1"/>
  <c r="H334" i="1"/>
  <c r="H333" i="1"/>
  <c r="H332" i="1"/>
  <c r="H331" i="1"/>
  <c r="H330" i="1"/>
  <c r="H329" i="1"/>
  <c r="E323" i="1"/>
  <c r="H325" i="1"/>
  <c r="H324" i="1"/>
  <c r="E317" i="1"/>
  <c r="H320" i="1"/>
  <c r="H319" i="1"/>
  <c r="H318" i="1"/>
  <c r="E304" i="1"/>
  <c r="H314" i="1"/>
  <c r="H313" i="1"/>
  <c r="H312" i="1"/>
  <c r="H311" i="1"/>
  <c r="H310" i="1"/>
  <c r="H309" i="1"/>
  <c r="H308" i="1"/>
  <c r="H307" i="1"/>
  <c r="H306" i="1"/>
  <c r="H305" i="1"/>
  <c r="E284" i="1"/>
  <c r="E294" i="1"/>
  <c r="H298" i="1"/>
  <c r="H297" i="1"/>
  <c r="H296" i="1"/>
  <c r="H295" i="1"/>
  <c r="E285" i="1"/>
  <c r="H291" i="1"/>
  <c r="H290" i="1"/>
  <c r="H289" i="1"/>
  <c r="H288" i="1"/>
  <c r="H287" i="1"/>
  <c r="H286" i="1"/>
  <c r="E270" i="1"/>
  <c r="E278" i="1"/>
  <c r="H279" i="1"/>
  <c r="G280" i="1" s="1"/>
  <c r="G278" i="1" s="1"/>
  <c r="E271" i="1"/>
  <c r="H275" i="1"/>
  <c r="H274" i="1"/>
  <c r="H273" i="1"/>
  <c r="H272" i="1"/>
  <c r="E252" i="1"/>
  <c r="E258" i="1"/>
  <c r="H265" i="1"/>
  <c r="H264" i="1"/>
  <c r="H263" i="1"/>
  <c r="H262" i="1"/>
  <c r="H261" i="1"/>
  <c r="H260" i="1"/>
  <c r="H259" i="1"/>
  <c r="E253" i="1"/>
  <c r="H255" i="1"/>
  <c r="H254" i="1"/>
  <c r="E239" i="1"/>
  <c r="H249" i="1"/>
  <c r="H248" i="1"/>
  <c r="H247" i="1"/>
  <c r="H246" i="1"/>
  <c r="H245" i="1"/>
  <c r="H244" i="1"/>
  <c r="H243" i="1"/>
  <c r="H242" i="1"/>
  <c r="H241" i="1"/>
  <c r="H240" i="1"/>
  <c r="E225" i="1"/>
  <c r="H236" i="1"/>
  <c r="H235" i="1"/>
  <c r="H234" i="1"/>
  <c r="H233" i="1"/>
  <c r="H232" i="1"/>
  <c r="H231" i="1"/>
  <c r="H230" i="1"/>
  <c r="H229" i="1"/>
  <c r="H228" i="1"/>
  <c r="H227" i="1"/>
  <c r="H226" i="1"/>
  <c r="E38" i="1"/>
  <c r="E168" i="1"/>
  <c r="E211" i="1"/>
  <c r="H216" i="1"/>
  <c r="H215" i="1"/>
  <c r="H214" i="1"/>
  <c r="H213" i="1"/>
  <c r="H212" i="1"/>
  <c r="E16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E96" i="1"/>
  <c r="E159" i="1"/>
  <c r="H163" i="1"/>
  <c r="H162" i="1"/>
  <c r="H161" i="1"/>
  <c r="H160" i="1"/>
  <c r="E9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E39" i="1"/>
  <c r="E89" i="1"/>
  <c r="H91" i="1"/>
  <c r="H90" i="1"/>
  <c r="E50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E40" i="1"/>
  <c r="H47" i="1"/>
  <c r="H46" i="1"/>
  <c r="H45" i="1"/>
  <c r="H44" i="1"/>
  <c r="H43" i="1"/>
  <c r="H42" i="1"/>
  <c r="H41" i="1"/>
  <c r="E8" i="1"/>
  <c r="E30" i="1"/>
  <c r="H32" i="1"/>
  <c r="H31" i="1"/>
  <c r="E25" i="1"/>
  <c r="H27" i="1"/>
  <c r="H26" i="1"/>
  <c r="E19" i="1"/>
  <c r="H22" i="1"/>
  <c r="H21" i="1"/>
  <c r="H20" i="1"/>
  <c r="E14" i="1"/>
  <c r="H16" i="1"/>
  <c r="H15" i="1"/>
  <c r="E9" i="1"/>
  <c r="H11" i="1"/>
  <c r="H10" i="1"/>
  <c r="G12" i="4" l="1"/>
  <c r="H12" i="4" s="1"/>
  <c r="H9" i="4" s="1"/>
  <c r="H15" i="4"/>
  <c r="G17" i="4" s="1"/>
  <c r="H788" i="4"/>
  <c r="H785" i="4"/>
  <c r="G727" i="4"/>
  <c r="H727" i="4" s="1"/>
  <c r="G542" i="4"/>
  <c r="G575" i="4"/>
  <c r="G157" i="4"/>
  <c r="G87" i="4"/>
  <c r="G50" i="4" s="1"/>
  <c r="G278" i="4"/>
  <c r="H280" i="4"/>
  <c r="H278" i="4" s="1"/>
  <c r="G304" i="4"/>
  <c r="H315" i="4"/>
  <c r="H304" i="4" s="1"/>
  <c r="H366" i="4"/>
  <c r="H364" i="4" s="1"/>
  <c r="G368" i="4"/>
  <c r="G386" i="4"/>
  <c r="H411" i="4"/>
  <c r="H397" i="4" s="1"/>
  <c r="H580" i="4"/>
  <c r="H575" i="4" s="1"/>
  <c r="G709" i="4"/>
  <c r="G698" i="4" s="1"/>
  <c r="G759" i="4"/>
  <c r="G33" i="4"/>
  <c r="G30" i="4" s="1"/>
  <c r="G48" i="4"/>
  <c r="G40" i="4" s="1"/>
  <c r="G92" i="4"/>
  <c r="H92" i="4" s="1"/>
  <c r="H89" i="4" s="1"/>
  <c r="G294" i="4"/>
  <c r="H384" i="4"/>
  <c r="H382" i="4" s="1"/>
  <c r="G394" i="4" s="1"/>
  <c r="G627" i="4"/>
  <c r="G621" i="4" s="1"/>
  <c r="G632" i="4"/>
  <c r="G654" i="4"/>
  <c r="G662" i="4"/>
  <c r="H662" i="4" s="1"/>
  <c r="H659" i="4" s="1"/>
  <c r="G769" i="4"/>
  <c r="H17" i="2"/>
  <c r="H14" i="2" s="1"/>
  <c r="G14" i="2"/>
  <c r="H627" i="2"/>
  <c r="H621" i="2" s="1"/>
  <c r="G621" i="2"/>
  <c r="G632" i="2"/>
  <c r="G89" i="2"/>
  <c r="G164" i="2"/>
  <c r="G159" i="2" s="1"/>
  <c r="G217" i="2"/>
  <c r="H217" i="2" s="1"/>
  <c r="H211" i="2" s="1"/>
  <c r="G671" i="2"/>
  <c r="G28" i="2"/>
  <c r="G25" i="2" s="1"/>
  <c r="G33" i="2"/>
  <c r="H33" i="2" s="1"/>
  <c r="H30" i="2" s="1"/>
  <c r="G48" i="2"/>
  <c r="G40" i="2" s="1"/>
  <c r="G157" i="2"/>
  <c r="G239" i="2"/>
  <c r="G382" i="2"/>
  <c r="G446" i="2"/>
  <c r="G654" i="2"/>
  <c r="G698" i="2"/>
  <c r="H33" i="4"/>
  <c r="H30" i="4" s="1"/>
  <c r="G169" i="4"/>
  <c r="H209" i="4"/>
  <c r="H169" i="4" s="1"/>
  <c r="G372" i="4"/>
  <c r="G9" i="4"/>
  <c r="H23" i="4"/>
  <c r="H19" i="4" s="1"/>
  <c r="G19" i="4"/>
  <c r="G25" i="4"/>
  <c r="H28" i="4"/>
  <c r="H25" i="4" s="1"/>
  <c r="H48" i="4"/>
  <c r="H40" i="4" s="1"/>
  <c r="H87" i="4"/>
  <c r="H50" i="4" s="1"/>
  <c r="G301" i="4"/>
  <c r="H394" i="4"/>
  <c r="H381" i="4" s="1"/>
  <c r="H17" i="4"/>
  <c r="H14" i="4" s="1"/>
  <c r="G14" i="4"/>
  <c r="H157" i="4"/>
  <c r="H97" i="4" s="1"/>
  <c r="G97" i="4"/>
  <c r="H164" i="4"/>
  <c r="H159" i="4" s="1"/>
  <c r="G159" i="4"/>
  <c r="H217" i="4"/>
  <c r="H211" i="4" s="1"/>
  <c r="G211" i="4"/>
  <c r="G225" i="4"/>
  <c r="H237" i="4"/>
  <c r="H225" i="4" s="1"/>
  <c r="H250" i="4"/>
  <c r="H239" i="4" s="1"/>
  <c r="G239" i="4"/>
  <c r="H326" i="4"/>
  <c r="H323" i="4" s="1"/>
  <c r="G328" i="4"/>
  <c r="G374" i="4"/>
  <c r="G428" i="4"/>
  <c r="G413" i="4"/>
  <c r="H444" i="4"/>
  <c r="H433" i="4" s="1"/>
  <c r="H491" i="4"/>
  <c r="H489" i="4" s="1"/>
  <c r="G493" i="4" s="1"/>
  <c r="G512" i="4"/>
  <c r="H533" i="4"/>
  <c r="H530" i="4" s="1"/>
  <c r="G540" i="4" s="1"/>
  <c r="G553" i="4"/>
  <c r="H559" i="4"/>
  <c r="H553" i="4" s="1"/>
  <c r="G561" i="4" s="1"/>
  <c r="G564" i="4"/>
  <c r="H709" i="4"/>
  <c r="H698" i="4" s="1"/>
  <c r="G711" i="4" s="1"/>
  <c r="G743" i="4"/>
  <c r="H759" i="4"/>
  <c r="H743" i="4" s="1"/>
  <c r="H587" i="4"/>
  <c r="H585" i="4" s="1"/>
  <c r="H597" i="4"/>
  <c r="H594" i="4" s="1"/>
  <c r="H632" i="4"/>
  <c r="H629" i="4" s="1"/>
  <c r="G629" i="4"/>
  <c r="H654" i="4"/>
  <c r="H651" i="4" s="1"/>
  <c r="G651" i="4"/>
  <c r="G659" i="4"/>
  <c r="H266" i="4"/>
  <c r="H258" i="4" s="1"/>
  <c r="G268" i="4" s="1"/>
  <c r="G271" i="4"/>
  <c r="H276" i="4"/>
  <c r="H271" i="4" s="1"/>
  <c r="G282" i="4" s="1"/>
  <c r="H321" i="4"/>
  <c r="H317" i="4" s="1"/>
  <c r="H345" i="4"/>
  <c r="H343" i="4" s="1"/>
  <c r="G347" i="4"/>
  <c r="H352" i="4"/>
  <c r="H347" i="4" s="1"/>
  <c r="G354" i="4"/>
  <c r="H359" i="4"/>
  <c r="H354" i="4" s="1"/>
  <c r="G457" i="4"/>
  <c r="G479" i="4"/>
  <c r="G489" i="4"/>
  <c r="H573" i="4"/>
  <c r="H564" i="4" s="1"/>
  <c r="G582" i="4" s="1"/>
  <c r="G258" i="4"/>
  <c r="G317" i="4"/>
  <c r="G466" i="4"/>
  <c r="H474" i="4"/>
  <c r="H466" i="4" s="1"/>
  <c r="G476" i="4" s="1"/>
  <c r="G585" i="4"/>
  <c r="H619" i="4"/>
  <c r="H610" i="4" s="1"/>
  <c r="G610" i="4"/>
  <c r="H643" i="4"/>
  <c r="H634" i="4" s="1"/>
  <c r="G634" i="4"/>
  <c r="H671" i="4"/>
  <c r="H664" i="4" s="1"/>
  <c r="G664" i="4"/>
  <c r="H683" i="4"/>
  <c r="H679" i="4" s="1"/>
  <c r="G679" i="4"/>
  <c r="H693" i="4"/>
  <c r="H690" i="4" s="1"/>
  <c r="G695" i="4" s="1"/>
  <c r="H775" i="4"/>
  <c r="H769" i="4" s="1"/>
  <c r="G777" i="4" s="1"/>
  <c r="H677" i="4"/>
  <c r="H673" i="4" s="1"/>
  <c r="H734" i="4"/>
  <c r="H730" i="4" s="1"/>
  <c r="H736" i="4"/>
  <c r="G673" i="4"/>
  <c r="G730" i="4"/>
  <c r="G744" i="4"/>
  <c r="G629" i="3"/>
  <c r="H217" i="3"/>
  <c r="H211" i="3" s="1"/>
  <c r="G19" i="3"/>
  <c r="G14" i="3"/>
  <c r="G599" i="3"/>
  <c r="G413" i="3"/>
  <c r="H420" i="3"/>
  <c r="H413" i="3" s="1"/>
  <c r="G40" i="3"/>
  <c r="H48" i="3"/>
  <c r="H40" i="3" s="1"/>
  <c r="H237" i="3"/>
  <c r="H225" i="3" s="1"/>
  <c r="G225" i="3"/>
  <c r="G762" i="3"/>
  <c r="H767" i="3"/>
  <c r="H762" i="3" s="1"/>
  <c r="H366" i="3"/>
  <c r="H364" i="3" s="1"/>
  <c r="G364" i="3"/>
  <c r="G253" i="3"/>
  <c r="H256" i="3"/>
  <c r="H253" i="3" s="1"/>
  <c r="G97" i="3"/>
  <c r="H157" i="3"/>
  <c r="H97" i="3" s="1"/>
  <c r="G166" i="3" s="1"/>
  <c r="G271" i="3"/>
  <c r="H276" i="3"/>
  <c r="H271" i="3" s="1"/>
  <c r="G282" i="3" s="1"/>
  <c r="H33" i="3"/>
  <c r="H30" i="3" s="1"/>
  <c r="G30" i="3"/>
  <c r="H384" i="3"/>
  <c r="H382" i="3" s="1"/>
  <c r="G382" i="3"/>
  <c r="G285" i="3"/>
  <c r="H292" i="3"/>
  <c r="H285" i="3" s="1"/>
  <c r="G301" i="3" s="1"/>
  <c r="G9" i="3"/>
  <c r="H12" i="3"/>
  <c r="H9" i="3" s="1"/>
  <c r="G690" i="3"/>
  <c r="H693" i="3"/>
  <c r="H690" i="3" s="1"/>
  <c r="G695" i="3" s="1"/>
  <c r="G530" i="3"/>
  <c r="H533" i="3"/>
  <c r="H530" i="3" s="1"/>
  <c r="G540" i="3" s="1"/>
  <c r="H92" i="3"/>
  <c r="H89" i="3" s="1"/>
  <c r="G89" i="3"/>
  <c r="H551" i="3"/>
  <c r="H549" i="3" s="1"/>
  <c r="G549" i="3"/>
  <c r="G673" i="3"/>
  <c r="H677" i="3"/>
  <c r="H673" i="3" s="1"/>
  <c r="G744" i="3"/>
  <c r="H749" i="3"/>
  <c r="H744" i="3" s="1"/>
  <c r="G759" i="3" s="1"/>
  <c r="G433" i="3"/>
  <c r="H444" i="3"/>
  <c r="H433" i="3" s="1"/>
  <c r="H359" i="3"/>
  <c r="H354" i="3" s="1"/>
  <c r="G354" i="3"/>
  <c r="H28" i="3"/>
  <c r="H25" i="3" s="1"/>
  <c r="H546" i="3"/>
  <c r="H542" i="3" s="1"/>
  <c r="G542" i="3"/>
  <c r="H337" i="3"/>
  <c r="H328" i="3" s="1"/>
  <c r="H392" i="3"/>
  <c r="H386" i="3" s="1"/>
  <c r="G386" i="3"/>
  <c r="H474" i="3"/>
  <c r="H466" i="3" s="1"/>
  <c r="G476" i="3" s="1"/>
  <c r="G466" i="3"/>
  <c r="G304" i="3"/>
  <c r="H315" i="3"/>
  <c r="H304" i="3" s="1"/>
  <c r="G159" i="3"/>
  <c r="H683" i="3"/>
  <c r="H679" i="3" s="1"/>
  <c r="G685" i="3" s="1"/>
  <c r="G679" i="3"/>
  <c r="G266" i="3"/>
  <c r="G575" i="3"/>
  <c r="H580" i="3"/>
  <c r="H575" i="3" s="1"/>
  <c r="H649" i="3"/>
  <c r="H645" i="3" s="1"/>
  <c r="G645" i="3"/>
  <c r="H739" i="3"/>
  <c r="G736" i="3"/>
  <c r="H736" i="3" s="1"/>
  <c r="G741" i="3" s="1"/>
  <c r="H321" i="3"/>
  <c r="H317" i="3" s="1"/>
  <c r="G317" i="3"/>
  <c r="H775" i="3"/>
  <c r="H769" i="3" s="1"/>
  <c r="G769" i="3"/>
  <c r="H597" i="3"/>
  <c r="H594" i="3" s="1"/>
  <c r="G594" i="3"/>
  <c r="G643" i="3"/>
  <c r="H619" i="3"/>
  <c r="H610" i="3" s="1"/>
  <c r="G250" i="3"/>
  <c r="H379" i="3"/>
  <c r="H374" i="3" s="1"/>
  <c r="G374" i="3"/>
  <c r="H671" i="3"/>
  <c r="H664" i="3" s="1"/>
  <c r="G664" i="3"/>
  <c r="H757" i="3"/>
  <c r="H751" i="3" s="1"/>
  <c r="G751" i="3"/>
  <c r="H280" i="3"/>
  <c r="H278" i="3" s="1"/>
  <c r="G278" i="3"/>
  <c r="H491" i="3"/>
  <c r="H489" i="3" s="1"/>
  <c r="G489" i="3"/>
  <c r="H370" i="3"/>
  <c r="H368" i="3" s="1"/>
  <c r="G368" i="3"/>
  <c r="H727" i="3"/>
  <c r="H716" i="3" s="1"/>
  <c r="G716" i="3"/>
  <c r="G411" i="3"/>
  <c r="H345" i="3"/>
  <c r="H343" i="3" s="1"/>
  <c r="G209" i="3"/>
  <c r="G352" i="3"/>
  <c r="H457" i="3"/>
  <c r="H446" i="3" s="1"/>
  <c r="H510" i="3"/>
  <c r="H505" i="3" s="1"/>
  <c r="G512" i="3" s="1"/>
  <c r="G505" i="3"/>
  <c r="H559" i="3"/>
  <c r="H553" i="3" s="1"/>
  <c r="G553" i="3"/>
  <c r="G564" i="3"/>
  <c r="H573" i="3"/>
  <c r="H564" i="3" s="1"/>
  <c r="G87" i="3"/>
  <c r="G487" i="3"/>
  <c r="H709" i="3"/>
  <c r="H698" i="3" s="1"/>
  <c r="G711" i="3" s="1"/>
  <c r="G698" i="3"/>
  <c r="G589" i="3"/>
  <c r="G730" i="2"/>
  <c r="G549" i="2"/>
  <c r="H337" i="2"/>
  <c r="H328" i="2" s="1"/>
  <c r="G328" i="2"/>
  <c r="H299" i="2"/>
  <c r="H294" i="2" s="1"/>
  <c r="G294" i="2"/>
  <c r="G744" i="2"/>
  <c r="H749" i="2"/>
  <c r="H744" i="2" s="1"/>
  <c r="G413" i="2"/>
  <c r="H420" i="2"/>
  <c r="H413" i="2" s="1"/>
  <c r="G9" i="2"/>
  <c r="H12" i="2"/>
  <c r="H9" i="2" s="1"/>
  <c r="H366" i="2"/>
  <c r="H364" i="2" s="1"/>
  <c r="G364" i="2"/>
  <c r="G762" i="2"/>
  <c r="H767" i="2"/>
  <c r="H762" i="2" s="1"/>
  <c r="G690" i="2"/>
  <c r="H693" i="2"/>
  <c r="H690" i="2" s="1"/>
  <c r="G695" i="2" s="1"/>
  <c r="G271" i="2"/>
  <c r="H276" i="2"/>
  <c r="H271" i="2" s="1"/>
  <c r="G97" i="2"/>
  <c r="H157" i="2"/>
  <c r="H97" i="2" s="1"/>
  <c r="G530" i="2"/>
  <c r="H533" i="2"/>
  <c r="H530" i="2" s="1"/>
  <c r="H671" i="2"/>
  <c r="H664" i="2" s="1"/>
  <c r="G664" i="2"/>
  <c r="G673" i="2"/>
  <c r="H677" i="2"/>
  <c r="H503" i="2"/>
  <c r="H496" i="2" s="1"/>
  <c r="G496" i="2"/>
  <c r="G19" i="2"/>
  <c r="H23" i="2"/>
  <c r="H19" i="2" s="1"/>
  <c r="H510" i="2"/>
  <c r="H505" i="2" s="1"/>
  <c r="G505" i="2"/>
  <c r="G573" i="2"/>
  <c r="H775" i="2"/>
  <c r="H769" i="2" s="1"/>
  <c r="G769" i="2"/>
  <c r="G87" i="2"/>
  <c r="G411" i="2"/>
  <c r="G741" i="2"/>
  <c r="H370" i="2"/>
  <c r="H368" i="2" s="1"/>
  <c r="H345" i="2"/>
  <c r="H343" i="2" s="1"/>
  <c r="G343" i="2"/>
  <c r="H426" i="2"/>
  <c r="H422" i="2" s="1"/>
  <c r="H266" i="2"/>
  <c r="H258" i="2" s="1"/>
  <c r="G258" i="2"/>
  <c r="H379" i="2"/>
  <c r="H374" i="2" s="1"/>
  <c r="G374" i="2"/>
  <c r="H538" i="2"/>
  <c r="H535" i="2" s="1"/>
  <c r="H632" i="2"/>
  <c r="H629" i="2" s="1"/>
  <c r="G629" i="2"/>
  <c r="G30" i="2"/>
  <c r="G347" i="2"/>
  <c r="H619" i="2"/>
  <c r="H610" i="2" s="1"/>
  <c r="H491" i="2"/>
  <c r="H489" i="2" s="1"/>
  <c r="G489" i="2"/>
  <c r="H164" i="2"/>
  <c r="H159" i="2" s="1"/>
  <c r="H464" i="2"/>
  <c r="H460" i="2" s="1"/>
  <c r="H474" i="2"/>
  <c r="H466" i="2" s="1"/>
  <c r="G466" i="2"/>
  <c r="H559" i="2"/>
  <c r="H553" i="2" s="1"/>
  <c r="G561" i="2" s="1"/>
  <c r="G553" i="2"/>
  <c r="H392" i="2"/>
  <c r="H386" i="2" s="1"/>
  <c r="G394" i="2" s="1"/>
  <c r="G386" i="2"/>
  <c r="G209" i="2"/>
  <c r="H592" i="2"/>
  <c r="H589" i="2" s="1"/>
  <c r="G589" i="2"/>
  <c r="G304" i="2"/>
  <c r="H315" i="2"/>
  <c r="H304" i="2" s="1"/>
  <c r="H711" i="2"/>
  <c r="H697" i="2" s="1"/>
  <c r="H280" i="2"/>
  <c r="H278" i="2" s="1"/>
  <c r="H597" i="2"/>
  <c r="H594" i="2" s="1"/>
  <c r="G594" i="2"/>
  <c r="H654" i="2"/>
  <c r="H651" i="2" s="1"/>
  <c r="G651" i="2"/>
  <c r="H683" i="2"/>
  <c r="H679" i="2" s="1"/>
  <c r="G679" i="2"/>
  <c r="H256" i="2"/>
  <c r="H253" i="2" s="1"/>
  <c r="H487" i="2"/>
  <c r="H479" i="2" s="1"/>
  <c r="G493" i="2" s="1"/>
  <c r="G479" i="2"/>
  <c r="H727" i="2"/>
  <c r="H716" i="2" s="1"/>
  <c r="G716" i="2"/>
  <c r="H28" i="2"/>
  <c r="H25" i="2" s="1"/>
  <c r="H546" i="2"/>
  <c r="H542" i="2" s="1"/>
  <c r="G542" i="2"/>
  <c r="H292" i="2"/>
  <c r="H285" i="2" s="1"/>
  <c r="G528" i="2"/>
  <c r="H662" i="2"/>
  <c r="H659" i="2" s="1"/>
  <c r="H237" i="2"/>
  <c r="H225" i="2" s="1"/>
  <c r="G575" i="2"/>
  <c r="H580" i="2"/>
  <c r="H575" i="2" s="1"/>
  <c r="G643" i="2"/>
  <c r="H326" i="2"/>
  <c r="H323" i="2" s="1"/>
  <c r="G323" i="2"/>
  <c r="G444" i="2"/>
  <c r="G757" i="2"/>
  <c r="G339" i="2"/>
  <c r="G17" i="1"/>
  <c r="G33" i="1"/>
  <c r="H33" i="1" s="1"/>
  <c r="H30" i="1" s="1"/>
  <c r="G321" i="1"/>
  <c r="H321" i="1" s="1"/>
  <c r="H317" i="1" s="1"/>
  <c r="G379" i="1"/>
  <c r="G374" i="1" s="1"/>
  <c r="G767" i="1"/>
  <c r="G762" i="1" s="1"/>
  <c r="G662" i="1"/>
  <c r="G659" i="1" s="1"/>
  <c r="G276" i="1"/>
  <c r="H276" i="1" s="1"/>
  <c r="H271" i="1" s="1"/>
  <c r="G597" i="1"/>
  <c r="H597" i="1" s="1"/>
  <c r="H594" i="1" s="1"/>
  <c r="G749" i="1"/>
  <c r="H749" i="1" s="1"/>
  <c r="H744" i="1" s="1"/>
  <c r="G677" i="1"/>
  <c r="H677" i="1" s="1"/>
  <c r="H673" i="1" s="1"/>
  <c r="G256" i="1"/>
  <c r="G253" i="1" s="1"/>
  <c r="G533" i="1"/>
  <c r="G530" i="1" s="1"/>
  <c r="G683" i="1"/>
  <c r="H683" i="1" s="1"/>
  <c r="H679" i="1" s="1"/>
  <c r="G426" i="1"/>
  <c r="H426" i="1" s="1"/>
  <c r="H422" i="1" s="1"/>
  <c r="G23" i="1"/>
  <c r="G19" i="1" s="1"/>
  <c r="G164" i="1"/>
  <c r="H164" i="1" s="1"/>
  <c r="H159" i="1" s="1"/>
  <c r="G292" i="1"/>
  <c r="H292" i="1" s="1"/>
  <c r="H285" i="1" s="1"/>
  <c r="G573" i="1"/>
  <c r="G564" i="1" s="1"/>
  <c r="G359" i="1"/>
  <c r="G354" i="1" s="1"/>
  <c r="G28" i="1"/>
  <c r="H28" i="1" s="1"/>
  <c r="H25" i="1" s="1"/>
  <c r="G48" i="1"/>
  <c r="H48" i="1" s="1"/>
  <c r="H40" i="1" s="1"/>
  <c r="G775" i="1"/>
  <c r="G769" i="1" s="1"/>
  <c r="G734" i="1"/>
  <c r="G730" i="1" s="1"/>
  <c r="G92" i="1"/>
  <c r="H92" i="1" s="1"/>
  <c r="H89" i="1" s="1"/>
  <c r="G299" i="1"/>
  <c r="H299" i="1" s="1"/>
  <c r="H294" i="1" s="1"/>
  <c r="G632" i="1"/>
  <c r="G629" i="1" s="1"/>
  <c r="G643" i="1"/>
  <c r="G634" i="1" s="1"/>
  <c r="G464" i="1"/>
  <c r="G460" i="1" s="1"/>
  <c r="G444" i="1"/>
  <c r="H444" i="1" s="1"/>
  <c r="H433" i="1" s="1"/>
  <c r="G474" i="1"/>
  <c r="G466" i="1" s="1"/>
  <c r="G538" i="1"/>
  <c r="G535" i="1" s="1"/>
  <c r="G627" i="1"/>
  <c r="G621" i="1" s="1"/>
  <c r="G693" i="1"/>
  <c r="G690" i="1" s="1"/>
  <c r="G487" i="1"/>
  <c r="H487" i="1" s="1"/>
  <c r="H479" i="1" s="1"/>
  <c r="G528" i="1"/>
  <c r="G515" i="1" s="1"/>
  <c r="G237" i="1"/>
  <c r="H237" i="1" s="1"/>
  <c r="H225" i="1" s="1"/>
  <c r="G326" i="1"/>
  <c r="H326" i="1" s="1"/>
  <c r="H323" i="1" s="1"/>
  <c r="G709" i="1"/>
  <c r="H709" i="1" s="1"/>
  <c r="H698" i="1" s="1"/>
  <c r="G711" i="1" s="1"/>
  <c r="G559" i="1"/>
  <c r="H559" i="1" s="1"/>
  <c r="H553" i="1" s="1"/>
  <c r="G592" i="1"/>
  <c r="H592" i="1" s="1"/>
  <c r="H589" i="1" s="1"/>
  <c r="G12" i="1"/>
  <c r="G9" i="1" s="1"/>
  <c r="G671" i="1"/>
  <c r="H671" i="1" s="1"/>
  <c r="H664" i="1" s="1"/>
  <c r="G266" i="1"/>
  <c r="H266" i="1" s="1"/>
  <c r="H258" i="1" s="1"/>
  <c r="G157" i="1"/>
  <c r="H157" i="1" s="1"/>
  <c r="H97" i="1" s="1"/>
  <c r="G503" i="1"/>
  <c r="G496" i="1" s="1"/>
  <c r="G619" i="1"/>
  <c r="H619" i="1" s="1"/>
  <c r="H610" i="1" s="1"/>
  <c r="G757" i="1"/>
  <c r="H757" i="1" s="1"/>
  <c r="H751" i="1" s="1"/>
  <c r="G250" i="1"/>
  <c r="G239" i="1" s="1"/>
  <c r="G420" i="1"/>
  <c r="G413" i="1" s="1"/>
  <c r="G510" i="1"/>
  <c r="G505" i="1" s="1"/>
  <c r="G727" i="1"/>
  <c r="H727" i="1" s="1"/>
  <c r="H716" i="1" s="1"/>
  <c r="G87" i="1"/>
  <c r="G50" i="1" s="1"/>
  <c r="G337" i="1"/>
  <c r="H337" i="1" s="1"/>
  <c r="H328" i="1" s="1"/>
  <c r="G411" i="1"/>
  <c r="G397" i="1" s="1"/>
  <c r="G209" i="1"/>
  <c r="H209" i="1" s="1"/>
  <c r="H169" i="1" s="1"/>
  <c r="G315" i="1"/>
  <c r="H315" i="1" s="1"/>
  <c r="H304" i="1" s="1"/>
  <c r="G217" i="1"/>
  <c r="G211" i="1" s="1"/>
  <c r="G352" i="1"/>
  <c r="H352" i="1" s="1"/>
  <c r="H347" i="1" s="1"/>
  <c r="G392" i="1"/>
  <c r="H392" i="1" s="1"/>
  <c r="H386" i="1" s="1"/>
  <c r="G457" i="1"/>
  <c r="G446" i="1" s="1"/>
  <c r="G580" i="1"/>
  <c r="G575" i="1" s="1"/>
  <c r="G649" i="1"/>
  <c r="G645" i="1" s="1"/>
  <c r="G651" i="1"/>
  <c r="H654" i="1"/>
  <c r="H651" i="1" s="1"/>
  <c r="H551" i="1"/>
  <c r="H549" i="1" s="1"/>
  <c r="G549" i="1"/>
  <c r="H491" i="1"/>
  <c r="H489" i="1" s="1"/>
  <c r="G489" i="1"/>
  <c r="H587" i="1"/>
  <c r="H585" i="1" s="1"/>
  <c r="G585" i="1"/>
  <c r="H366" i="1"/>
  <c r="H364" i="1" s="1"/>
  <c r="G364" i="1"/>
  <c r="H17" i="1"/>
  <c r="H14" i="1" s="1"/>
  <c r="G14" i="1"/>
  <c r="G339" i="1"/>
  <c r="H341" i="1"/>
  <c r="H339" i="1" s="1"/>
  <c r="G382" i="1"/>
  <c r="H384" i="1"/>
  <c r="H382" i="1" s="1"/>
  <c r="G542" i="1"/>
  <c r="H546" i="1"/>
  <c r="H542" i="1" s="1"/>
  <c r="H767" i="1"/>
  <c r="H762" i="1" s="1"/>
  <c r="H370" i="1"/>
  <c r="H368" i="1" s="1"/>
  <c r="G343" i="1"/>
  <c r="H280" i="1"/>
  <c r="H278" i="1" s="1"/>
  <c r="G716" i="4" l="1"/>
  <c r="H627" i="4"/>
  <c r="H621" i="4" s="1"/>
  <c r="G656" i="4" s="1"/>
  <c r="G89" i="4"/>
  <c r="G741" i="4"/>
  <c r="G599" i="4"/>
  <c r="G381" i="4"/>
  <c r="G361" i="4"/>
  <c r="G166" i="4"/>
  <c r="G211" i="2"/>
  <c r="H48" i="2"/>
  <c r="H40" i="2" s="1"/>
  <c r="G166" i="2"/>
  <c r="H493" i="4"/>
  <c r="H478" i="4" s="1"/>
  <c r="G478" i="4"/>
  <c r="H540" i="4"/>
  <c r="H514" i="4" s="1"/>
  <c r="G514" i="4"/>
  <c r="H361" i="4"/>
  <c r="H303" i="4" s="1"/>
  <c r="G303" i="4"/>
  <c r="H777" i="4"/>
  <c r="H761" i="4" s="1"/>
  <c r="G761" i="4"/>
  <c r="G548" i="4"/>
  <c r="H561" i="4"/>
  <c r="H548" i="4" s="1"/>
  <c r="H166" i="4"/>
  <c r="H96" i="4" s="1"/>
  <c r="G96" i="4"/>
  <c r="H268" i="4"/>
  <c r="H252" i="4" s="1"/>
  <c r="G252" i="4"/>
  <c r="G35" i="4"/>
  <c r="G219" i="4"/>
  <c r="H476" i="4"/>
  <c r="H459" i="4" s="1"/>
  <c r="G459" i="4"/>
  <c r="H582" i="4"/>
  <c r="H563" i="4" s="1"/>
  <c r="G563" i="4"/>
  <c r="H457" i="4"/>
  <c r="H446" i="4" s="1"/>
  <c r="G446" i="4"/>
  <c r="H282" i="4"/>
  <c r="H270" i="4" s="1"/>
  <c r="G270" i="4"/>
  <c r="H711" i="4"/>
  <c r="H697" i="4" s="1"/>
  <c r="G697" i="4"/>
  <c r="G94" i="4"/>
  <c r="H741" i="4"/>
  <c r="H729" i="4" s="1"/>
  <c r="G729" i="4"/>
  <c r="G396" i="4"/>
  <c r="H428" i="4"/>
  <c r="H396" i="4" s="1"/>
  <c r="G363" i="4"/>
  <c r="H372" i="4"/>
  <c r="H363" i="4" s="1"/>
  <c r="G689" i="4"/>
  <c r="H695" i="4"/>
  <c r="H689" i="4" s="1"/>
  <c r="G685" i="4"/>
  <c r="G584" i="4"/>
  <c r="G284" i="4"/>
  <c r="H301" i="4"/>
  <c r="H284" i="4" s="1"/>
  <c r="G430" i="4" s="1"/>
  <c r="H716" i="4"/>
  <c r="G495" i="4"/>
  <c r="H512" i="4"/>
  <c r="H495" i="4" s="1"/>
  <c r="H476" i="3"/>
  <c r="H459" i="3" s="1"/>
  <c r="G459" i="3"/>
  <c r="G729" i="3"/>
  <c r="H741" i="3"/>
  <c r="H729" i="3" s="1"/>
  <c r="H540" i="3"/>
  <c r="H514" i="3" s="1"/>
  <c r="G514" i="3"/>
  <c r="H352" i="3"/>
  <c r="H347" i="3" s="1"/>
  <c r="G361" i="3" s="1"/>
  <c r="G347" i="3"/>
  <c r="G169" i="3"/>
  <c r="H209" i="3"/>
  <c r="H169" i="3" s="1"/>
  <c r="G219" i="3" s="1"/>
  <c r="G270" i="3"/>
  <c r="H282" i="3"/>
  <c r="H270" i="3" s="1"/>
  <c r="G372" i="3"/>
  <c r="G777" i="3"/>
  <c r="H266" i="3"/>
  <c r="H258" i="3" s="1"/>
  <c r="G268" i="3" s="1"/>
  <c r="G258" i="3"/>
  <c r="G561" i="3"/>
  <c r="H250" i="3"/>
  <c r="H239" i="3" s="1"/>
  <c r="G239" i="3"/>
  <c r="G656" i="3"/>
  <c r="G394" i="3"/>
  <c r="H685" i="3"/>
  <c r="H658" i="3" s="1"/>
  <c r="G658" i="3"/>
  <c r="G743" i="3"/>
  <c r="H759" i="3"/>
  <c r="H743" i="3" s="1"/>
  <c r="G582" i="3"/>
  <c r="G689" i="3"/>
  <c r="H695" i="3"/>
  <c r="H689" i="3" s="1"/>
  <c r="G584" i="3"/>
  <c r="H599" i="3"/>
  <c r="H584" i="3" s="1"/>
  <c r="G495" i="3"/>
  <c r="H512" i="3"/>
  <c r="H495" i="3" s="1"/>
  <c r="G634" i="3"/>
  <c r="H643" i="3"/>
  <c r="H634" i="3" s="1"/>
  <c r="H487" i="3"/>
  <c r="H479" i="3" s="1"/>
  <c r="G493" i="3" s="1"/>
  <c r="G479" i="3"/>
  <c r="G50" i="3"/>
  <c r="H87" i="3"/>
  <c r="H50" i="3" s="1"/>
  <c r="G94" i="3" s="1"/>
  <c r="H301" i="3"/>
  <c r="H284" i="3" s="1"/>
  <c r="G284" i="3"/>
  <c r="H411" i="3"/>
  <c r="H397" i="3" s="1"/>
  <c r="G428" i="3" s="1"/>
  <c r="G397" i="3"/>
  <c r="H166" i="3"/>
  <c r="H96" i="3" s="1"/>
  <c r="G96" i="3"/>
  <c r="G697" i="3"/>
  <c r="H711" i="3"/>
  <c r="H697" i="3" s="1"/>
  <c r="G35" i="3"/>
  <c r="H673" i="2"/>
  <c r="G685" i="2" s="1"/>
  <c r="H685" i="2" s="1"/>
  <c r="H658" i="2" s="1"/>
  <c r="I658" i="1" s="1"/>
  <c r="G599" i="2"/>
  <c r="G584" i="2" s="1"/>
  <c r="G476" i="2"/>
  <c r="H476" i="2" s="1"/>
  <c r="H459" i="2" s="1"/>
  <c r="G282" i="2"/>
  <c r="G270" i="2" s="1"/>
  <c r="G372" i="2"/>
  <c r="G363" i="2" s="1"/>
  <c r="G361" i="2"/>
  <c r="G303" i="2" s="1"/>
  <c r="G301" i="2"/>
  <c r="H301" i="2" s="1"/>
  <c r="H284" i="2" s="1"/>
  <c r="G35" i="2"/>
  <c r="G8" i="2" s="1"/>
  <c r="G381" i="2"/>
  <c r="H394" i="2"/>
  <c r="H381" i="2" s="1"/>
  <c r="G169" i="2"/>
  <c r="H209" i="2"/>
  <c r="H169" i="2" s="1"/>
  <c r="G219" i="2" s="1"/>
  <c r="H166" i="2"/>
  <c r="H96" i="2" s="1"/>
  <c r="G96" i="2"/>
  <c r="G729" i="2"/>
  <c r="H741" i="2"/>
  <c r="H729" i="2" s="1"/>
  <c r="G689" i="2"/>
  <c r="H695" i="2"/>
  <c r="H689" i="2" s="1"/>
  <c r="G777" i="2"/>
  <c r="H528" i="2"/>
  <c r="H515" i="2" s="1"/>
  <c r="G540" i="2" s="1"/>
  <c r="G515" i="2"/>
  <c r="G548" i="2"/>
  <c r="H561" i="2"/>
  <c r="H548" i="2" s="1"/>
  <c r="G397" i="2"/>
  <c r="H411" i="2"/>
  <c r="H397" i="2" s="1"/>
  <c r="G428" i="2" s="1"/>
  <c r="H87" i="2"/>
  <c r="H50" i="2" s="1"/>
  <c r="G94" i="2" s="1"/>
  <c r="G50" i="2"/>
  <c r="H493" i="2"/>
  <c r="H478" i="2" s="1"/>
  <c r="G478" i="2"/>
  <c r="G268" i="2"/>
  <c r="G564" i="2"/>
  <c r="H573" i="2"/>
  <c r="H564" i="2" s="1"/>
  <c r="G582" i="2" s="1"/>
  <c r="H757" i="2"/>
  <c r="H751" i="2" s="1"/>
  <c r="G759" i="2" s="1"/>
  <c r="G751" i="2"/>
  <c r="G433" i="2"/>
  <c r="H444" i="2"/>
  <c r="H433" i="2" s="1"/>
  <c r="G634" i="2"/>
  <c r="H643" i="2"/>
  <c r="H634" i="2" s="1"/>
  <c r="G656" i="2" s="1"/>
  <c r="G512" i="2"/>
  <c r="G317" i="1"/>
  <c r="G30" i="1"/>
  <c r="G673" i="1"/>
  <c r="G271" i="1"/>
  <c r="H662" i="1"/>
  <c r="H659" i="1" s="1"/>
  <c r="G685" i="1" s="1"/>
  <c r="G594" i="1"/>
  <c r="G25" i="1"/>
  <c r="G285" i="1"/>
  <c r="H359" i="1"/>
  <c r="H354" i="1" s="1"/>
  <c r="G361" i="1" s="1"/>
  <c r="H573" i="1"/>
  <c r="H564" i="1" s="1"/>
  <c r="H632" i="1"/>
  <c r="H629" i="1" s="1"/>
  <c r="H379" i="1"/>
  <c r="H374" i="1" s="1"/>
  <c r="H256" i="1"/>
  <c r="H253" i="1" s="1"/>
  <c r="G268" i="1" s="1"/>
  <c r="G252" i="1" s="1"/>
  <c r="H627" i="1"/>
  <c r="H621" i="1" s="1"/>
  <c r="G159" i="1"/>
  <c r="H734" i="1"/>
  <c r="H730" i="1" s="1"/>
  <c r="G741" i="1" s="1"/>
  <c r="G729" i="1" s="1"/>
  <c r="G294" i="1"/>
  <c r="G679" i="1"/>
  <c r="G422" i="1"/>
  <c r="G744" i="1"/>
  <c r="H533" i="1"/>
  <c r="H530" i="1" s="1"/>
  <c r="H775" i="1"/>
  <c r="H769" i="1" s="1"/>
  <c r="G777" i="1" s="1"/>
  <c r="H777" i="1" s="1"/>
  <c r="H761" i="1" s="1"/>
  <c r="H643" i="1"/>
  <c r="H634" i="1" s="1"/>
  <c r="H23" i="1"/>
  <c r="H19" i="1" s="1"/>
  <c r="G304" i="1"/>
  <c r="G328" i="1"/>
  <c r="H464" i="1"/>
  <c r="H460" i="1" s="1"/>
  <c r="G40" i="1"/>
  <c r="G89" i="1"/>
  <c r="G716" i="1"/>
  <c r="G610" i="1"/>
  <c r="H474" i="1"/>
  <c r="H466" i="1" s="1"/>
  <c r="H510" i="1"/>
  <c r="H505" i="1" s="1"/>
  <c r="H528" i="1"/>
  <c r="H515" i="1" s="1"/>
  <c r="H420" i="1"/>
  <c r="H413" i="1" s="1"/>
  <c r="H503" i="1"/>
  <c r="H496" i="1" s="1"/>
  <c r="H250" i="1"/>
  <c r="H239" i="1" s="1"/>
  <c r="G751" i="1"/>
  <c r="G433" i="1"/>
  <c r="G372" i="1"/>
  <c r="G363" i="1" s="1"/>
  <c r="H538" i="1"/>
  <c r="H535" i="1" s="1"/>
  <c r="G166" i="1"/>
  <c r="H166" i="1" s="1"/>
  <c r="H96" i="1" s="1"/>
  <c r="G97" i="1"/>
  <c r="G258" i="1"/>
  <c r="H580" i="1"/>
  <c r="H575" i="1" s="1"/>
  <c r="G664" i="1"/>
  <c r="G553" i="1"/>
  <c r="H457" i="1"/>
  <c r="H446" i="1" s="1"/>
  <c r="G698" i="1"/>
  <c r="G386" i="1"/>
  <c r="H12" i="1"/>
  <c r="H9" i="1" s="1"/>
  <c r="G225" i="1"/>
  <c r="H217" i="1"/>
  <c r="H211" i="1" s="1"/>
  <c r="G219" i="1" s="1"/>
  <c r="G589" i="1"/>
  <c r="G169" i="1"/>
  <c r="H649" i="1"/>
  <c r="H645" i="1" s="1"/>
  <c r="G323" i="1"/>
  <c r="G347" i="1"/>
  <c r="G479" i="1"/>
  <c r="H87" i="1"/>
  <c r="H50" i="1" s="1"/>
  <c r="G94" i="1" s="1"/>
  <c r="G39" i="1" s="1"/>
  <c r="H411" i="1"/>
  <c r="H397" i="1" s="1"/>
  <c r="H693" i="1"/>
  <c r="H690" i="1" s="1"/>
  <c r="G695" i="1" s="1"/>
  <c r="G689" i="1" s="1"/>
  <c r="G697" i="1"/>
  <c r="H711" i="1"/>
  <c r="H697" i="1" s="1"/>
  <c r="G282" i="1"/>
  <c r="G561" i="1"/>
  <c r="G394" i="1"/>
  <c r="G493" i="1"/>
  <c r="G759" i="1"/>
  <c r="G599" i="1"/>
  <c r="G301" i="1"/>
  <c r="H656" i="4" l="1"/>
  <c r="H609" i="4" s="1"/>
  <c r="G609" i="4"/>
  <c r="G601" i="4"/>
  <c r="H601" i="4" s="1"/>
  <c r="H432" i="4" s="1"/>
  <c r="G779" i="4"/>
  <c r="G715" i="4" s="1"/>
  <c r="H599" i="4"/>
  <c r="H584" i="4" s="1"/>
  <c r="G284" i="2"/>
  <c r="I781" i="2"/>
  <c r="H430" i="4"/>
  <c r="H224" i="4" s="1"/>
  <c r="G224" i="4"/>
  <c r="H685" i="4"/>
  <c r="H658" i="4" s="1"/>
  <c r="G687" i="4" s="1"/>
  <c r="G658" i="4"/>
  <c r="G39" i="4"/>
  <c r="H94" i="4"/>
  <c r="H39" i="4" s="1"/>
  <c r="H219" i="4"/>
  <c r="H168" i="4" s="1"/>
  <c r="G168" i="4"/>
  <c r="H35" i="4"/>
  <c r="H8" i="4" s="1"/>
  <c r="G8" i="4"/>
  <c r="G39" i="3"/>
  <c r="H94" i="3"/>
  <c r="H39" i="3" s="1"/>
  <c r="G252" i="3"/>
  <c r="H268" i="3"/>
  <c r="H252" i="3" s="1"/>
  <c r="H361" i="3"/>
  <c r="H303" i="3" s="1"/>
  <c r="G303" i="3"/>
  <c r="G779" i="3"/>
  <c r="H428" i="3"/>
  <c r="H396" i="3" s="1"/>
  <c r="G396" i="3"/>
  <c r="G548" i="3"/>
  <c r="H561" i="3"/>
  <c r="H548" i="3" s="1"/>
  <c r="G168" i="3"/>
  <c r="H219" i="3"/>
  <c r="H168" i="3" s="1"/>
  <c r="G609" i="3"/>
  <c r="H656" i="3"/>
  <c r="H609" i="3" s="1"/>
  <c r="G687" i="3" s="1"/>
  <c r="G363" i="3"/>
  <c r="H372" i="3"/>
  <c r="H363" i="3" s="1"/>
  <c r="H582" i="3"/>
  <c r="H563" i="3" s="1"/>
  <c r="G563" i="3"/>
  <c r="G8" i="3"/>
  <c r="H35" i="3"/>
  <c r="H8" i="3" s="1"/>
  <c r="H394" i="3"/>
  <c r="H381" i="3" s="1"/>
  <c r="G381" i="3"/>
  <c r="G478" i="3"/>
  <c r="H493" i="3"/>
  <c r="H478" i="3" s="1"/>
  <c r="G761" i="3"/>
  <c r="H777" i="3"/>
  <c r="H761" i="3" s="1"/>
  <c r="G658" i="2"/>
  <c r="H599" i="2"/>
  <c r="H584" i="2" s="1"/>
  <c r="G459" i="2"/>
  <c r="H282" i="2"/>
  <c r="H270" i="2" s="1"/>
  <c r="H372" i="2"/>
  <c r="H363" i="2" s="1"/>
  <c r="H361" i="2"/>
  <c r="H303" i="2" s="1"/>
  <c r="H35" i="2"/>
  <c r="H8" i="2" s="1"/>
  <c r="G609" i="2"/>
  <c r="H656" i="2"/>
  <c r="H609" i="2" s="1"/>
  <c r="G687" i="2" s="1"/>
  <c r="G39" i="2"/>
  <c r="H94" i="2"/>
  <c r="H39" i="2" s="1"/>
  <c r="H512" i="2"/>
  <c r="H495" i="2" s="1"/>
  <c r="G495" i="2"/>
  <c r="G743" i="2"/>
  <c r="H759" i="2"/>
  <c r="H743" i="2" s="1"/>
  <c r="H540" i="2"/>
  <c r="H514" i="2" s="1"/>
  <c r="G514" i="2"/>
  <c r="G761" i="2"/>
  <c r="H777" i="2"/>
  <c r="H761" i="2" s="1"/>
  <c r="H582" i="2"/>
  <c r="H563" i="2" s="1"/>
  <c r="G563" i="2"/>
  <c r="G252" i="2"/>
  <c r="H268" i="2"/>
  <c r="H252" i="2" s="1"/>
  <c r="G168" i="2"/>
  <c r="H219" i="2"/>
  <c r="H168" i="2" s="1"/>
  <c r="G396" i="2"/>
  <c r="H428" i="2"/>
  <c r="H396" i="2" s="1"/>
  <c r="H741" i="1"/>
  <c r="H729" i="1" s="1"/>
  <c r="G35" i="1"/>
  <c r="G582" i="1"/>
  <c r="G563" i="1" s="1"/>
  <c r="G476" i="1"/>
  <c r="G459" i="1" s="1"/>
  <c r="G656" i="1"/>
  <c r="H656" i="1" s="1"/>
  <c r="H609" i="1" s="1"/>
  <c r="G540" i="1"/>
  <c r="G512" i="1"/>
  <c r="H512" i="1" s="1"/>
  <c r="H495" i="1" s="1"/>
  <c r="G428" i="1"/>
  <c r="G396" i="1" s="1"/>
  <c r="G761" i="1"/>
  <c r="H372" i="1"/>
  <c r="H363" i="1" s="1"/>
  <c r="G96" i="1"/>
  <c r="G495" i="1"/>
  <c r="H94" i="1"/>
  <c r="H39" i="1" s="1"/>
  <c r="H268" i="1"/>
  <c r="H252" i="1" s="1"/>
  <c r="H695" i="1"/>
  <c r="H689" i="1" s="1"/>
  <c r="G381" i="1"/>
  <c r="H394" i="1"/>
  <c r="H381" i="1" s="1"/>
  <c r="G548" i="1"/>
  <c r="H561" i="1"/>
  <c r="H548" i="1" s="1"/>
  <c r="G284" i="1"/>
  <c r="H301" i="1"/>
  <c r="H284" i="1" s="1"/>
  <c r="G514" i="1"/>
  <c r="H540" i="1"/>
  <c r="H514" i="1" s="1"/>
  <c r="H599" i="1"/>
  <c r="H584" i="1" s="1"/>
  <c r="G584" i="1"/>
  <c r="H582" i="1"/>
  <c r="H563" i="1" s="1"/>
  <c r="G168" i="1"/>
  <c r="H219" i="1"/>
  <c r="H168" i="1" s="1"/>
  <c r="G270" i="1"/>
  <c r="H282" i="1"/>
  <c r="H270" i="1" s="1"/>
  <c r="H35" i="1"/>
  <c r="H8" i="1" s="1"/>
  <c r="G8" i="1"/>
  <c r="G743" i="1"/>
  <c r="H759" i="1"/>
  <c r="H743" i="1" s="1"/>
  <c r="G303" i="1"/>
  <c r="H361" i="1"/>
  <c r="H303" i="1" s="1"/>
  <c r="G658" i="1"/>
  <c r="H685" i="1"/>
  <c r="H658" i="1" s="1"/>
  <c r="H493" i="1"/>
  <c r="H478" i="1" s="1"/>
  <c r="G478" i="1"/>
  <c r="H779" i="4" l="1"/>
  <c r="H715" i="4" s="1"/>
  <c r="G432" i="4"/>
  <c r="H687" i="4"/>
  <c r="H608" i="4" s="1"/>
  <c r="G713" i="4" s="1"/>
  <c r="G608" i="4"/>
  <c r="G603" i="4"/>
  <c r="G221" i="4"/>
  <c r="G430" i="3"/>
  <c r="G224" i="3" s="1"/>
  <c r="H779" i="3"/>
  <c r="H715" i="3" s="1"/>
  <c r="G715" i="3"/>
  <c r="H687" i="3"/>
  <c r="H608" i="3" s="1"/>
  <c r="G713" i="3" s="1"/>
  <c r="G608" i="3"/>
  <c r="G601" i="3"/>
  <c r="G221" i="3"/>
  <c r="G601" i="2"/>
  <c r="H601" i="2" s="1"/>
  <c r="H432" i="2" s="1"/>
  <c r="G430" i="2"/>
  <c r="G779" i="2"/>
  <c r="G221" i="2"/>
  <c r="H687" i="2"/>
  <c r="H608" i="2" s="1"/>
  <c r="G713" i="2" s="1"/>
  <c r="G608" i="2"/>
  <c r="G779" i="1"/>
  <c r="H779" i="1" s="1"/>
  <c r="H715" i="1" s="1"/>
  <c r="H476" i="1"/>
  <c r="H459" i="1" s="1"/>
  <c r="G601" i="1" s="1"/>
  <c r="G609" i="1"/>
  <c r="H428" i="1"/>
  <c r="H396" i="1" s="1"/>
  <c r="G430" i="1" s="1"/>
  <c r="G221" i="1"/>
  <c r="G38" i="1" s="1"/>
  <c r="G687" i="1"/>
  <c r="G608" i="1" s="1"/>
  <c r="G607" i="4" l="1"/>
  <c r="H713" i="4"/>
  <c r="H607" i="4" s="1"/>
  <c r="H603" i="4"/>
  <c r="H223" i="4" s="1"/>
  <c r="G223" i="4"/>
  <c r="H221" i="4"/>
  <c r="H38" i="4" s="1"/>
  <c r="G605" i="4" s="1"/>
  <c r="G38" i="4"/>
  <c r="H430" i="3"/>
  <c r="H224" i="3" s="1"/>
  <c r="G38" i="3"/>
  <c r="H221" i="3"/>
  <c r="H38" i="3" s="1"/>
  <c r="G607" i="3"/>
  <c r="H713" i="3"/>
  <c r="H607" i="3" s="1"/>
  <c r="G432" i="3"/>
  <c r="H601" i="3"/>
  <c r="H432" i="3" s="1"/>
  <c r="G432" i="2"/>
  <c r="G38" i="2"/>
  <c r="H221" i="2"/>
  <c r="H38" i="2" s="1"/>
  <c r="H779" i="2"/>
  <c r="H715" i="2" s="1"/>
  <c r="G715" i="2"/>
  <c r="G607" i="2"/>
  <c r="H713" i="2"/>
  <c r="H607" i="2" s="1"/>
  <c r="H430" i="2"/>
  <c r="H224" i="2" s="1"/>
  <c r="G603" i="2" s="1"/>
  <c r="G224" i="2"/>
  <c r="G715" i="1"/>
  <c r="H601" i="1"/>
  <c r="H432" i="1" s="1"/>
  <c r="G432" i="1"/>
  <c r="H221" i="1"/>
  <c r="H38" i="1" s="1"/>
  <c r="G224" i="1"/>
  <c r="H430" i="1"/>
  <c r="H224" i="1" s="1"/>
  <c r="G603" i="1" s="1"/>
  <c r="G223" i="1" s="1"/>
  <c r="H687" i="1"/>
  <c r="H608" i="1" s="1"/>
  <c r="G713" i="1" s="1"/>
  <c r="H713" i="1" s="1"/>
  <c r="H607" i="1" s="1"/>
  <c r="I607" i="1" l="1"/>
  <c r="H605" i="4"/>
  <c r="H37" i="4" s="1"/>
  <c r="G781" i="4" s="1"/>
  <c r="G37" i="4"/>
  <c r="G603" i="3"/>
  <c r="G223" i="3"/>
  <c r="H603" i="3"/>
  <c r="H223" i="3" s="1"/>
  <c r="G605" i="3" s="1"/>
  <c r="G223" i="2"/>
  <c r="H603" i="2"/>
  <c r="H223" i="2" s="1"/>
  <c r="G605" i="2" s="1"/>
  <c r="G607" i="1"/>
  <c r="H603" i="1"/>
  <c r="H223" i="1" s="1"/>
  <c r="G605" i="1" s="1"/>
  <c r="H605" i="1" s="1"/>
  <c r="H37" i="1" s="1"/>
  <c r="G781" i="1" s="1"/>
  <c r="H781" i="4" l="1"/>
  <c r="G7" i="4"/>
  <c r="H605" i="3"/>
  <c r="H37" i="3" s="1"/>
  <c r="G781" i="3" s="1"/>
  <c r="G37" i="3"/>
  <c r="G37" i="2"/>
  <c r="H605" i="2"/>
  <c r="H37" i="2" s="1"/>
  <c r="G781" i="2" s="1"/>
  <c r="G37" i="1"/>
  <c r="H781" i="1"/>
  <c r="G7" i="1"/>
  <c r="G791" i="4" l="1"/>
  <c r="H791" i="4" s="1"/>
  <c r="G789" i="4"/>
  <c r="H789" i="4" s="1"/>
  <c r="G792" i="4"/>
  <c r="H792" i="4" s="1"/>
  <c r="G790" i="4"/>
  <c r="H790" i="4" s="1"/>
  <c r="H7" i="4"/>
  <c r="H781" i="3"/>
  <c r="G7" i="3"/>
  <c r="H781" i="2"/>
  <c r="G7" i="2"/>
  <c r="H7" i="1"/>
  <c r="G792" i="1"/>
  <c r="H792" i="1" s="1"/>
  <c r="G791" i="1"/>
  <c r="H791" i="1" s="1"/>
  <c r="G790" i="1"/>
  <c r="H790" i="1" s="1"/>
  <c r="G789" i="1"/>
  <c r="H789" i="1" s="1"/>
  <c r="G793" i="4" l="1"/>
  <c r="H793" i="4" s="1"/>
  <c r="G792" i="3"/>
  <c r="H792" i="3" s="1"/>
  <c r="G791" i="3"/>
  <c r="H791" i="3" s="1"/>
  <c r="H7" i="3"/>
  <c r="G790" i="3"/>
  <c r="H790" i="3" s="1"/>
  <c r="G789" i="3"/>
  <c r="H789" i="3" s="1"/>
  <c r="H7" i="2"/>
  <c r="G792" i="2"/>
  <c r="H792" i="2" s="1"/>
  <c r="G791" i="2"/>
  <c r="H791" i="2" s="1"/>
  <c r="G790" i="2"/>
  <c r="H790" i="2" s="1"/>
  <c r="G789" i="2"/>
  <c r="H789" i="2" s="1"/>
  <c r="G793" i="1"/>
  <c r="G784" i="4" l="1"/>
  <c r="H784" i="4"/>
  <c r="G795" i="4" s="1"/>
  <c r="E797" i="4"/>
  <c r="H797" i="4" s="1"/>
  <c r="G793" i="2"/>
  <c r="G793" i="3"/>
  <c r="H793" i="1"/>
  <c r="G784" i="1"/>
  <c r="H795" i="4" l="1"/>
  <c r="H783" i="4" s="1"/>
  <c r="G798" i="4" s="1"/>
  <c r="H798" i="4" s="1"/>
  <c r="G783" i="4"/>
  <c r="H793" i="3"/>
  <c r="G784" i="3"/>
  <c r="H793" i="2"/>
  <c r="G784" i="2"/>
  <c r="H784" i="1"/>
  <c r="G795" i="1" s="1"/>
  <c r="E797" i="1"/>
  <c r="H797" i="1" s="1"/>
  <c r="E802" i="4" l="1"/>
  <c r="H784" i="3"/>
  <c r="G795" i="3" s="1"/>
  <c r="E797" i="3"/>
  <c r="H797" i="3" s="1"/>
  <c r="H784" i="2"/>
  <c r="G795" i="2" s="1"/>
  <c r="E797" i="2"/>
  <c r="H797" i="2" s="1"/>
  <c r="H795" i="1"/>
  <c r="H783" i="1" s="1"/>
  <c r="G798" i="1" s="1"/>
  <c r="H798" i="1" s="1"/>
  <c r="G783" i="1"/>
  <c r="E802" i="1" l="1"/>
  <c r="G783" i="3"/>
  <c r="H795" i="3"/>
  <c r="H783" i="3" s="1"/>
  <c r="G798" i="3" s="1"/>
  <c r="H798" i="3" s="1"/>
  <c r="G783" i="2"/>
  <c r="H795" i="2"/>
  <c r="H783" i="2" s="1"/>
  <c r="G798" i="2" s="1"/>
  <c r="H798" i="2" s="1"/>
  <c r="E802" i="2" l="1"/>
  <c r="H801" i="1"/>
  <c r="H803" i="1" s="1"/>
  <c r="E80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Krismelly De la Rosa</author>
  </authors>
  <commentList>
    <comment ref="A6" authorId="0" shapeId="0" xr:uid="{C0EBA07C-8425-413C-9B04-D44A2F83ACE4}">
      <text>
        <r>
          <rPr>
            <b/>
            <sz val="9"/>
            <color indexed="81"/>
            <rFont val="Tahoma"/>
            <family val="2"/>
          </rPr>
          <t>Código único que identifica el concepto. Ver colores en "Entorno de trabajo: Apariencia"
Es el primer campo que hay que rellenar para crear un concepto.
Al escribir un código:
• Si no existe en la obra, se crea un concepto nuevo
• Si ya figura en otro lugar de la obra, se inserta también bajo el concepto superior
• Si deriva de un concepto paramétrico, se inserta el concepto derivado
Es sensible a la opción "Archivo: Entorno de trabajo: Generales: Aceptar códigos en minúsculas"
Los conceptos de tipo subtotal calculan la suma de los importes de los conceptos anteriores y sus códigos comienzan por el carácter 'Ʃ'. Pueden incluirse varios niveles de subtotales jerárquicos. Para insertar 'Ʃ' abra el "Mapa de caracteres" de Windows y busque el símbolo "Suma".
Los conceptos de tipo porcentaje calculan un porcentaje sobre los importes de los conceptos que están por encima de ellos en un análisis de precios y sus códigos contienen el símbolo '%'.
Los conceptos cuyo código comienza por 'Ʃ%', 'ƩƩ%' o 'ƩƩƩ%' calculan porcentajes sobre los distintos niveles de subtotales.</t>
        </r>
      </text>
    </comment>
    <comment ref="B6" authorId="0" shapeId="0" xr:uid="{A53D0CD8-4581-466A-9397-F9FF09115DD1}">
      <text>
        <r>
          <rPr>
            <b/>
            <sz val="9"/>
            <color indexed="81"/>
            <rFont val="Tahoma"/>
            <family val="2"/>
          </rPr>
          <t>Naturaleza del concepto o de la entidad (ver menú contextual)</t>
        </r>
      </text>
    </comment>
    <comment ref="C6" authorId="0" shapeId="0" xr:uid="{D9E74B5C-3F21-4C3A-A47A-2606AAE680DF}">
      <text>
        <r>
          <rPr>
            <b/>
            <sz val="9"/>
            <color indexed="81"/>
            <rFont val="Tahoma"/>
            <family val="2"/>
          </rPr>
          <t>Texto breve que facilita la visualización, la búsqueda y la impresión del concepto en lugar del texto
El color corresponde al estado, que se modifica con el menú contextual, actualizándose la fecha del color correspondiente</t>
        </r>
      </text>
    </comment>
    <comment ref="E6" authorId="0" shapeId="0" xr:uid="{26CF715A-401D-45D1-824B-A423F725D63E}">
      <text>
        <r>
          <rPr>
            <b/>
            <sz val="9"/>
            <color indexed="81"/>
            <rFont val="Tahoma"/>
            <family val="2"/>
          </rPr>
          <t>Cantidad o rendimiento del concepto en su superior en el presupuesto
Magenta: Proviene de las líneas de medición 
Negro: Si se introduce por el usuario se retiran del presupuesto las líneas de medición, si existen
Fondo gris: Puede anularse para no tener en cuenta la cantidad del concepto en un superior determinado</t>
        </r>
      </text>
    </comment>
    <comment ref="F6" authorId="0" shapeId="0" xr:uid="{983B041E-63EA-4A30-BBD8-E2D263F0C3A5}">
      <text>
        <r>
          <rPr>
            <b/>
            <sz val="9"/>
            <color indexed="81"/>
            <rFont val="Tahoma"/>
            <family val="2"/>
          </rPr>
          <t>Unidad de medida a la que se refiere el precio unitario
Las unidades de tiempo de la maquinaria y la mano de obra afectan a los cálculos de duraciones y recursos
D*, d*: Dias x Horas laborables del día (Obra.CalcDurLab)
S*, s*, W*, w*: Semanas x 5 días
M*, m*: Meses x Días laborables del mes (Obra.CalcDurMes)
A*, a*, Y*, y*: Años x 12</t>
        </r>
      </text>
    </comment>
    <comment ref="G6" authorId="0" shapeId="0" xr:uid="{083A4611-A858-46CB-99C8-2F5D47ED715A}">
      <text>
        <r>
          <rPr>
            <b/>
            <sz val="9"/>
            <color indexed="81"/>
            <rFont val="Tahoma"/>
            <family val="2"/>
          </rPr>
          <t>Precio unitario principal del concepto
Puede ser el precio del presupuesto, de venta o de oferta
Cuando se usan precios de coste y de venta el coste estimado figura en el precio objetivo "Obj"
Magenta: Calculado a partir de los conceptos inferiores, si se modifica pasa a ser bloqueado
Rojo: Bloqueado, puede ser distinto al resultante de sus inferiores
Fondo gris: Anulado, el concepto no interviene en el presupuesto
Precios.Pres
Precio asignado a la entidad que aparece en las ventanas de precios múltiples, como divisas, precios y ofertantes
Negro: Introducido por usuario
Magenta: Calculado
Fondo rosa: Valor de defecto</t>
        </r>
      </text>
    </comment>
    <comment ref="H6" authorId="0" shapeId="0" xr:uid="{CBD27E0E-9722-40C6-93E2-9DCFCB3A4250}">
      <text>
        <r>
          <rPr>
            <b/>
            <sz val="9"/>
            <color indexed="81"/>
            <rFont val="Tahoma"/>
            <family val="2"/>
          </rPr>
          <t>Presupuesto vigente, suma de presupuesto inicial y modificaciones aprobadas
Incluye costes indirectos (PEM) si esta definido el porcentaje
Magenta: El producto de la cantidad por el precio del presupuesto está afectado por la producción, la dificultad, un factor, los costes indirectos o la divisa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Krismelly De la Rosa</author>
  </authors>
  <commentList>
    <comment ref="A6" authorId="0" shapeId="0" xr:uid="{49A6E98D-3C2D-498C-9C0D-BA671F06AFD5}">
      <text>
        <r>
          <rPr>
            <b/>
            <sz val="9"/>
            <color indexed="81"/>
            <rFont val="Tahoma"/>
            <family val="2"/>
          </rPr>
          <t>Código único que identifica el concepto. Ver colores en "Entorno de trabajo: Apariencia"
Es el primer campo que hay que rellenar para crear un concepto.
Al escribir un código:
• Si no existe en la obra, se crea un concepto nuevo
• Si ya figura en otro lugar de la obra, se inserta también bajo el concepto superior
• Si deriva de un concepto paramétrico, se inserta el concepto derivado
Es sensible a la opción "Archivo: Entorno de trabajo: Generales: Aceptar códigos en minúsculas"
Los conceptos de tipo subtotal calculan la suma de los importes de los conceptos anteriores y sus códigos comienzan por el carácter 'Ʃ'. Pueden incluirse varios niveles de subtotales jerárquicos. Para insertar 'Ʃ' abra el "Mapa de caracteres" de Windows y busque el símbolo "Suma".
Los conceptos de tipo porcentaje calculan un porcentaje sobre los importes de los conceptos que están por encima de ellos en un análisis de precios y sus códigos contienen el símbolo '%'.
Los conceptos cuyo código comienza por 'Ʃ%', 'ƩƩ%' o 'ƩƩƩ%' calculan porcentajes sobre los distintos niveles de subtotales.</t>
        </r>
      </text>
    </comment>
    <comment ref="B6" authorId="0" shapeId="0" xr:uid="{585C9E38-7568-4B90-8ADD-D323E839F23E}">
      <text>
        <r>
          <rPr>
            <b/>
            <sz val="9"/>
            <color indexed="81"/>
            <rFont val="Tahoma"/>
            <family val="2"/>
          </rPr>
          <t>Naturaleza del concepto o de la entidad (ver menú contextual)</t>
        </r>
      </text>
    </comment>
    <comment ref="C6" authorId="0" shapeId="0" xr:uid="{815568A9-D230-4146-AF81-7A76FD1B7811}">
      <text>
        <r>
          <rPr>
            <b/>
            <sz val="9"/>
            <color indexed="81"/>
            <rFont val="Tahoma"/>
            <family val="2"/>
          </rPr>
          <t>Texto breve que facilita la visualización, la búsqueda y la impresión del concepto en lugar del texto
El color corresponde al estado, que se modifica con el menú contextual, actualizándose la fecha del color correspondiente</t>
        </r>
      </text>
    </comment>
    <comment ref="E6" authorId="0" shapeId="0" xr:uid="{5A16ECFF-D289-45EE-96BF-4AFFE6A8D8DC}">
      <text>
        <r>
          <rPr>
            <b/>
            <sz val="9"/>
            <color indexed="81"/>
            <rFont val="Tahoma"/>
            <family val="2"/>
          </rPr>
          <t>Cantidad o rendimiento del concepto en su superior en el presupuesto
Magenta: Proviene de las líneas de medición 
Negro: Si se introduce por el usuario se retiran del presupuesto las líneas de medición, si existen
Fondo gris: Puede anularse para no tener en cuenta la cantidad del concepto en un superior determinado</t>
        </r>
      </text>
    </comment>
    <comment ref="F6" authorId="0" shapeId="0" xr:uid="{AB025205-2909-47A7-BB9E-8B97E8970E10}">
      <text>
        <r>
          <rPr>
            <b/>
            <sz val="9"/>
            <color indexed="81"/>
            <rFont val="Tahoma"/>
            <family val="2"/>
          </rPr>
          <t>Unidad de medida a la que se refiere el precio unitario
Las unidades de tiempo de la maquinaria y la mano de obra afectan a los cálculos de duraciones y recursos
D*, d*: Dias x Horas laborables del día (Obra.CalcDurLab)
S*, s*, W*, w*: Semanas x 5 días
M*, m*: Meses x Días laborables del mes (Obra.CalcDurMes)
A*, a*, Y*, y*: Años x 12</t>
        </r>
      </text>
    </comment>
    <comment ref="G6" authorId="0" shapeId="0" xr:uid="{AE183D9A-672F-41FB-97A0-2540AB684F23}">
      <text>
        <r>
          <rPr>
            <b/>
            <sz val="9"/>
            <color indexed="81"/>
            <rFont val="Tahoma"/>
            <family val="2"/>
          </rPr>
          <t>Precio unitario principal del concepto
Puede ser el precio del presupuesto, de venta o de oferta
Cuando se usan precios de coste y de venta el coste estimado figura en el precio objetivo "Obj"
Magenta: Calculado a partir de los conceptos inferiores, si se modifica pasa a ser bloqueado
Rojo: Bloqueado, puede ser distinto al resultante de sus inferiores
Fondo gris: Anulado, el concepto no interviene en el presupuesto
Precios.Pres
Precio asignado a la entidad que aparece en las ventanas de precios múltiples, como divisas, precios y ofertantes
Negro: Introducido por usuario
Magenta: Calculado
Fondo rosa: Valor de defecto</t>
        </r>
      </text>
    </comment>
    <comment ref="H6" authorId="0" shapeId="0" xr:uid="{EAED6AFD-B01C-4FE3-AC37-F4FEF16EF500}">
      <text>
        <r>
          <rPr>
            <b/>
            <sz val="9"/>
            <color indexed="81"/>
            <rFont val="Tahoma"/>
            <family val="2"/>
          </rPr>
          <t>Presupuesto vigente, suma de presupuesto inicial y modificaciones aprobadas
Incluye costes indirectos (PEM) si esta definido el porcentaje
Magenta: El producto de la cantidad por el precio del presupuesto está afectado por la producción, la dificultad, un factor, los costes indirectos o la divisa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Krismelly De la Rosa</author>
  </authors>
  <commentList>
    <comment ref="A6" authorId="0" shapeId="0" xr:uid="{3F34A441-B065-49D6-BE39-F0541E6722DB}">
      <text>
        <r>
          <rPr>
            <b/>
            <sz val="9"/>
            <color indexed="81"/>
            <rFont val="Tahoma"/>
            <family val="2"/>
          </rPr>
          <t>Código único que identifica el concepto. Ver colores en "Entorno de trabajo: Apariencia"
Es el primer campo que hay que rellenar para crear un concepto.
Al escribir un código:
• Si no existe en la obra, se crea un concepto nuevo
• Si ya figura en otro lugar de la obra, se inserta también bajo el concepto superior
• Si deriva de un concepto paramétrico, se inserta el concepto derivado
Es sensible a la opción "Archivo: Entorno de trabajo: Generales: Aceptar códigos en minúsculas"
Los conceptos de tipo subtotal calculan la suma de los importes de los conceptos anteriores y sus códigos comienzan por el carácter 'Ʃ'. Pueden incluirse varios niveles de subtotales jerárquicos. Para insertar 'Ʃ' abra el "Mapa de caracteres" de Windows y busque el símbolo "Suma".
Los conceptos de tipo porcentaje calculan un porcentaje sobre los importes de los conceptos que están por encima de ellos en un análisis de precios y sus códigos contienen el símbolo '%'.
Los conceptos cuyo código comienza por 'Ʃ%', 'ƩƩ%' o 'ƩƩƩ%' calculan porcentajes sobre los distintos niveles de subtotales.</t>
        </r>
      </text>
    </comment>
    <comment ref="B6" authorId="0" shapeId="0" xr:uid="{5E6DB7B5-B19E-4F72-A030-063D59E88470}">
      <text>
        <r>
          <rPr>
            <b/>
            <sz val="9"/>
            <color indexed="81"/>
            <rFont val="Tahoma"/>
            <family val="2"/>
          </rPr>
          <t>Naturaleza del concepto o de la entidad (ver menú contextual)</t>
        </r>
      </text>
    </comment>
    <comment ref="C6" authorId="0" shapeId="0" xr:uid="{E0932CF3-4A92-42F0-BBB2-8A40555F1361}">
      <text>
        <r>
          <rPr>
            <b/>
            <sz val="9"/>
            <color indexed="81"/>
            <rFont val="Tahoma"/>
            <family val="2"/>
          </rPr>
          <t>Texto breve que facilita la visualización, la búsqueda y la impresión del concepto en lugar del texto
El color corresponde al estado, que se modifica con el menú contextual, actualizándose la fecha del color correspondiente</t>
        </r>
      </text>
    </comment>
    <comment ref="E6" authorId="0" shapeId="0" xr:uid="{5D735DBC-4EA3-4553-8815-56C1372599C2}">
      <text>
        <r>
          <rPr>
            <b/>
            <sz val="9"/>
            <color indexed="81"/>
            <rFont val="Tahoma"/>
            <family val="2"/>
          </rPr>
          <t>Cantidad o rendimiento del concepto en su superior en el presupuesto
Magenta: Proviene de las líneas de medición 
Negro: Si se introduce por el usuario se retiran del presupuesto las líneas de medición, si existen
Fondo gris: Puede anularse para no tener en cuenta la cantidad del concepto en un superior determinado</t>
        </r>
      </text>
    </comment>
    <comment ref="F6" authorId="0" shapeId="0" xr:uid="{6105F4B4-1B67-473C-93B0-3021778F5BCB}">
      <text>
        <r>
          <rPr>
            <b/>
            <sz val="9"/>
            <color indexed="81"/>
            <rFont val="Tahoma"/>
            <family val="2"/>
          </rPr>
          <t>Unidad de medida a la que se refiere el precio unitario
Las unidades de tiempo de la maquinaria y la mano de obra afectan a los cálculos de duraciones y recursos
D*, d*: Dias x Horas laborables del día (Obra.CalcDurLab)
S*, s*, W*, w*: Semanas x 5 días
M*, m*: Meses x Días laborables del mes (Obra.CalcDurMes)
A*, a*, Y*, y*: Años x 12</t>
        </r>
      </text>
    </comment>
    <comment ref="G6" authorId="0" shapeId="0" xr:uid="{2A277E4A-FF5C-433B-BAC6-07C57ECDE152}">
      <text>
        <r>
          <rPr>
            <b/>
            <sz val="9"/>
            <color indexed="81"/>
            <rFont val="Tahoma"/>
            <family val="2"/>
          </rPr>
          <t>Precio unitario principal del concepto
Puede ser el precio del presupuesto, de venta o de oferta
Cuando se usan precios de coste y de venta el coste estimado figura en el precio objetivo "Obj"
Magenta: Calculado a partir de los conceptos inferiores, si se modifica pasa a ser bloqueado
Rojo: Bloqueado, puede ser distinto al resultante de sus inferiores
Fondo gris: Anulado, el concepto no interviene en el presupuesto
Precios.Pres
Precio asignado a la entidad que aparece en las ventanas de precios múltiples, como divisas, precios y ofertantes
Negro: Introducido por usuario
Magenta: Calculado
Fondo rosa: Valor de defecto</t>
        </r>
      </text>
    </comment>
    <comment ref="H6" authorId="0" shapeId="0" xr:uid="{F6059E79-506F-41BF-9EA4-D08CBB38FC58}">
      <text>
        <r>
          <rPr>
            <b/>
            <sz val="9"/>
            <color indexed="81"/>
            <rFont val="Tahoma"/>
            <family val="2"/>
          </rPr>
          <t>Presupuesto vigente, suma de presupuesto inicial y modificaciones aprobadas
Incluye costes indirectos (PEM) si esta definido el porcentaje
Magenta: El producto de la cantidad por el precio del presupuesto está afectado por la producción, la dificultad, un factor, los costes indirectos o la divisa</t>
        </r>
      </text>
    </comment>
  </commentList>
</comments>
</file>

<file path=xl/sharedStrings.xml><?xml version="1.0" encoding="utf-8"?>
<sst xmlns="http://schemas.openxmlformats.org/spreadsheetml/2006/main" count="12111" uniqueCount="1635">
  <si>
    <t>LAS NASAS 9</t>
  </si>
  <si>
    <t>Código</t>
  </si>
  <si>
    <t>Nat</t>
  </si>
  <si>
    <t>Ud</t>
  </si>
  <si>
    <t>Resumen</t>
  </si>
  <si>
    <t>CanPres</t>
  </si>
  <si>
    <t>Pres</t>
  </si>
  <si>
    <t>ImpPres</t>
  </si>
  <si>
    <t>NAS-9.1</t>
  </si>
  <si>
    <t>Capítulo</t>
  </si>
  <si>
    <t>UD</t>
  </si>
  <si>
    <t>COSTOS DIRECTOS</t>
  </si>
  <si>
    <t>A.</t>
  </si>
  <si>
    <t>TRABAJOS PRELIMINARES / LIMPIEZA CONTINUA Y FINAL</t>
  </si>
  <si>
    <t>1.00</t>
  </si>
  <si>
    <t>Trabajos preliminares</t>
  </si>
  <si>
    <t>1.01</t>
  </si>
  <si>
    <t>Partida</t>
  </si>
  <si>
    <t xml:space="preserve"> M2</t>
  </si>
  <si>
    <t>Fumigación</t>
  </si>
  <si>
    <t>1.02</t>
  </si>
  <si>
    <t>Limpieza del solar</t>
  </si>
  <si>
    <t>Total 1.00</t>
  </si>
  <si>
    <t>2.00</t>
  </si>
  <si>
    <t>Reconocimiento del sitio</t>
  </si>
  <si>
    <t>2.01</t>
  </si>
  <si>
    <t xml:space="preserve"> PA</t>
  </si>
  <si>
    <t>Topografía (Niveles, ubicación)</t>
  </si>
  <si>
    <t>2.02</t>
  </si>
  <si>
    <t xml:space="preserve"> ML</t>
  </si>
  <si>
    <t>Replanteo y charranchas de la casa</t>
  </si>
  <si>
    <t>Total 2.00</t>
  </si>
  <si>
    <t>3.00</t>
  </si>
  <si>
    <t>Trabajos provisionales</t>
  </si>
  <si>
    <t>3.01</t>
  </si>
  <si>
    <t>M2</t>
  </si>
  <si>
    <t>Verja perimetral de aluzinc</t>
  </si>
  <si>
    <t>3.02</t>
  </si>
  <si>
    <t>Months</t>
  </si>
  <si>
    <t>Baño de obra</t>
  </si>
  <si>
    <t>3.03</t>
  </si>
  <si>
    <t>Oficinas-Almacén provisionales</t>
  </si>
  <si>
    <t>Total 3.00</t>
  </si>
  <si>
    <t>4.00</t>
  </si>
  <si>
    <t>Misceláneos</t>
  </si>
  <si>
    <t>4.01</t>
  </si>
  <si>
    <t>Limpieza continua (incluyen botes continuos de obra)</t>
  </si>
  <si>
    <t>4.02</t>
  </si>
  <si>
    <t>M3</t>
  </si>
  <si>
    <t>Toma muestra y ensayo hormigón</t>
  </si>
  <si>
    <t>Total 4.00</t>
  </si>
  <si>
    <t>5.00</t>
  </si>
  <si>
    <t>Acondicionamiento de terreno</t>
  </si>
  <si>
    <t>5.01</t>
  </si>
  <si>
    <t xml:space="preserve"> M3</t>
  </si>
  <si>
    <t>Relleno compactado de solar ((0.40m + 0.20m de limpieza)</t>
  </si>
  <si>
    <t>5.02</t>
  </si>
  <si>
    <t>Relleno exterior (0.80m)</t>
  </si>
  <si>
    <t>Total 5.00</t>
  </si>
  <si>
    <t>Total A.</t>
  </si>
  <si>
    <t>B.</t>
  </si>
  <si>
    <t>EDIFICACION PRINCIPAL (CASA)</t>
  </si>
  <si>
    <t>B.1</t>
  </si>
  <si>
    <t>ESTRUCTURA CASA PRINCIPAL</t>
  </si>
  <si>
    <t>B.1.1</t>
  </si>
  <si>
    <t/>
  </si>
  <si>
    <t>NIVEL CERO (BAJO NIVEL DE PISO)</t>
  </si>
  <si>
    <t>6.00</t>
  </si>
  <si>
    <t>Movimiento de tierra</t>
  </si>
  <si>
    <t>6.01</t>
  </si>
  <si>
    <t xml:space="preserve"> M3N</t>
  </si>
  <si>
    <t>Excavación para cimentaciones de zapatas de columnas</t>
  </si>
  <si>
    <t>6.02</t>
  </si>
  <si>
    <t>Excavación para cimentaciones de zapatas de muros</t>
  </si>
  <si>
    <t>6.03</t>
  </si>
  <si>
    <t xml:space="preserve"> M3C</t>
  </si>
  <si>
    <t>Relleno de reposición en zapatas de columnas y muros</t>
  </si>
  <si>
    <t>6.04</t>
  </si>
  <si>
    <t>Relleno compactado interior de casa (1.00 m)</t>
  </si>
  <si>
    <t>6.05</t>
  </si>
  <si>
    <t xml:space="preserve"> M3S</t>
  </si>
  <si>
    <t>Bote de material</t>
  </si>
  <si>
    <t>6.06</t>
  </si>
  <si>
    <t>Barrera de vapor en cimentaciones</t>
  </si>
  <si>
    <t>6.07</t>
  </si>
  <si>
    <t>Barrera de vapor bajo torta de pisos</t>
  </si>
  <si>
    <t>Total 6.00</t>
  </si>
  <si>
    <t>7.00</t>
  </si>
  <si>
    <t>Hormigón armado</t>
  </si>
  <si>
    <t>7.01</t>
  </si>
  <si>
    <t>Zapata Z1 (1.35m x 1.35m x 0.40m) con hormigón 210 kg/cm2</t>
  </si>
  <si>
    <t>7.02</t>
  </si>
  <si>
    <t>Zapata Z2 (1.50m x 1.30m x 0.40m) con hormigón 210 kg/cm2</t>
  </si>
  <si>
    <t>7.03</t>
  </si>
  <si>
    <t>Zapata Z3 (1.60m x 1.25m x 0.40m) con hormigón 210 kg/cm2</t>
  </si>
  <si>
    <t>7.04</t>
  </si>
  <si>
    <t>Zapata Z4 (1.80m x 1.30m x 0.40m) con hormigón 210 kg/cm2</t>
  </si>
  <si>
    <t>7.05</t>
  </si>
  <si>
    <t>Zapata Z5 (2.20m x 1.25m x 0.40m) con hormigón 210 kg/cm2</t>
  </si>
  <si>
    <t>7.06</t>
  </si>
  <si>
    <t>Zapata Z6 (1.20m x 1.60m x 0.40m) con hormigón 210 kg/cm2</t>
  </si>
  <si>
    <t>7.07</t>
  </si>
  <si>
    <t>Zapata Z7 (2.05m x 1.60m x 0.40m) con hormigón 210 kg/cm2</t>
  </si>
  <si>
    <t>7.08</t>
  </si>
  <si>
    <t>Zapata Z8 (3.55m x 2.60m x 0.40m) con hormigón 210 kg/cm2</t>
  </si>
  <si>
    <t>7.09</t>
  </si>
  <si>
    <t>Zapata Z9 (1.90m x 2.60m x 0.40m) con hormigón 210 kg/cm2</t>
  </si>
  <si>
    <t>7.10</t>
  </si>
  <si>
    <t>Zapata Z9' (2.10m x 3.80m x 0.40m) con hormigón 210 kg/cm2</t>
  </si>
  <si>
    <t>7.11</t>
  </si>
  <si>
    <t>Zapata Z10 (1.10m x 1.10m x 0.40m) con hormigón 210 kg/cm2</t>
  </si>
  <si>
    <t>7.12</t>
  </si>
  <si>
    <t>Zapata Z11 (1.25m x 1.25m x 0.35m) con hormigón 210 kg/cm2</t>
  </si>
  <si>
    <t>7.13</t>
  </si>
  <si>
    <t>Zapata Z12 (3.95m x 2.80m x 0.40m) con hormigón 210 kg/cm2</t>
  </si>
  <si>
    <t>7.14</t>
  </si>
  <si>
    <t>Zapata Z12' (1.80m x 1.35m x 0.40m) con hormigón 210 kg/cm2</t>
  </si>
  <si>
    <t>7.15</t>
  </si>
  <si>
    <t>Zapata Z14 (2.25m x 1.35m x 0.40m) con hormigón 210 kg/cm2</t>
  </si>
  <si>
    <t>7.16</t>
  </si>
  <si>
    <t>Zapata Z15 (2.25m x 1.60m x 0.40m) con hormigón 210 kg/cm2</t>
  </si>
  <si>
    <t>7.17</t>
  </si>
  <si>
    <t>Zapata de muro bloques 8'', 0.60m x 0.30m, con hormigón 210 kg/cm2</t>
  </si>
  <si>
    <t>7.18</t>
  </si>
  <si>
    <t>Zapata de muro bloques 6'', 0.60m x 0.30m, con hormigón 210 kg/cm2</t>
  </si>
  <si>
    <t>7.19</t>
  </si>
  <si>
    <t>Zapata de escalera 1.65m x 0.60m x 0.30m, con hormigón 210kg/cm2</t>
  </si>
  <si>
    <t>7.20</t>
  </si>
  <si>
    <t>Columna C1 (0.35m x 0.35m) con hormigón 240 kg/cm2</t>
  </si>
  <si>
    <t>7.21</t>
  </si>
  <si>
    <t>Columna C2 (0.60m x 0.20m) con hormigón 240 kg/cm2</t>
  </si>
  <si>
    <t>7.22</t>
  </si>
  <si>
    <t>Columna C3 (0.30m x 0.30m) con hormigón 240 kg/cm2</t>
  </si>
  <si>
    <t>7.23</t>
  </si>
  <si>
    <t>Columna C4 (0.60m x 0.25m) con hormigón 240 kg/cm2</t>
  </si>
  <si>
    <t>7.24</t>
  </si>
  <si>
    <t>Columna C5 (0.25m x 0.25m) con hormigón 240 kg/cm2</t>
  </si>
  <si>
    <t>7.25</t>
  </si>
  <si>
    <t>Columna C6 (0.50m x 0.30m) con hormigón 240 kg/cm2</t>
  </si>
  <si>
    <t>7.26</t>
  </si>
  <si>
    <t>Columna C7 (0.60m x 0.25m) con hormigón 240 kg/cm2</t>
  </si>
  <si>
    <t>7.27</t>
  </si>
  <si>
    <t>Columna CA (0.20m x 0.20m) con hormigón 240 kg/cm2</t>
  </si>
  <si>
    <t>7.28</t>
  </si>
  <si>
    <t>Muro Horm. MH1 (0.80m x 0.30m), con hormigón 240 kg/cm2</t>
  </si>
  <si>
    <t>7.29</t>
  </si>
  <si>
    <t>Muro Horm. MH2 (1.20m x 0.25m), con hormigón 240 kg/cm2</t>
  </si>
  <si>
    <t>7.30</t>
  </si>
  <si>
    <t>Muro Horm. MH3 en L (2.60m x 0.25m), con hormigón 240 kg/cm2</t>
  </si>
  <si>
    <t>7.31</t>
  </si>
  <si>
    <t>Muro Horm. MH4 (1.80m x 0.30m), con hormigón 240 kg/cm2</t>
  </si>
  <si>
    <t>7.32</t>
  </si>
  <si>
    <t>Muro Horm. MH5 (1.00m x 0.30m), con hormigón 240 kg/cm2</t>
  </si>
  <si>
    <t>7.33</t>
  </si>
  <si>
    <t xml:space="preserve"> UD</t>
  </si>
  <si>
    <t>Cepos en columnas y muros de hormigón bnp</t>
  </si>
  <si>
    <t>7.34</t>
  </si>
  <si>
    <t>Viga de amarre bnp, (0.15m x 0.20m) con hormigón 240 kg/cm2</t>
  </si>
  <si>
    <t>7.35</t>
  </si>
  <si>
    <t>Viga de amarre bnp, (0.20m x 0.20m) con hormigón 240 kg/cm2</t>
  </si>
  <si>
    <t>7.36</t>
  </si>
  <si>
    <t>Losa de piso de e = 0.10 m, con hormigón 210 kg/cm2</t>
  </si>
  <si>
    <t>Total 7.00</t>
  </si>
  <si>
    <t>8.00</t>
  </si>
  <si>
    <t>Muros de bloques</t>
  </si>
  <si>
    <t>8.01</t>
  </si>
  <si>
    <t>Muros (6") AC. Ø 3/8" BNP</t>
  </si>
  <si>
    <t>8.02</t>
  </si>
  <si>
    <t>Muros (8") AC. Ø 3/8" BNP</t>
  </si>
  <si>
    <t>Total 8.00</t>
  </si>
  <si>
    <t>Total B.1.1</t>
  </si>
  <si>
    <t>B.1.2</t>
  </si>
  <si>
    <t>PRIMER NIVEL</t>
  </si>
  <si>
    <t>9.00</t>
  </si>
  <si>
    <t>9.01</t>
  </si>
  <si>
    <t>9.02</t>
  </si>
  <si>
    <t>Columna C1' (0.35m x 0.35m) con hormigón 240 kg/cm2</t>
  </si>
  <si>
    <t>9.03</t>
  </si>
  <si>
    <t>9.04</t>
  </si>
  <si>
    <t>9.05</t>
  </si>
  <si>
    <t>9.06</t>
  </si>
  <si>
    <t>9.07</t>
  </si>
  <si>
    <t>9.08</t>
  </si>
  <si>
    <t>9.09</t>
  </si>
  <si>
    <t>9.10</t>
  </si>
  <si>
    <t>9.11</t>
  </si>
  <si>
    <t>9.12</t>
  </si>
  <si>
    <t>9.13</t>
  </si>
  <si>
    <t>9.14</t>
  </si>
  <si>
    <t>9.15</t>
  </si>
  <si>
    <t>9.16</t>
  </si>
  <si>
    <t>Viga V1 (0.20m x 0.60m) con hormigón 240 kg/cm2</t>
  </si>
  <si>
    <t>9.17</t>
  </si>
  <si>
    <t>Viga V1'  (0.20m x 0.55m) con hormigón 240 kg/cm2</t>
  </si>
  <si>
    <t>9.18</t>
  </si>
  <si>
    <t>Viga V2  (0.20m x 0.55m) con hormigón 240 kg/cm2</t>
  </si>
  <si>
    <t>9.19</t>
  </si>
  <si>
    <t>Viga V2'  (0.20m x 0.40m) con hormigón 240 kg/cm2</t>
  </si>
  <si>
    <t>9.20</t>
  </si>
  <si>
    <t>Viga V3  (0.20m x 0.55m) con hormigón 240 kg/cm2</t>
  </si>
  <si>
    <t>9.21</t>
  </si>
  <si>
    <t>Viga V3'  (0.20m x 0.40m) con hormigón 240 kg/cm2</t>
  </si>
  <si>
    <t>9.22</t>
  </si>
  <si>
    <t>Viga V4  (0.20m x 0.55m) con hormigón 240 kg/cm2</t>
  </si>
  <si>
    <t>9.23</t>
  </si>
  <si>
    <t>Viga V5  (0.20m x 0.55m) con hormigón 240 kg/cm2</t>
  </si>
  <si>
    <t>9.24</t>
  </si>
  <si>
    <t>Viga V5'  (0.20m x 0.35m) con hormigón 240 kg/cm2</t>
  </si>
  <si>
    <t>9.25</t>
  </si>
  <si>
    <t>Viga V6 (0.20m x 0.60m) con hormigón 240 kg/cm2</t>
  </si>
  <si>
    <t>9.26</t>
  </si>
  <si>
    <t>Viga V7 (0.20m x 0.70m) con hormigón 240 kg/cm2</t>
  </si>
  <si>
    <t>9.27</t>
  </si>
  <si>
    <t>Viga V8 (0.20m x 0.70m) con hormigón 240 kg/cm2</t>
  </si>
  <si>
    <t>9.28</t>
  </si>
  <si>
    <t>Viga V9 (0.20m x 0.60m) con hormigón 240 kg/cm2</t>
  </si>
  <si>
    <t>9.29</t>
  </si>
  <si>
    <t>Pórtico eje AX (0.25m x 0.60m) con hormigón 240 kg/cm2</t>
  </si>
  <si>
    <t>9.30</t>
  </si>
  <si>
    <t>Pórtico eje AX-1 (0.25m x 0.85m) con hormigón 240 kg/cm2</t>
  </si>
  <si>
    <t>9.31</t>
  </si>
  <si>
    <t>Pórtico eje CX (0.25m x 0.60m) con hormigón 240 kg/cm2</t>
  </si>
  <si>
    <t>9.32</t>
  </si>
  <si>
    <t>Pórtico eje CX-1 (0.25m x 0.85m) con hormigón 240 kg/cm2</t>
  </si>
  <si>
    <t>9.33</t>
  </si>
  <si>
    <t>Pórtico eje EX (0.25m x 0.60m) con hormigón 240 kg/cm2</t>
  </si>
  <si>
    <t>9.34</t>
  </si>
  <si>
    <t>Pórtico eje GX (0.25m x 0.60m) con hormigón 240 kg/cm2</t>
  </si>
  <si>
    <t>9.35</t>
  </si>
  <si>
    <t>Pórtico eje GX-1 (0.25m x 0.85m) con hormigón 240 kg/cm2</t>
  </si>
  <si>
    <t>9.36</t>
  </si>
  <si>
    <t>Pórtico eje HX (0.30m x 0.75m) con hormigón 240 kg/cm2</t>
  </si>
  <si>
    <t>9.37</t>
  </si>
  <si>
    <t>Pórtico eje HX-1 (0.30m x 0.85m) con hormigón 240 kg/cm2</t>
  </si>
  <si>
    <t>9.38</t>
  </si>
  <si>
    <t>Pórtico eje 5Y (0.25m x 0.60m) con hormigón 240 kg/cm2</t>
  </si>
  <si>
    <t>9.39</t>
  </si>
  <si>
    <t>Pórtico eje 6Y (0.25m x 0.60m) con hormigón 240 kg/cm2</t>
  </si>
  <si>
    <t>9.40</t>
  </si>
  <si>
    <t>Pórtico eje 7Y (0.25m x 0.60m) con hormigón 240 kg/cm2</t>
  </si>
  <si>
    <t>9.41</t>
  </si>
  <si>
    <t>Pórtico eje 8Y (0.25m x 0.60m) con hormigón 240 kg/cm2</t>
  </si>
  <si>
    <t>9.42</t>
  </si>
  <si>
    <t>Pórtico eje 9Y (0.25m x 0.60m) con hormigón 240 kg/cm2</t>
  </si>
  <si>
    <t>9.43</t>
  </si>
  <si>
    <t>Pórtico eje 10Y (0.25m x 0.60m) con hormigón 240 kg/cm2</t>
  </si>
  <si>
    <t>9.44</t>
  </si>
  <si>
    <t>Pórtico eje 11Y (0.25m x 0.60m) con hormigón 240 kg/cm2</t>
  </si>
  <si>
    <t>9.45</t>
  </si>
  <si>
    <t>Pórtico eje 12Y (0.25m x 0.60m) con hormigón 240 kg/cm2</t>
  </si>
  <si>
    <t>9.46</t>
  </si>
  <si>
    <t>Viga VA muro 8''  (0.20m x 0.45m) con hormigón 240 kg/cm2</t>
  </si>
  <si>
    <t>9.47</t>
  </si>
  <si>
    <t>Viga VA muro 6''  (0.15m x 0.45m) con hormigón 240 kg/cm2</t>
  </si>
  <si>
    <t>9.48</t>
  </si>
  <si>
    <t>Viga VA muro 8'' enrase (0.20m x 0.45m) con hormigón 240 kg/cm2</t>
  </si>
  <si>
    <t>9.49</t>
  </si>
  <si>
    <t>Viga VA muro 6'' enrase  (0.15m x 0.45m) con hormigón 240 kg/cm2</t>
  </si>
  <si>
    <t>9.50</t>
  </si>
  <si>
    <t>Dintel muro 8'' (0.20m x 0.40m) con hormigón 240 kg/cm2</t>
  </si>
  <si>
    <t>9.51</t>
  </si>
  <si>
    <t>Dintel muro 6'' (0.15m x 0.40m) con hormigón 240 kg/cm2</t>
  </si>
  <si>
    <t>9.52</t>
  </si>
  <si>
    <t>Losa maciza plana e=15 cms con hormigón 240 kg/cm2</t>
  </si>
  <si>
    <t>9.53</t>
  </si>
  <si>
    <t>Losa maciza inclinada e=15 cms con hormigón 240 kg/cm2</t>
  </si>
  <si>
    <t>9.54</t>
  </si>
  <si>
    <t>Losa aligerada de entrepiso e=20 cm, con hormigón 240kg/cm2</t>
  </si>
  <si>
    <t>9.55</t>
  </si>
  <si>
    <t>Rampa de escalera con hormigón 240kg/cm2</t>
  </si>
  <si>
    <t>9.56</t>
  </si>
  <si>
    <t>Conformación de escalones rectos</t>
  </si>
  <si>
    <t>9.57</t>
  </si>
  <si>
    <t>Conformación de escalones curvos</t>
  </si>
  <si>
    <t>7.58</t>
  </si>
  <si>
    <t>Muro Horm. baranda escalera con hormigón 240 kg/cm2</t>
  </si>
  <si>
    <t>7.59</t>
  </si>
  <si>
    <t>ML</t>
  </si>
  <si>
    <t>Junta de construcción, superior e inferior losas (estimado Neopreno EMA-300)</t>
  </si>
  <si>
    <t>Total 9.00</t>
  </si>
  <si>
    <t>10.00</t>
  </si>
  <si>
    <t>10.01</t>
  </si>
  <si>
    <t>Muros (8") AC. Ø 3/8" SNP</t>
  </si>
  <si>
    <t>10.02</t>
  </si>
  <si>
    <t>Muros (6") AC. Ø 3/8" SNP</t>
  </si>
  <si>
    <t>10.03</t>
  </si>
  <si>
    <t>Muros (8") AC. Ø 3/8" SNP de enrase</t>
  </si>
  <si>
    <t>10.04</t>
  </si>
  <si>
    <t>Muros (6") AC. Ø 3/8" SNP de enrase</t>
  </si>
  <si>
    <t>Total 10.00</t>
  </si>
  <si>
    <t>Total B.1.2</t>
  </si>
  <si>
    <t>B.1.3</t>
  </si>
  <si>
    <t>SEGUNDO NIVEL</t>
  </si>
  <si>
    <t>11.00</t>
  </si>
  <si>
    <t>11.01</t>
  </si>
  <si>
    <t>11.02</t>
  </si>
  <si>
    <t>11.03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</si>
  <si>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</si>
  <si>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</si>
  <si>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</si>
  <si>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</si>
  <si>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</si>
  <si>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</si>
  <si>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</si>
  <si>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</si>
  <si>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</si>
  <si>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</si>
  <si>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Pórtico eje AX (0.25m x 0.80m) con hormigón 240 kg/cm2</t>
  </si>
  <si>
    <t>11.14</t>
  </si>
  <si>
    <t>Pórtico eje AX-1 (0.25m x 0.90m) con hormigón 240 kg/cm2</t>
  </si>
  <si>
    <t>11.15</t>
  </si>
  <si>
    <t>11.16</t>
  </si>
  <si>
    <t>Pórtico eje CX' (0.25m x 0.60m) con hormigón 240 kg/cm2</t>
  </si>
  <si>
    <t>11.17</t>
  </si>
  <si>
    <t>Pórtico eje CX-1 (0.25m x 0.90m) con hormigón 240 kg/cm2</t>
  </si>
  <si>
    <t>11.18</t>
  </si>
  <si>
    <t>11.19</t>
  </si>
  <si>
    <t>11.20</t>
  </si>
  <si>
    <t>Pórtico eje GX' (0.25m x 0.60m) con hormigón 240 kg/cm2</t>
  </si>
  <si>
    <t>11.21</t>
  </si>
  <si>
    <t>Pórtico eje GX-1 (0.25m x 0.90m) con hormigón 240 kg/cm2</t>
  </si>
  <si>
    <t>11.22</t>
  </si>
  <si>
    <t>Pórtico eje HX (0.30m x 0.80m) con hormigón 240 kg/cm2</t>
  </si>
  <si>
    <t>11.23</t>
  </si>
  <si>
    <t>Pórtico eje HX-1 (0.30m x 0.75m) con hormigón 240 kg/cm2</t>
  </si>
  <si>
    <t>11.24</t>
  </si>
  <si>
    <t>11.25</t>
  </si>
  <si>
    <t>11.26</t>
  </si>
  <si>
    <t>11.27</t>
  </si>
  <si>
    <t>11.28</t>
  </si>
  <si>
    <t>11.29</t>
  </si>
  <si>
    <t>Pórtico eje 11Y (0.30m x 0.75m) con hormigón 240 kg/cm2</t>
  </si>
  <si>
    <t>11.30</t>
  </si>
  <si>
    <t>Pórtico eje 12Y (0.30m x 0.80m) con hormigón 240 kg/cm2</t>
  </si>
  <si>
    <t>11.31</t>
  </si>
  <si>
    <t>11.32</t>
  </si>
  <si>
    <t>11.33</t>
  </si>
  <si>
    <t>11.34</t>
  </si>
  <si>
    <t>11.35</t>
  </si>
  <si>
    <t>11.36</t>
  </si>
  <si>
    <t>11.37</t>
  </si>
  <si>
    <t>11.38</t>
  </si>
  <si>
    <t>Losa maciza plana e=15 cms con hormigón 240 kg/cm2 (Cúspide de techo)</t>
  </si>
  <si>
    <t>11.39</t>
  </si>
  <si>
    <t>Total 11.00</t>
  </si>
  <si>
    <t>12.00</t>
  </si>
  <si>
    <t>12.01</t>
  </si>
  <si>
    <t>12.02</t>
  </si>
  <si>
    <t>12.03</t>
  </si>
  <si>
    <t>12.04</t>
  </si>
  <si>
    <t>12.05</t>
  </si>
  <si>
    <t>Muros (4") AC. Ø 3/8" SNP (jardineras)</t>
  </si>
  <si>
    <t>Total 12.00</t>
  </si>
  <si>
    <t>Total B.1.3</t>
  </si>
  <si>
    <t>Total B.1</t>
  </si>
  <si>
    <t>B.2</t>
  </si>
  <si>
    <t>TERMINACIONES EN MUROS Y TECHOS</t>
  </si>
  <si>
    <t>B.2.1</t>
  </si>
  <si>
    <t>13.00</t>
  </si>
  <si>
    <t>Terminaciones de superficies de muros, columnas y vigas</t>
  </si>
  <si>
    <t>13.01</t>
  </si>
  <si>
    <t>Fraguache de columnas, vigas y dinteles</t>
  </si>
  <si>
    <t>13.02</t>
  </si>
  <si>
    <t>Fraguache de muro de hormigón</t>
  </si>
  <si>
    <t>13.03</t>
  </si>
  <si>
    <t>Pañete maestreado en vigas y columnas</t>
  </si>
  <si>
    <t>13.04</t>
  </si>
  <si>
    <t>Pañete maestreado en muros de hormigón</t>
  </si>
  <si>
    <t>13.05</t>
  </si>
  <si>
    <t>Pañete maestreado en muros interior</t>
  </si>
  <si>
    <t>13.06</t>
  </si>
  <si>
    <t>Pañete maestreado en muros exteriores</t>
  </si>
  <si>
    <t>13.07</t>
  </si>
  <si>
    <t>Pañete sin terminación en muros interior y exteriores</t>
  </si>
  <si>
    <t>13.08</t>
  </si>
  <si>
    <t>Pañete maestreado debajo de escalera</t>
  </si>
  <si>
    <t>13.09</t>
  </si>
  <si>
    <t>Cantos curvos</t>
  </si>
  <si>
    <t>13.10</t>
  </si>
  <si>
    <t>Mochetas en general</t>
  </si>
  <si>
    <t>13.11</t>
  </si>
  <si>
    <t>Recrecido de muros con mortero (estimado)</t>
  </si>
  <si>
    <t>Total 13.00</t>
  </si>
  <si>
    <t>14.00</t>
  </si>
  <si>
    <t>Terminaciones de superficies de techos</t>
  </si>
  <si>
    <t>14.01</t>
  </si>
  <si>
    <t>Fraguache de techos</t>
  </si>
  <si>
    <t>14.02</t>
  </si>
  <si>
    <t>Pañete maestreado en techos (vuelos)</t>
  </si>
  <si>
    <t>14.03</t>
  </si>
  <si>
    <t>Terminación mocheta en vuelo</t>
  </si>
  <si>
    <t>14.04</t>
  </si>
  <si>
    <t>Terminación de antepecho 0.20m</t>
  </si>
  <si>
    <t>14.05</t>
  </si>
  <si>
    <t>Fino en techos planos</t>
  </si>
  <si>
    <t>14.06</t>
  </si>
  <si>
    <t>Fino en techos inclinados</t>
  </si>
  <si>
    <t>14.07</t>
  </si>
  <si>
    <t>Zabaletas en techos</t>
  </si>
  <si>
    <t>14.08</t>
  </si>
  <si>
    <t>Impermeabilizante sobre fino techo plano y zabaleta (Master seal)</t>
  </si>
  <si>
    <t>14.09</t>
  </si>
  <si>
    <t>Impermeabilizante sobre fino techo inclinado (Membrana elestomerica)</t>
  </si>
  <si>
    <t>14.10</t>
  </si>
  <si>
    <t>Goteros</t>
  </si>
  <si>
    <t>Total 14.00</t>
  </si>
  <si>
    <t>15.00</t>
  </si>
  <si>
    <t>Estructura ligera</t>
  </si>
  <si>
    <t>Muros</t>
  </si>
  <si>
    <t>15.01</t>
  </si>
  <si>
    <t>Muros de Sheetrock para pocket</t>
  </si>
  <si>
    <t>15.02</t>
  </si>
  <si>
    <t>Fascias en muro pocfet</t>
  </si>
  <si>
    <t>Techos</t>
  </si>
  <si>
    <t>15.03</t>
  </si>
  <si>
    <t>Plafón  de sheetrock plano</t>
  </si>
  <si>
    <t>15.04</t>
  </si>
  <si>
    <t>Plafón  inclinado de Sheetrock (reforzado para madera)</t>
  </si>
  <si>
    <t>15.05</t>
  </si>
  <si>
    <t>Fascias de sheetrock  &gt;60cms</t>
  </si>
  <si>
    <t>15.06</t>
  </si>
  <si>
    <t>Fascias de densglass  40-60cms</t>
  </si>
  <si>
    <t>15.07</t>
  </si>
  <si>
    <t>Plafón plancha verde</t>
  </si>
  <si>
    <t>15.08</t>
  </si>
  <si>
    <t>Plafón Densglass áreas exteriores</t>
  </si>
  <si>
    <t>15.09</t>
  </si>
  <si>
    <t>Plafón Densglass en vuelos</t>
  </si>
  <si>
    <t>Total 15.00</t>
  </si>
  <si>
    <t>16.00</t>
  </si>
  <si>
    <t>Techos en madera</t>
  </si>
  <si>
    <t>Vigas en madera</t>
  </si>
  <si>
    <t>16.01</t>
  </si>
  <si>
    <t>PA</t>
  </si>
  <si>
    <t>Entrance</t>
  </si>
  <si>
    <t>16.02</t>
  </si>
  <si>
    <t>Garage</t>
  </si>
  <si>
    <t>16.03</t>
  </si>
  <si>
    <t>Bedroom 6</t>
  </si>
  <si>
    <t>16.04</t>
  </si>
  <si>
    <t>Bedroom 5</t>
  </si>
  <si>
    <t>16.00.b</t>
  </si>
  <si>
    <t>Malla de Rattan/bambu sitentìca similar al Virosurface</t>
  </si>
  <si>
    <t>16.05</t>
  </si>
  <si>
    <t>Entrada garage</t>
  </si>
  <si>
    <t>Total 16.00</t>
  </si>
  <si>
    <t>17.00</t>
  </si>
  <si>
    <t>Acabados en muros y techos</t>
  </si>
  <si>
    <t>17.01</t>
  </si>
  <si>
    <t>Perrilla blanca en muros interiores</t>
  </si>
  <si>
    <t>17.02</t>
  </si>
  <si>
    <t>Perrilla blanca en muros exteriores</t>
  </si>
  <si>
    <t>17.03</t>
  </si>
  <si>
    <t>Perrilla en mochetas</t>
  </si>
  <si>
    <t>17.04</t>
  </si>
  <si>
    <t>Perrilla en cantos</t>
  </si>
  <si>
    <t>17.05</t>
  </si>
  <si>
    <t>Perrila en columnas</t>
  </si>
  <si>
    <t>17.06</t>
  </si>
  <si>
    <t>Perrila en vigas</t>
  </si>
  <si>
    <t>17.00.b</t>
  </si>
  <si>
    <t>17.07</t>
  </si>
  <si>
    <t>Pintura acrilica en techo</t>
  </si>
  <si>
    <t>17.08</t>
  </si>
  <si>
    <t>Tejas planas Flat 10 Borja -Mid Grey</t>
  </si>
  <si>
    <t>17.09</t>
  </si>
  <si>
    <t>Caballete</t>
  </si>
  <si>
    <t>17.10</t>
  </si>
  <si>
    <t>PL</t>
  </si>
  <si>
    <t>Canaleta y bajantes de aluminio</t>
  </si>
  <si>
    <t>Total 17.00</t>
  </si>
  <si>
    <t>18.00</t>
  </si>
  <si>
    <t>Terminaciones de piso</t>
  </si>
  <si>
    <t>Pisos en Coralina natural blanca  30mx60cm (áreas principales)</t>
  </si>
  <si>
    <t>18.01</t>
  </si>
  <si>
    <t>18.02</t>
  </si>
  <si>
    <t>Closet 1, 2  y 3</t>
  </si>
  <si>
    <t>18.03</t>
  </si>
  <si>
    <t>18.04</t>
  </si>
  <si>
    <t>Bath 6</t>
  </si>
  <si>
    <t>18.05</t>
  </si>
  <si>
    <t>Bath 5</t>
  </si>
  <si>
    <t>18.06</t>
  </si>
  <si>
    <t>18.07</t>
  </si>
  <si>
    <t>Powder room y closet</t>
  </si>
  <si>
    <t>18.08</t>
  </si>
  <si>
    <t>Entertainment</t>
  </si>
  <si>
    <t>18.09</t>
  </si>
  <si>
    <t>Living room</t>
  </si>
  <si>
    <t>18.10</t>
  </si>
  <si>
    <t>Dinning room</t>
  </si>
  <si>
    <t>Pisos en Coralina natural blanca  30mx60cm (áreas exteriores)</t>
  </si>
  <si>
    <t>18.11</t>
  </si>
  <si>
    <t>Terrace</t>
  </si>
  <si>
    <t>18.12</t>
  </si>
  <si>
    <t>Entrada</t>
  </si>
  <si>
    <t>18.13</t>
  </si>
  <si>
    <t>Pasarela</t>
  </si>
  <si>
    <t>Piso en Porcelanato tipo madera (Amazonia 20x120cm USD$35.87)</t>
  </si>
  <si>
    <t>18.14</t>
  </si>
  <si>
    <t>Kitchen</t>
  </si>
  <si>
    <t>18.15</t>
  </si>
  <si>
    <t>Back Kitchen</t>
  </si>
  <si>
    <t>Piso en Porcelanato (blanco brillo 30x60cm USD$15.15)</t>
  </si>
  <si>
    <t>18.16</t>
  </si>
  <si>
    <t>Staff 2</t>
  </si>
  <si>
    <t>18.17</t>
  </si>
  <si>
    <t>Bath Staff 2</t>
  </si>
  <si>
    <t>18.18</t>
  </si>
  <si>
    <t>Bath 1/2</t>
  </si>
  <si>
    <t>18.19</t>
  </si>
  <si>
    <t>Staff  área</t>
  </si>
  <si>
    <t>18.20</t>
  </si>
  <si>
    <t>Staff  1</t>
  </si>
  <si>
    <t>18.21</t>
  </si>
  <si>
    <t>Bath Staff  1</t>
  </si>
  <si>
    <t>18.22</t>
  </si>
  <si>
    <t>Laundry</t>
  </si>
  <si>
    <t>18.23</t>
  </si>
  <si>
    <t>Terraza staff</t>
  </si>
  <si>
    <t>Piso en Vibrazo (color blanco)</t>
  </si>
  <si>
    <t>18.24</t>
  </si>
  <si>
    <t>18.00.f</t>
  </si>
  <si>
    <t>Piso en Coralina loca</t>
  </si>
  <si>
    <t>18.25</t>
  </si>
  <si>
    <t>Patio interior</t>
  </si>
  <si>
    <t>Zócalo en general</t>
  </si>
  <si>
    <t>18.26</t>
  </si>
  <si>
    <t>Zócalos vibrazo 30x30cm</t>
  </si>
  <si>
    <t>28.13</t>
  </si>
  <si>
    <t>Zócalos en pino tratado 5cm</t>
  </si>
  <si>
    <t>28.14</t>
  </si>
  <si>
    <t>Zócalo en coralina 30x60 (áreas exteriores)</t>
  </si>
  <si>
    <t>18.29</t>
  </si>
  <si>
    <t>Zócalo en porcelanato</t>
  </si>
  <si>
    <t>18.00.h</t>
  </si>
  <si>
    <t>Quicios, bordillos y escalón, en general</t>
  </si>
  <si>
    <t>18.31</t>
  </si>
  <si>
    <t>Quicios de coralina natural 30mx60cm</t>
  </si>
  <si>
    <t>18.32</t>
  </si>
  <si>
    <t>Quicios de porcelanato</t>
  </si>
  <si>
    <t>18.33</t>
  </si>
  <si>
    <t>Escalón entrada y patio interior</t>
  </si>
  <si>
    <t>18.34</t>
  </si>
  <si>
    <t>Bordillo de coralina</t>
  </si>
  <si>
    <t>Total 18.00</t>
  </si>
  <si>
    <t>19.00</t>
  </si>
  <si>
    <t>Terminaciones de escaleras</t>
  </si>
  <si>
    <t>Escalera</t>
  </si>
  <si>
    <t>19.01</t>
  </si>
  <si>
    <t>Revestimiento de escalera en coralina clasica</t>
  </si>
  <si>
    <t>Baranda en escalera terminación perrilla</t>
  </si>
  <si>
    <t>19.02</t>
  </si>
  <si>
    <t>Terminación de baranda en perrilla</t>
  </si>
  <si>
    <t>Total 19.00</t>
  </si>
  <si>
    <t>20.00</t>
  </si>
  <si>
    <t>Impermeabilizante</t>
  </si>
  <si>
    <t>20.01</t>
  </si>
  <si>
    <t>Impermeabilizante  en pisos de baño AQUAFIN 1K</t>
  </si>
  <si>
    <t>20.02</t>
  </si>
  <si>
    <t>Impermeabilizante en muros exteriores</t>
  </si>
  <si>
    <t>20.03</t>
  </si>
  <si>
    <t>Impermeabilizante  en muros de baño AQUAFIN 1K</t>
  </si>
  <si>
    <t>20.04</t>
  </si>
  <si>
    <t>Impermeabilizante  en muros interiores AQUAFIN 1K</t>
  </si>
  <si>
    <t>Total 20.00</t>
  </si>
  <si>
    <t>21.00</t>
  </si>
  <si>
    <t>Revestimientos</t>
  </si>
  <si>
    <t>Revestimientos en muros exteriores</t>
  </si>
  <si>
    <t>21.01</t>
  </si>
  <si>
    <t>Suministro y colocación de piedra caliza semi rustica sobre muros exteriores</t>
  </si>
  <si>
    <t>Revestimientos en muros interiores y exteriores</t>
  </si>
  <si>
    <t>21.02</t>
  </si>
  <si>
    <t>Suministro y colocación de piedra caliza semi rustica sobre muros interiores</t>
  </si>
  <si>
    <t>21.03</t>
  </si>
  <si>
    <t>Microcemento en baños principales</t>
  </si>
  <si>
    <t>21.04</t>
  </si>
  <si>
    <t>Porcelanato en baños de Staff</t>
  </si>
  <si>
    <t>21.05</t>
  </si>
  <si>
    <t>Suministro y colocación de piedra caliza semi rustica sobre muros de baños</t>
  </si>
  <si>
    <t>21.06</t>
  </si>
  <si>
    <t>Nicho en baño 5 y 6</t>
  </si>
  <si>
    <t>Total 21.00</t>
  </si>
  <si>
    <t>22.00</t>
  </si>
  <si>
    <t>Suministro de equipos sanitarios y mamparas (estimado)</t>
  </si>
  <si>
    <t>22.01</t>
  </si>
  <si>
    <t>Inodoro TOTO (baños principales)</t>
  </si>
  <si>
    <t>22.02</t>
  </si>
  <si>
    <t>Lavamanos Catalano (baños principales)</t>
  </si>
  <si>
    <t>22.03</t>
  </si>
  <si>
    <t>Griferia Axor (baños principales)</t>
  </si>
  <si>
    <t>22.04</t>
  </si>
  <si>
    <t>Ducha Hansgrohe (baños principales)</t>
  </si>
  <si>
    <t>22.05</t>
  </si>
  <si>
    <t>Accesorios en baños principales (Hansgrohe)</t>
  </si>
  <si>
    <t>22.06</t>
  </si>
  <si>
    <t>Rejilla de piso lineal</t>
  </si>
  <si>
    <t>22.07</t>
  </si>
  <si>
    <t>Rejilla de piso cuadrada</t>
  </si>
  <si>
    <t>22.08</t>
  </si>
  <si>
    <t>Inodoro Bellari (baños de servicio)</t>
  </si>
  <si>
    <t>22.09</t>
  </si>
  <si>
    <t>Lavamanos Bellari (baños de servicio)</t>
  </si>
  <si>
    <t>22.10</t>
  </si>
  <si>
    <t>Griferia Bellari (baños de servicio)</t>
  </si>
  <si>
    <t>22.11</t>
  </si>
  <si>
    <t>Accesorios en 1/2 baños (estimado)</t>
  </si>
  <si>
    <t>22.12</t>
  </si>
  <si>
    <t>Accesorios en baños de servicio (estimado)</t>
  </si>
  <si>
    <t>Equipos de cocinas</t>
  </si>
  <si>
    <t>22.13</t>
  </si>
  <si>
    <t>Fregadero doble Inolux (kitchen)</t>
  </si>
  <si>
    <t>22.14</t>
  </si>
  <si>
    <t>Mezcladora para fregadero Hansgrohe  (kitchen y back kitchen)</t>
  </si>
  <si>
    <t>22.15</t>
  </si>
  <si>
    <t>Lavadero</t>
  </si>
  <si>
    <t>22.16</t>
  </si>
  <si>
    <t>Mezclador àrea de lavadero kholer</t>
  </si>
  <si>
    <t>22.17</t>
  </si>
  <si>
    <t>Fregadero en Back kitchen Staff área  (Inolux)</t>
  </si>
  <si>
    <t>22.18</t>
  </si>
  <si>
    <t>Griferia para vertedero</t>
  </si>
  <si>
    <t>Mamparas en baños</t>
  </si>
  <si>
    <t>22.19</t>
  </si>
  <si>
    <t>Mampara en baño 5</t>
  </si>
  <si>
    <t>22.20</t>
  </si>
  <si>
    <t>Mampara en baño 6</t>
  </si>
  <si>
    <t>22.21</t>
  </si>
  <si>
    <t>Mampara en baño en staff</t>
  </si>
  <si>
    <t>Total 22.00</t>
  </si>
  <si>
    <t>Total B.2.1</t>
  </si>
  <si>
    <t>B.2.2</t>
  </si>
  <si>
    <t>23.00</t>
  </si>
  <si>
    <t>23.01</t>
  </si>
  <si>
    <t>23.02</t>
  </si>
  <si>
    <t>23.03</t>
  </si>
  <si>
    <t>23.04</t>
  </si>
  <si>
    <t>23.05</t>
  </si>
  <si>
    <t>23.06</t>
  </si>
  <si>
    <t>23.07</t>
  </si>
  <si>
    <t>23.08</t>
  </si>
  <si>
    <t>23.09</t>
  </si>
  <si>
    <t>23.10</t>
  </si>
  <si>
    <t>Total 23.00</t>
  </si>
  <si>
    <t>24.00</t>
  </si>
  <si>
    <t>24.01</t>
  </si>
  <si>
    <t>24.02</t>
  </si>
  <si>
    <t>24.03</t>
  </si>
  <si>
    <t>24.04</t>
  </si>
  <si>
    <t>24.05</t>
  </si>
  <si>
    <t>24.06</t>
  </si>
  <si>
    <t>24.07</t>
  </si>
  <si>
    <t>24.08</t>
  </si>
  <si>
    <t>24.09</t>
  </si>
  <si>
    <t>24.10</t>
  </si>
  <si>
    <t>Total 24.00</t>
  </si>
  <si>
    <t>25.00</t>
  </si>
  <si>
    <t>25.01</t>
  </si>
  <si>
    <t>Colocación Hyrib en muro cuvo (baño master)</t>
  </si>
  <si>
    <t>25.02</t>
  </si>
  <si>
    <t>Muros de Sheetrock</t>
  </si>
  <si>
    <t>25.03</t>
  </si>
  <si>
    <t>25.04</t>
  </si>
  <si>
    <t>Plafón  inclinado en Sheetrock (reforzado para madera)</t>
  </si>
  <si>
    <t>25.05</t>
  </si>
  <si>
    <t>Plafón  inclinado en Densglass (reforzado para madera)</t>
  </si>
  <si>
    <t>25.06</t>
  </si>
  <si>
    <t>Plafón de Sheetrock plano</t>
  </si>
  <si>
    <t>25.07</t>
  </si>
  <si>
    <t>Plafón plancha verde en baños</t>
  </si>
  <si>
    <t>25.08</t>
  </si>
  <si>
    <t>25.09</t>
  </si>
  <si>
    <t>25.10</t>
  </si>
  <si>
    <t>Total 25.00</t>
  </si>
  <si>
    <t>26.00</t>
  </si>
  <si>
    <t>26.01</t>
  </si>
  <si>
    <t>Salón doble altura</t>
  </si>
  <si>
    <t>26.02</t>
  </si>
  <si>
    <t>26.03</t>
  </si>
  <si>
    <t>26.04</t>
  </si>
  <si>
    <t>Bedroom 3</t>
  </si>
  <si>
    <t>26.05</t>
  </si>
  <si>
    <t>Master Bedroom 1</t>
  </si>
  <si>
    <t>26.06</t>
  </si>
  <si>
    <t>Master Bedroom 2</t>
  </si>
  <si>
    <t>26.07</t>
  </si>
  <si>
    <t>Bedroom 4</t>
  </si>
  <si>
    <t>Malla de Rattan/bambu sitentica similar al Virosurface</t>
  </si>
  <si>
    <t>26.08</t>
  </si>
  <si>
    <t>Pasillo</t>
  </si>
  <si>
    <t>Total 26.00</t>
  </si>
  <si>
    <t>27.00</t>
  </si>
  <si>
    <t>Acabados de superficies</t>
  </si>
  <si>
    <t>27.01</t>
  </si>
  <si>
    <t>27.02</t>
  </si>
  <si>
    <t>27.03</t>
  </si>
  <si>
    <t>27.04</t>
  </si>
  <si>
    <t>27.05</t>
  </si>
  <si>
    <t>27.06</t>
  </si>
  <si>
    <t>27.07</t>
  </si>
  <si>
    <t>27.08</t>
  </si>
  <si>
    <t>27.09</t>
  </si>
  <si>
    <t>27.10</t>
  </si>
  <si>
    <t>Total 27.00</t>
  </si>
  <si>
    <t>28.00</t>
  </si>
  <si>
    <t>Pisos en Coralina natural blanca  30mx60cm</t>
  </si>
  <si>
    <t>28.01</t>
  </si>
  <si>
    <t>28.02</t>
  </si>
  <si>
    <t>Bathroom  4</t>
  </si>
  <si>
    <t>28.03</t>
  </si>
  <si>
    <t>Master Bathroom 1</t>
  </si>
  <si>
    <t>28.04</t>
  </si>
  <si>
    <t>Master 1</t>
  </si>
  <si>
    <t>28.05</t>
  </si>
  <si>
    <t>Master Closet 1</t>
  </si>
  <si>
    <t>28.06</t>
  </si>
  <si>
    <t>28.07</t>
  </si>
  <si>
    <t>Doble altura</t>
  </si>
  <si>
    <t>28.08</t>
  </si>
  <si>
    <t>28.09</t>
  </si>
  <si>
    <t>Bathroom 3</t>
  </si>
  <si>
    <t>28.10</t>
  </si>
  <si>
    <t>28.11</t>
  </si>
  <si>
    <t>Master Bathroom 2</t>
  </si>
  <si>
    <t>28.12</t>
  </si>
  <si>
    <t>28.15</t>
  </si>
  <si>
    <t>28.16</t>
  </si>
  <si>
    <t>Total 28.00</t>
  </si>
  <si>
    <t>29.00</t>
  </si>
  <si>
    <t>Impermeabilizantes</t>
  </si>
  <si>
    <t>29.01</t>
  </si>
  <si>
    <t>Impermeabilizante  en pisos  AQUAFIN 1K</t>
  </si>
  <si>
    <t>29.02</t>
  </si>
  <si>
    <t>Impermeabilizante  en muros de baño  AQUAFIN 1K</t>
  </si>
  <si>
    <t>29.03</t>
  </si>
  <si>
    <t>Impermeabilizante  en muros interiores  AQUAFIN 1K</t>
  </si>
  <si>
    <t>Total 29.00</t>
  </si>
  <si>
    <t>30.00</t>
  </si>
  <si>
    <t>30.01</t>
  </si>
  <si>
    <t>Revestimientos en muros interiores</t>
  </si>
  <si>
    <t>30.02</t>
  </si>
  <si>
    <t>30.03</t>
  </si>
  <si>
    <t>30.04</t>
  </si>
  <si>
    <t>30.05</t>
  </si>
  <si>
    <t>Nicho en baños master 02, bathroom 03 y bathroom 04</t>
  </si>
  <si>
    <t>30.06</t>
  </si>
  <si>
    <t>Banco en ducha master terminción microcemento</t>
  </si>
  <si>
    <t>Total 30.00</t>
  </si>
  <si>
    <t>31.00</t>
  </si>
  <si>
    <t>Aparatos sanitarios y mamparas (estimado)</t>
  </si>
  <si>
    <t>Aparato sanitarios</t>
  </si>
  <si>
    <t>31.01</t>
  </si>
  <si>
    <t>31.02</t>
  </si>
  <si>
    <t>31.03</t>
  </si>
  <si>
    <t>31.04</t>
  </si>
  <si>
    <t>31.05</t>
  </si>
  <si>
    <t>Accesorios en baños principales (Hansgrohe, estimado)</t>
  </si>
  <si>
    <t>31.06</t>
  </si>
  <si>
    <t>31.07</t>
  </si>
  <si>
    <t>31.08</t>
  </si>
  <si>
    <t>Mampara en baño</t>
  </si>
  <si>
    <t>31.09</t>
  </si>
  <si>
    <t>Baño 03</t>
  </si>
  <si>
    <t>31.10</t>
  </si>
  <si>
    <t>Baño master  02</t>
  </si>
  <si>
    <t>31.11</t>
  </si>
  <si>
    <t>Baño master  01</t>
  </si>
  <si>
    <t>31.12</t>
  </si>
  <si>
    <t>Baño 04</t>
  </si>
  <si>
    <t>Total 31.00</t>
  </si>
  <si>
    <t>32.00</t>
  </si>
  <si>
    <t>Miscelaneos</t>
  </si>
  <si>
    <t>Jacuzzi realizado en obra</t>
  </si>
  <si>
    <t>32.01</t>
  </si>
  <si>
    <t>Confección de Jacuzzi en obra con  terminación en microcemento</t>
  </si>
  <si>
    <t>Baranda de madera Eucalipto</t>
  </si>
  <si>
    <t>32.02</t>
  </si>
  <si>
    <t>32.03</t>
  </si>
  <si>
    <t>Terraza</t>
  </si>
  <si>
    <t>Suministro e instalción de PTR refuerzo de puertas pockets y mamparas</t>
  </si>
  <si>
    <t>32.04</t>
  </si>
  <si>
    <t>Refuerzo PTR puertas pocket</t>
  </si>
  <si>
    <t>32.05</t>
  </si>
  <si>
    <t>Refuerzo PTR en mamparas</t>
  </si>
  <si>
    <t>Total 32.00</t>
  </si>
  <si>
    <t>Total B.2.2</t>
  </si>
  <si>
    <t>Total B.2</t>
  </si>
  <si>
    <t>Total B.</t>
  </si>
  <si>
    <t>C.</t>
  </si>
  <si>
    <t>OBRAS EXTERIORES COMPLEMENTARIAS</t>
  </si>
  <si>
    <t>PISCINA</t>
  </si>
  <si>
    <t>33.00</t>
  </si>
  <si>
    <t>Movimiento de tierra de piscina</t>
  </si>
  <si>
    <t>33.01</t>
  </si>
  <si>
    <t>Excavación para fondo de piscina (0.60m)</t>
  </si>
  <si>
    <t>33.02</t>
  </si>
  <si>
    <t>Excavación para cimentaciones de dentellón piscina y zapata de muro de deck</t>
  </si>
  <si>
    <t>33.03</t>
  </si>
  <si>
    <t>Relleno de reposición</t>
  </si>
  <si>
    <t>33.04</t>
  </si>
  <si>
    <t>Relleno compactado losa de piscina y sundeck</t>
  </si>
  <si>
    <t>33.05</t>
  </si>
  <si>
    <t>Relleno compactado losa de piso de deck</t>
  </si>
  <si>
    <t>33.06</t>
  </si>
  <si>
    <t>Barrera de vapor en losa de fondo y deck</t>
  </si>
  <si>
    <t>33.07</t>
  </si>
  <si>
    <t>33.08</t>
  </si>
  <si>
    <t>Total 33.00</t>
  </si>
  <si>
    <t>34.00</t>
  </si>
  <si>
    <t>Hormigón armado de piscina</t>
  </si>
  <si>
    <t>34.01</t>
  </si>
  <si>
    <t>Losa de hormigón fondo de piscina 0.20m con hormigón 240 kg/cm2</t>
  </si>
  <si>
    <t>34.02</t>
  </si>
  <si>
    <t>Muros de hormigón piscina 240 kg/cm2</t>
  </si>
  <si>
    <t>34.03</t>
  </si>
  <si>
    <t>Dentellón de losa, con hormigón 240 kg/cm2</t>
  </si>
  <si>
    <t>34.04</t>
  </si>
  <si>
    <t>34.05</t>
  </si>
  <si>
    <t>Total 34.00</t>
  </si>
  <si>
    <t>35.00</t>
  </si>
  <si>
    <t>35.01</t>
  </si>
  <si>
    <t>Muros (6") AC. Ø 3/8" bnp (deck)</t>
  </si>
  <si>
    <t>35.02</t>
  </si>
  <si>
    <t>Muros (6") AC. Ø 3/8" (Asiento y escalones)</t>
  </si>
  <si>
    <t>Total 35.00</t>
  </si>
  <si>
    <t>36.00</t>
  </si>
  <si>
    <t>Terminaciones de superficies</t>
  </si>
  <si>
    <t>36.01</t>
  </si>
  <si>
    <t>Fraguache de superficies de hormigón</t>
  </si>
  <si>
    <t>36.02</t>
  </si>
  <si>
    <t>Pañete maestreado en muros</t>
  </si>
  <si>
    <t>36.07</t>
  </si>
  <si>
    <t>Cantos (General)</t>
  </si>
  <si>
    <t>36.08</t>
  </si>
  <si>
    <t>Mocheta (Canaleta)</t>
  </si>
  <si>
    <t>36.09</t>
  </si>
  <si>
    <t>Fino en fondo de piscina</t>
  </si>
  <si>
    <t>36.10</t>
  </si>
  <si>
    <t>Zabaletas</t>
  </si>
  <si>
    <t>36.11</t>
  </si>
  <si>
    <t>Conformación de escalones en piscina</t>
  </si>
  <si>
    <t>36.12</t>
  </si>
  <si>
    <t>Conformación de asiento en piscina</t>
  </si>
  <si>
    <t>Total 36.00</t>
  </si>
  <si>
    <t>37.00</t>
  </si>
  <si>
    <t>Revestinientos y acbados</t>
  </si>
  <si>
    <t>37.01</t>
  </si>
  <si>
    <t>Bordillos de coralina 0.30m x 0.60m</t>
  </si>
  <si>
    <t>37.02</t>
  </si>
  <si>
    <t>Cenefa de coralina 0.30m x 0.60m</t>
  </si>
  <si>
    <t>37.03</t>
  </si>
  <si>
    <t>Revestimiento de pool coat (Color arena)</t>
  </si>
  <si>
    <t>Total 37.00</t>
  </si>
  <si>
    <t>38.00</t>
  </si>
  <si>
    <t>38.01</t>
  </si>
  <si>
    <t>Impermeabilización en piscina (Aquafin)</t>
  </si>
  <si>
    <t>38.02</t>
  </si>
  <si>
    <t>Junta de Waterproof</t>
  </si>
  <si>
    <t>Total 38.00</t>
  </si>
  <si>
    <t>Total C.1.1</t>
  </si>
  <si>
    <t>FUENTE DE AGUA</t>
  </si>
  <si>
    <t>39.00</t>
  </si>
  <si>
    <t>39.01</t>
  </si>
  <si>
    <t>39.02</t>
  </si>
  <si>
    <t>Total 39.00</t>
  </si>
  <si>
    <t>40.00</t>
  </si>
  <si>
    <t>Terminaciones</t>
  </si>
  <si>
    <t>40.01</t>
  </si>
  <si>
    <t>40.02</t>
  </si>
  <si>
    <t>40.03</t>
  </si>
  <si>
    <t>Cantos</t>
  </si>
  <si>
    <t>40.04</t>
  </si>
  <si>
    <t>Mocheta</t>
  </si>
  <si>
    <t>40.05</t>
  </si>
  <si>
    <t>Fino en fondo</t>
  </si>
  <si>
    <t>40.06</t>
  </si>
  <si>
    <t>Total 40.00</t>
  </si>
  <si>
    <t>41.00</t>
  </si>
  <si>
    <t>Revestimientos y acabados</t>
  </si>
  <si>
    <t>41.01</t>
  </si>
  <si>
    <t>Suministro y colocación de piedra caliza semi rustica sobre muros</t>
  </si>
  <si>
    <t>41.02</t>
  </si>
  <si>
    <t>Bordillos de fuente</t>
  </si>
  <si>
    <t>41.03</t>
  </si>
  <si>
    <t>Suministro y apliacación de perrilla en muro relieve con arco</t>
  </si>
  <si>
    <t>Total 41.00</t>
  </si>
  <si>
    <t>42.00</t>
  </si>
  <si>
    <t>50.01</t>
  </si>
  <si>
    <t>Impermeabilización</t>
  </si>
  <si>
    <t>50.02</t>
  </si>
  <si>
    <t>50.03</t>
  </si>
  <si>
    <t>Suministro de llaves de chorro en fuente (estimado hansgrohe vivenes)</t>
  </si>
  <si>
    <t>Total 42.00</t>
  </si>
  <si>
    <t>Total C.1.3</t>
  </si>
  <si>
    <t>Total C.1</t>
  </si>
  <si>
    <t>CIRCULACIONES EXTERIORES (DRIVEWAY Y CAMINOS)</t>
  </si>
  <si>
    <t>43.00</t>
  </si>
  <si>
    <t>Driveway</t>
  </si>
  <si>
    <t>43.01</t>
  </si>
  <si>
    <t>Compacted fill (0.10 m) for driveway</t>
  </si>
  <si>
    <t>43.02</t>
  </si>
  <si>
    <t>Suministro e instalación de gramaquin</t>
  </si>
  <si>
    <t>Total 43.00</t>
  </si>
  <si>
    <t>Total C.3</t>
  </si>
  <si>
    <t>OBRAS CIVILES COMPLEMENTARIAS</t>
  </si>
  <si>
    <t>44.00</t>
  </si>
  <si>
    <t>Obras civiles complementarias</t>
  </si>
  <si>
    <t>44.01</t>
  </si>
  <si>
    <t>Registros eléctricos</t>
  </si>
  <si>
    <t>44.02</t>
  </si>
  <si>
    <t>Registros sanitarios</t>
  </si>
  <si>
    <t>44.03</t>
  </si>
  <si>
    <t>Bancadas de aires de acondicionados</t>
  </si>
  <si>
    <t>44.04</t>
  </si>
  <si>
    <t>Trampa de grasa</t>
  </si>
  <si>
    <t>44.05</t>
  </si>
  <si>
    <t>Base de tanque de gas</t>
  </si>
  <si>
    <t>44.06</t>
  </si>
  <si>
    <t>Confección área para zafacones</t>
  </si>
  <si>
    <t>44.07</t>
  </si>
  <si>
    <t>Caseta de calentadores</t>
  </si>
  <si>
    <t>44.08</t>
  </si>
  <si>
    <t>Asiento de arena para instalaciónes (estimada)</t>
  </si>
  <si>
    <t>44.09</t>
  </si>
  <si>
    <t>Cuarto de Maquinas</t>
  </si>
  <si>
    <t>44.10</t>
  </si>
  <si>
    <t>Pozo filtrante</t>
  </si>
  <si>
    <t>Total 44.00</t>
  </si>
  <si>
    <t>Total C.4</t>
  </si>
  <si>
    <t>Total C.</t>
  </si>
  <si>
    <t>INSTALACIONES GENERALES</t>
  </si>
  <si>
    <t>INSTALACIONES TÉCNICAS</t>
  </si>
  <si>
    <t>45.00</t>
  </si>
  <si>
    <t>Instalaciones hidrosanitarias (estimado)</t>
  </si>
  <si>
    <t>45.01</t>
  </si>
  <si>
    <t>Pre instalaciones hidrosanitarias obra gris (estimado)</t>
  </si>
  <si>
    <t>45.02</t>
  </si>
  <si>
    <t>Pre instalaciones hidrosanitarias terminaciones (estimado)</t>
  </si>
  <si>
    <t>46.00</t>
  </si>
  <si>
    <t>Instalaciones electricas (estimado)</t>
  </si>
  <si>
    <t>46.01</t>
  </si>
  <si>
    <t>Instalaciones electricas obra gris (estimado)</t>
  </si>
  <si>
    <t>46.02</t>
  </si>
  <si>
    <t>Instalaciones electricas terminaciones (estimado)</t>
  </si>
  <si>
    <t>46.03</t>
  </si>
  <si>
    <t>Transformador y portacontador (estimado GPC)</t>
  </si>
  <si>
    <t>47.00</t>
  </si>
  <si>
    <t>Instalaciones mécanicas (estimado marca Daikin)</t>
  </si>
  <si>
    <t>47.01</t>
  </si>
  <si>
    <t>Instalaciones mécanicas obra gris (estimado marca Daikin)</t>
  </si>
  <si>
    <t>47.02</t>
  </si>
  <si>
    <t>CARPINTERIA DE MADERA</t>
  </si>
  <si>
    <t>48.00</t>
  </si>
  <si>
    <t>Puertas en madera y herraje</t>
  </si>
  <si>
    <t>48.01</t>
  </si>
  <si>
    <t>Puerta en madera</t>
  </si>
  <si>
    <t>48.02</t>
  </si>
  <si>
    <t>Puertas en closet de madera</t>
  </si>
  <si>
    <t>48.03</t>
  </si>
  <si>
    <t>Herrajes para puertas en madera (estimado)</t>
  </si>
  <si>
    <t>Total 48.00</t>
  </si>
  <si>
    <t>49.00</t>
  </si>
  <si>
    <t>Muro de Celosia</t>
  </si>
  <si>
    <t>Total D.2</t>
  </si>
  <si>
    <t>D.4</t>
  </si>
  <si>
    <t>MOBILIARIOS DE COCINAS, LAVANDERIA Y BAÑOS</t>
  </si>
  <si>
    <t>50.00</t>
  </si>
  <si>
    <t>Muebles de cocina fría, cocina caliente y lavanderia</t>
  </si>
  <si>
    <t>50.04</t>
  </si>
  <si>
    <t>Lavanderia en MDF (Kitchenarte)</t>
  </si>
  <si>
    <t>Total 50.00</t>
  </si>
  <si>
    <t>51.00</t>
  </si>
  <si>
    <t>Muebles de baños</t>
  </si>
  <si>
    <t>51.01</t>
  </si>
  <si>
    <t>Mueble de baño master 1</t>
  </si>
  <si>
    <t>51.02</t>
  </si>
  <si>
    <t>Repisa de madera baño master 2</t>
  </si>
  <si>
    <t>51.03</t>
  </si>
  <si>
    <t>Repisa de madera baño 3, 4, 5 y 6</t>
  </si>
  <si>
    <t>51.04</t>
  </si>
  <si>
    <t>Repisa de madera baño visitas</t>
  </si>
  <si>
    <t>51.05</t>
  </si>
  <si>
    <t>Muebles de baño de servicios</t>
  </si>
  <si>
    <t>Total 51.00</t>
  </si>
  <si>
    <t>Total D.4</t>
  </si>
  <si>
    <t>TOPES DE MOBILIARIOS</t>
  </si>
  <si>
    <t>52.00</t>
  </si>
  <si>
    <t>Topes de cocina fría, cocina caliente, de servicios y lavanderia</t>
  </si>
  <si>
    <t>52.01</t>
  </si>
  <si>
    <t>Tope de cocina fria, (Ethereal Glow Silestone)</t>
  </si>
  <si>
    <t>52.02</t>
  </si>
  <si>
    <t>Tope de cocina caliente, (Ethereal Glow Silestone)</t>
  </si>
  <si>
    <t>52.03</t>
  </si>
  <si>
    <t>Tope de cocina area de servicios, (Ethereal Glow Silestone)</t>
  </si>
  <si>
    <t>52.04</t>
  </si>
  <si>
    <t>Tope de cocina lavanderia, (Ethereal Glow Silestone)</t>
  </si>
  <si>
    <t>Total 52.00</t>
  </si>
  <si>
    <t>53.00</t>
  </si>
  <si>
    <t>Topes de baños</t>
  </si>
  <si>
    <t>53.01</t>
  </si>
  <si>
    <t>53.02</t>
  </si>
  <si>
    <t>53.03</t>
  </si>
  <si>
    <t>Tope de coralina, baño 3, 1.60m x 0.60m</t>
  </si>
  <si>
    <t>53.04</t>
  </si>
  <si>
    <t>Tope de coralina, baño 4, 5 y 6, 1.60m x 0.60m</t>
  </si>
  <si>
    <t>53.05</t>
  </si>
  <si>
    <t>Tope de coralina, baño de visita, 1.00m x 0.60m</t>
  </si>
  <si>
    <t>Total 53.00</t>
  </si>
  <si>
    <t>Total D.5</t>
  </si>
  <si>
    <t>Total D.</t>
  </si>
  <si>
    <t>Total NAS-9.1</t>
  </si>
  <si>
    <t>NAS-9.2</t>
  </si>
  <si>
    <t>COSTOS INDIRECTOS</t>
  </si>
  <si>
    <t>E.</t>
  </si>
  <si>
    <t>E.1</t>
  </si>
  <si>
    <t>Guarda almacén</t>
  </si>
  <si>
    <t>E.2</t>
  </si>
  <si>
    <t>Uso de servicios (agua y electricidad)</t>
  </si>
  <si>
    <t>E.3</t>
  </si>
  <si>
    <t>Maestría</t>
  </si>
  <si>
    <t>E.4</t>
  </si>
  <si>
    <t>Sereno</t>
  </si>
  <si>
    <t>E.5</t>
  </si>
  <si>
    <t>%</t>
  </si>
  <si>
    <t>Seguro social, plan de pensiones y codia</t>
  </si>
  <si>
    <t>E.6</t>
  </si>
  <si>
    <t>Gastos administrativos</t>
  </si>
  <si>
    <t>E.7</t>
  </si>
  <si>
    <t>Transporte</t>
  </si>
  <si>
    <t>E.8</t>
  </si>
  <si>
    <t>Dirección técnica y respons.</t>
  </si>
  <si>
    <t>Total E.</t>
  </si>
  <si>
    <t>Total NAS-9.2</t>
  </si>
  <si>
    <t>Total NAS-9</t>
  </si>
  <si>
    <t>General budget</t>
  </si>
  <si>
    <t>DIRECT COSTS</t>
  </si>
  <si>
    <t xml:space="preserve">PRELIMINARY WORKS </t>
  </si>
  <si>
    <t>Preliminary Works</t>
  </si>
  <si>
    <t>Resume</t>
  </si>
  <si>
    <t>Fumigation (foundations)</t>
  </si>
  <si>
    <t>Lot cleaning</t>
  </si>
  <si>
    <t>Topography</t>
  </si>
  <si>
    <t>On site layout</t>
  </si>
  <si>
    <t>Site Recognition</t>
  </si>
  <si>
    <t xml:space="preserve">Worksite enclosure </t>
  </si>
  <si>
    <t>Portable bath (One unit)</t>
  </si>
  <si>
    <t>On site office and warehouse</t>
  </si>
  <si>
    <t>Continuous cleaning on worksite</t>
  </si>
  <si>
    <t>Concrete sampling and testing</t>
  </si>
  <si>
    <t>Miscellaneous</t>
  </si>
  <si>
    <t>Provisional works</t>
  </si>
  <si>
    <t>Land conditioning</t>
  </si>
  <si>
    <t>MAIN BUILDING (HOUSE)</t>
  </si>
  <si>
    <t>FOUNDATIONS &amp; STRUCTURE</t>
  </si>
  <si>
    <t>LEVEL CERO (UNDERGROUND)</t>
  </si>
  <si>
    <t>Earthworks</t>
  </si>
  <si>
    <t>Footing excavations (columns)</t>
  </si>
  <si>
    <t>Footing excavations (walls)</t>
  </si>
  <si>
    <t>Interior compacted backfill (1.00 m)</t>
  </si>
  <si>
    <t>Backfill replacement in column and wall footings</t>
  </si>
  <si>
    <t>Removal of debris</t>
  </si>
  <si>
    <t>Vapor barrier on columns and wall footing</t>
  </si>
  <si>
    <t>Vapor barrier on slab floor</t>
  </si>
  <si>
    <t>Compacted lot fill (0.40 m + 0.20 m cleaning layer)</t>
  </si>
  <si>
    <t>Exterior backfill (0.80 m)</t>
  </si>
  <si>
    <r>
      <rPr>
        <b/>
        <sz val="12"/>
        <rFont val="Calibri"/>
        <family val="2"/>
      </rPr>
      <t>Proyect:</t>
    </r>
    <r>
      <rPr>
        <sz val="12"/>
        <rFont val="Calibri"/>
        <family val="2"/>
      </rPr>
      <t xml:space="preserve"> Nasas 9</t>
    </r>
  </si>
  <si>
    <r>
      <rPr>
        <b/>
        <sz val="12"/>
        <rFont val="Calibri"/>
        <family val="2"/>
      </rPr>
      <t>Location:</t>
    </r>
    <r>
      <rPr>
        <sz val="12"/>
        <rFont val="Calibri"/>
        <family val="2"/>
      </rPr>
      <t xml:space="preserve"> Lagos, Punta Cana.</t>
    </r>
  </si>
  <si>
    <r>
      <rPr>
        <b/>
        <sz val="12"/>
        <rFont val="Calibri"/>
        <family val="2"/>
      </rPr>
      <t>Date:</t>
    </r>
    <r>
      <rPr>
        <sz val="12"/>
        <rFont val="Calibri"/>
        <family val="2"/>
      </rPr>
      <t xml:space="preserve"> 19 Diciembre 2025</t>
    </r>
  </si>
  <si>
    <t>Footing Z1 (1.35m x 1.35m x 0.40m) with 210 kg/cm² concrete</t>
  </si>
  <si>
    <t>Footing  Z2 (1.50m x 1.30m x 0.40m) with 210 kg/cm² concrete</t>
  </si>
  <si>
    <t>Footing  Z3 (1.60m x 1.25m x 0.40m) with 210 kg/cm² concrete</t>
  </si>
  <si>
    <t>Footing  Z4 (1.80m x 1.30m x 0.40m) with 210 kg/cm² concrete</t>
  </si>
  <si>
    <t>Footing  Z5 (2.20m x 1.25m x 0.40m) with 210 kg/cm² concrete</t>
  </si>
  <si>
    <t>Footing Z6 (1.20m x 1.60m x 0.40m) with 210 kg/cm² concrete</t>
  </si>
  <si>
    <t>Footing  Z7 (2.05m x 1.60m x 0.40m) with 210 kg/cm² concrete</t>
  </si>
  <si>
    <t>Footing  Z8 (3.55m x 2.60m x 0.40m) with 210 kg/cm² concrete</t>
  </si>
  <si>
    <t>Footing  Z9 (1.90m x 2.60m x 0.40m) with 210 kg/cm² concrete</t>
  </si>
  <si>
    <t>Footing  Z9' (2.10m x 3.80m x 0.40m) with 210 kg/cm² concrete</t>
  </si>
  <si>
    <t>Footing  Z10 (1.10m x 1.10m x 0.40m) with 210 kg/cm² concrete</t>
  </si>
  <si>
    <t>Footing  Z11 (1.25m x 1.25m x 0.35m)  with 210 kg/cm² concrete</t>
  </si>
  <si>
    <t>Footing  Z12 (3.95m x 2.80m x 0.40m) with 210 kg/cm² concrete</t>
  </si>
  <si>
    <t>Footing  Z12' (1.80m x 1.35m x 0.40m)  with 210 kg/cm² concrete</t>
  </si>
  <si>
    <t>Footing  Z14 (2.25m x 1.35m x 0.40m)  with 210 kg/cm² concrete</t>
  </si>
  <si>
    <t>Footing  Z15 (2.25m x 1.60m x 0.40m) with 210 kg/cm² concrete</t>
  </si>
  <si>
    <t>8'' Wall footings, 0.60m x 0.30m, with 210 kg/cm² concrete</t>
  </si>
  <si>
    <t>6'' Wall footings, 0.60m x 0.30m, with 210 kg/cm² concrete</t>
  </si>
  <si>
    <t>Stair footing 1.65m x 0.60m x 0.30m, with 210 kg/cm² concrete</t>
  </si>
  <si>
    <t>Column C1(0.35m x 0.35m) with 240 kg/cm² concrete</t>
  </si>
  <si>
    <t>Column C2 (0.60m x 0.20m)with 240 kg/cm² concrete</t>
  </si>
  <si>
    <t>Column C3 (0.30m x 0.30m) with 240 kg/cm² concrete</t>
  </si>
  <si>
    <t>Column C4 (0.60m x 0.25m) with 240 kg/cm² concrete</t>
  </si>
  <si>
    <t>Column C5 (0.25m x 0.25m) with 240 kg/cm² concrete</t>
  </si>
  <si>
    <t>Column C6 (0.50m x 0.30m) with 240 kg/cm² concrete</t>
  </si>
  <si>
    <t>Column C7 (0.60m x 0.25m) with 240 kg/cm² concrete</t>
  </si>
  <si>
    <t>Column CA (0.20m x 0.20m)with 240 kg/cm² concrete</t>
  </si>
  <si>
    <t>Concrete wall MH1 (0.80m x 0.30m), with 240 kg/cm² concrete</t>
  </si>
  <si>
    <t>Concrete wall MH2 (1.20m x 0.25m), with 240 kg/cm² concrete</t>
  </si>
  <si>
    <t>Concrete wall MH3 L shaped (2.60m x 0.25m), with 240 kg/cm² concrete</t>
  </si>
  <si>
    <t>Concrete wall MH4 (1.80m x 0.30m), with 240 kg/cm² concrete</t>
  </si>
  <si>
    <t>Concrete wall MH5 (1.00m x 0.30m), with 240 kg/cm² concrete</t>
  </si>
  <si>
    <t>Wooden formwork to stabilize steel</t>
  </si>
  <si>
    <t>Tie beam BFL, (0.15m x 0.20m) with 240 kg/cm² concrete</t>
  </si>
  <si>
    <t>Tie beam BFL, (0.20m x 0.20m) with 240 kg/cm² concrete</t>
  </si>
  <si>
    <t>Floor slab, thickness = 0.10 m, with 210 kg/cm² concrete</t>
  </si>
  <si>
    <t>Block Walls (6") AC. Ø 3/8" BFL</t>
  </si>
  <si>
    <t>Block Walls (8") AC. Ø 3/8" BFL</t>
  </si>
  <si>
    <t>Column C1' (0.35m x 0.35m) with 240 kg/cm² concrete</t>
  </si>
  <si>
    <t>Beam V1 (0.20m x 0.60m) with 240 kg/cm² concrete</t>
  </si>
  <si>
    <t>Beam V1' (0.20m x 0.55m) with 240 kg/cm² concrete</t>
  </si>
  <si>
    <t>Beam V2 (0.20m x 0.55m) with 240 kg/cm² concrete</t>
  </si>
  <si>
    <t>Beam V2' (0.20m x 0.40m) with 240 kg/cm² concrete</t>
  </si>
  <si>
    <t>Beam V3 (0.20m x 0.55m) with 240 kg/cm² concrete</t>
  </si>
  <si>
    <t>Beam V3' (0.20m x 0.40m) with 240 kg/cm² concrete</t>
  </si>
  <si>
    <t>Beam V4 (0.20m x 0.55m) with 240 kg/cm² concrete</t>
  </si>
  <si>
    <t>Beam V5 (0.20m x 0.55m) with 240 kg/cm² concrete</t>
  </si>
  <si>
    <t>Beam V5' (0.20m x 0.35m) with 240 kg/cm² concrete</t>
  </si>
  <si>
    <t>Beam V6 (0.20m x 0.60m) with 240 kg/cm² concrete</t>
  </si>
  <si>
    <t>Beam V7 (0.20m x 0.70m) with 240 kg/cm² concrete</t>
  </si>
  <si>
    <t>Beam V8 (0.20m x 0.70m) with 240 kg/cm² concrete</t>
  </si>
  <si>
    <t>Beam V9 (0.20m x 0.60m) with 240 kg/cm² concrete</t>
  </si>
  <si>
    <t>Beam axis AX (0.25m x 0.60m) with 240 kg/cm² concrete</t>
  </si>
  <si>
    <t>Beam axis AX-1 (0.25m x 0.85m) with 240 kg/cm² concrete</t>
  </si>
  <si>
    <t>Beam axis CX (0.25m x 0.60m) with 240 kg/cm² concrete</t>
  </si>
  <si>
    <t>Beam axis CX-1 (0.25m x 0.85m) with 240 kg/cm² concrete</t>
  </si>
  <si>
    <t>Beam axis EX (0.25m x 0.60m) with 240 kg/cm² concrete</t>
  </si>
  <si>
    <t>Beam axis GX (0.25m x 0.60m) with 240 kg/cm² concrete</t>
  </si>
  <si>
    <t>Beam axis GX-1 (0.25m x 0.85m)  with 240 kg/cm² concrete</t>
  </si>
  <si>
    <t>Beam axis HX (0.30m x 0.75m) with 240 kg/cm² concrete</t>
  </si>
  <si>
    <t>Beam axis HX-1 (0.30m x 0.85m)  with 240 kg/cm² concrete</t>
  </si>
  <si>
    <t>Beam axis 5Y (0.25m x 0.60m) with 240 kg/cm² concrete</t>
  </si>
  <si>
    <t>Beam axis 6Y (0.25m x 0.60m) with 240 kg/cm² concrete</t>
  </si>
  <si>
    <t>Beam axis 7Y (0.25m x 0.60m) with 240 kg/cm² concrete</t>
  </si>
  <si>
    <t>Beam axis 8Y (0.25m x 0.60m) with 240 kg/cm² concrete</t>
  </si>
  <si>
    <t>Beam axis 9Y (0.25m x 0.60m) with 240 kg/cm² concrete</t>
  </si>
  <si>
    <t>Beam axis 10Y (0.25m x 0.60m) with 240 kg/cm² concrete</t>
  </si>
  <si>
    <t>Beam axis 11Y (0.25m x 0.60m) with 240 kg/cm² concrete</t>
  </si>
  <si>
    <t>Beam axis 12Y (0.25m x 0.60m) with 240 kg/cm² concrete</t>
  </si>
  <si>
    <t>Tie beam up to roof  (0.15m x 0.45m) with 240 kg/cm² concrete</t>
  </si>
  <si>
    <t>Tie beam up to roof  (0.20m x 0.45m) with 240 kg/cm² concrete</t>
  </si>
  <si>
    <t>Tie beam (0.15m x 0.45m) with 240 kg/cm² concrete</t>
  </si>
  <si>
    <t>Tie beam (0.20m x 0.45m) with 240 kg/cm² concrete</t>
  </si>
  <si>
    <t>Lintels 0.15m x 0.40m with 240 kg/cm² concrete</t>
  </si>
  <si>
    <t>Lintels 0.20m x 0.40m with 240 kg/cm² concrete</t>
  </si>
  <si>
    <t>Reinforced concrete slab h=15 cm, with 240 kg/cm² concrete</t>
  </si>
  <si>
    <t>Reinforced concrete inclined slab h=15cm, with 240 kg/cm² concrete</t>
  </si>
  <si>
    <t>Reinforced concrete ribbed slab h=20cm, with 240 kg/cm² concrete</t>
  </si>
  <si>
    <t>Reinforced concrete stair slab ramp h=15cm, with 240 kg/cm² concrete</t>
  </si>
  <si>
    <t>Construction of straight steps</t>
  </si>
  <si>
    <t>Construction of curved steps</t>
  </si>
  <si>
    <t>Construction joint, top and bottom slabs (estimated Neoprene EMA-300)</t>
  </si>
  <si>
    <t>Reinforced Concrete</t>
  </si>
  <si>
    <t>Masonry Walls</t>
  </si>
  <si>
    <t>GROUND FLOOR</t>
  </si>
  <si>
    <t>Block Walls (8") AC. Ø 3/8" AFL</t>
  </si>
  <si>
    <t>Block Walls (6") AC. Ø 3/8" AFL</t>
  </si>
  <si>
    <t>Block Walls (8") AC. Ø 3/8"  AFL up to roof</t>
  </si>
  <si>
    <t>Block Walls (6") AC. Ø 3/8"  AFL up to roof</t>
  </si>
  <si>
    <t>SECOND FLOOR</t>
  </si>
  <si>
    <t>Beam axis AX (0.25m x 0.80m) with 240 kg/cm² concrete</t>
  </si>
  <si>
    <t>Beam axis CX-1 (0.25m x 0.90m) with 240 kg/cm² concrete</t>
  </si>
  <si>
    <t>Beam axis GX' (0.25m x 0.60m) with 240 kg/cm² concrete</t>
  </si>
  <si>
    <t>Beam axis GX-1 (0.25m x 0.90m) with 240 kg/cm² concrete</t>
  </si>
  <si>
    <t>Beam axis AX-1 (0.25m x 0.90m)with 240 kg/cm² concrete</t>
  </si>
  <si>
    <t>Beam axis CX' (0.25m x 0.60m)  with 240 kg/cm² concrete</t>
  </si>
  <si>
    <t>Beam axis EX (0.25m x 0.60m)  with 240 kg/cm² concrete</t>
  </si>
  <si>
    <t>Beam axis HX (0.30m x 0.80m) with 240 kg/cm² concrete</t>
  </si>
  <si>
    <t>Beam axis HX-1 (0.30m x 0.75m) with 240 kg/cm² concrete</t>
  </si>
  <si>
    <t>Beam axis 11Y (0.30m x 0.75m) with 240 kg/cm² concrete</t>
  </si>
  <si>
    <t>Beam axis 12Y (0.30m x 0.80m) with 240 kg/cm² concrete</t>
  </si>
  <si>
    <t>Reinforced concrete slab h=15 cm, with 240 kg/cm² concrete (Roof ridge)</t>
  </si>
  <si>
    <t>Walls (4") RC Ø 3/8" SNP (planters)</t>
  </si>
  <si>
    <t>Fraguache (cement adherence) on concrete columns, beams and lintels</t>
  </si>
  <si>
    <t>Fraguache (cement adherence) on concrete walls</t>
  </si>
  <si>
    <t xml:space="preserve">Cement finish on beams and columns </t>
  </si>
  <si>
    <t>Cement finish on concrete walls</t>
  </si>
  <si>
    <t>Cement finish on interior block walls</t>
  </si>
  <si>
    <t>Cement finish on exterior block walls</t>
  </si>
  <si>
    <t>Unfinished cement plaster on interior and exterior walls</t>
  </si>
  <si>
    <t>Cement finish under the stairs</t>
  </si>
  <si>
    <t>Cement finish on walls edges (curve)</t>
  </si>
  <si>
    <t xml:space="preserve">Cement finish on wall openings (doors &amp; windows) </t>
  </si>
  <si>
    <t>Wall leveling with mortar (estimated)</t>
  </si>
  <si>
    <t>CIVIL FINISHING ON WALLS AND CEILINGS</t>
  </si>
  <si>
    <t>Surface finishes of walls, columns, and beams</t>
  </si>
  <si>
    <t>Roof Finishes:</t>
  </si>
  <si>
    <t>Fraguache (cement adherence) on concrete ceilings</t>
  </si>
  <si>
    <t>Finish of jamb in overhang</t>
  </si>
  <si>
    <t>Cement finish on concrete slab</t>
  </si>
  <si>
    <t>Cement finish (on sloped roof)</t>
  </si>
  <si>
    <t>Cement finish (flat roof)</t>
  </si>
  <si>
    <t>Parapet wall finishing</t>
  </si>
  <si>
    <t>Roof cants</t>
  </si>
  <si>
    <t>Waterproofing on flat roof and roof cants (Master Seal)</t>
  </si>
  <si>
    <t>Waterproofing on sloped roof (Elastomeric membrane)</t>
  </si>
  <si>
    <t>Cement finish on concrete roof</t>
  </si>
  <si>
    <t xml:space="preserve">Lightweight structure </t>
  </si>
  <si>
    <t>Walls</t>
  </si>
  <si>
    <t>Roofs</t>
  </si>
  <si>
    <t>Sheetrock walls for pocket doors</t>
  </si>
  <si>
    <t>Fascias en muro pocket</t>
  </si>
  <si>
    <t>Fascias in Sheetrock for pocket walls</t>
  </si>
  <si>
    <t>Total 15.00-15.01</t>
  </si>
  <si>
    <t>Sloped Sheetrock ceiling (reinforced to support wooden beams)</t>
  </si>
  <si>
    <t>Fascias in DensGlass  40-60cms</t>
  </si>
  <si>
    <t>Fascias in Sheetrock  &gt;60cms</t>
  </si>
  <si>
    <t xml:space="preserve">Flat Sheetrock ceiling </t>
  </si>
  <si>
    <t>Flat Sheetrock ceiling (green board)</t>
  </si>
  <si>
    <t>Flat DensGlass ceiling for exterior area</t>
  </si>
  <si>
    <t>DensGlass ceiling in overhangs</t>
  </si>
  <si>
    <t>Total 15.00-15.02</t>
  </si>
  <si>
    <t>Total 15.03-15.09</t>
  </si>
  <si>
    <t>Wooden ceilings</t>
  </si>
  <si>
    <t>Wooden beams</t>
  </si>
  <si>
    <t>Total 16.01-16.04</t>
  </si>
  <si>
    <t>Garage entrance</t>
  </si>
  <si>
    <t>Synthetic rattan/bamboo mesh, similar to Virosurface</t>
  </si>
  <si>
    <t>Total 16.05</t>
  </si>
  <si>
    <t>Surface finishes for wall</t>
  </si>
  <si>
    <t>Exterior Perrilla jambs</t>
  </si>
  <si>
    <t>White perrilla on exterior walls</t>
  </si>
  <si>
    <t>White perrilla on interior walls</t>
  </si>
  <si>
    <t>Perrilla columns</t>
  </si>
  <si>
    <t>Perrilla beams</t>
  </si>
  <si>
    <t>Perrilla on edges</t>
  </si>
  <si>
    <t>Total 17.01-17.06</t>
  </si>
  <si>
    <t>Total 17.07-17.10</t>
  </si>
  <si>
    <t>White acrylic paint on interior ceilings</t>
  </si>
  <si>
    <t>Roof downspouts, white or brown (Aluminum K-profile)</t>
  </si>
  <si>
    <t>Roof ridges tiles</t>
  </si>
  <si>
    <t>Floor finishes</t>
  </si>
  <si>
    <t>Classic coraline stone floor 0.30m x 0.60m Sup US$28.33</t>
  </si>
  <si>
    <t>Total 18.01-18.10</t>
  </si>
  <si>
    <t>Entrance exterior</t>
  </si>
  <si>
    <t>Total 18.31-18.34</t>
  </si>
  <si>
    <t>Total 18.26-18.29</t>
  </si>
  <si>
    <t>Total 18.25</t>
  </si>
  <si>
    <t>Flat tiles on sloped roofs (Mid -gray BJ sup. US$28.02)</t>
  </si>
  <si>
    <t>Tejas planas Flat 10 Borja -Mid Grey (Sum 29.02)</t>
  </si>
  <si>
    <t>Wood-look porcelain floor tiles (Amazonia 20x120 cm, USD $35.87)</t>
  </si>
  <si>
    <t>Total 18.11-18.13</t>
  </si>
  <si>
    <t>Total 18.14-18.15</t>
  </si>
  <si>
    <t>Porcelain floor tiles (glossy white 30x60 cm, USD $15.15)</t>
  </si>
  <si>
    <t>Total 18.16-18.23</t>
  </si>
  <si>
    <t>Total 18.24</t>
  </si>
  <si>
    <t>White Vibrazo floor</t>
  </si>
  <si>
    <t>Coralina irregular floor</t>
  </si>
  <si>
    <t>Interior courtyard</t>
  </si>
  <si>
    <t>Baseboard (general)</t>
  </si>
  <si>
    <t>Porcelain baseboard</t>
  </si>
  <si>
    <t>Door jambs, curbs, and steps, in general</t>
  </si>
  <si>
    <t>Natural coralina door jambs 0.20m</t>
  </si>
  <si>
    <t>Porcelain door jambs</t>
  </si>
  <si>
    <t>Step at entrance and interior patio</t>
  </si>
  <si>
    <t>Coralina curb</t>
  </si>
  <si>
    <t>Stair finishes</t>
  </si>
  <si>
    <t>Main staircase finish in coraline stone</t>
  </si>
  <si>
    <t>Stairs</t>
  </si>
  <si>
    <t>Total 19.01</t>
  </si>
  <si>
    <t>Total 19.02</t>
  </si>
  <si>
    <t>Stair railing termination with perrilla finish</t>
  </si>
  <si>
    <t>Waterproofing on walls and floors of bathrooms, laundry areas, and on stone-clad walls</t>
  </si>
  <si>
    <t>Waterproofing on stone-clad walls with Aquafinf 1K</t>
  </si>
  <si>
    <t>Waterproofing on floors with Aquafinf 1K (bathrooms)</t>
  </si>
  <si>
    <t>Waterproofing on floors with Aquafinf 1K (bathrooms walls)</t>
  </si>
  <si>
    <t>Waterproofing on floors with Aquafinf 1K (interior walls)</t>
  </si>
  <si>
    <t>Total 21.01</t>
  </si>
  <si>
    <t>Total 21.01-21.06</t>
  </si>
  <si>
    <t>Vibrazo baseboards 0.15m</t>
  </si>
  <si>
    <t>Treated pine baseboards 0.15m</t>
  </si>
  <si>
    <t>Coralina baseboard 0.15m (exterior areas)</t>
  </si>
  <si>
    <t>Surface cladding</t>
  </si>
  <si>
    <t>Exterior cladding</t>
  </si>
  <si>
    <t>Supply and installation of semi-rustic caliza on exterior walls</t>
  </si>
  <si>
    <t>Interior cladding</t>
  </si>
  <si>
    <t>Built-in wall niches</t>
  </si>
  <si>
    <t>Supply and installation of semi-rustic caliza on interior walls</t>
  </si>
  <si>
    <t xml:space="preserve">Porcelain wall tile finish in staff bathrooms </t>
  </si>
  <si>
    <t>Microcement finish in secondary bathrooms</t>
  </si>
  <si>
    <t>Supply of sanitary equipment and Glass partitions</t>
  </si>
  <si>
    <t>Equipos de baños</t>
  </si>
  <si>
    <t>Bathroom fixtures</t>
  </si>
  <si>
    <t>Supply of Toto standar toilet</t>
  </si>
  <si>
    <t>Supply of Catalano</t>
  </si>
  <si>
    <t xml:space="preserve">Supply of faucets Axor </t>
  </si>
  <si>
    <t>Supply of ceiling-mounted shower(Hansgrohe chrome)</t>
  </si>
  <si>
    <t>Accessories Hansgrohe in secondary bathrooms</t>
  </si>
  <si>
    <t>Accessories in guest bathroom</t>
  </si>
  <si>
    <t>Accessories in services bathrooms</t>
  </si>
  <si>
    <t>Supply of faucets for washbasins (Bellari)</t>
  </si>
  <si>
    <t>Supply of washbasin for staff rooms</t>
  </si>
  <si>
    <t>Supply of toilet (Bellari)</t>
  </si>
  <si>
    <t>Supply of shower lineal drain</t>
  </si>
  <si>
    <t>Supply of square floor drain</t>
  </si>
  <si>
    <t>Total 22.01-22.12</t>
  </si>
  <si>
    <t>Supply of shower (Bellari)</t>
  </si>
  <si>
    <t>Ducha de servicios</t>
  </si>
  <si>
    <t>Kitchens and laundry rooms fixtures</t>
  </si>
  <si>
    <t xml:space="preserve">Supply of laundry faucet </t>
  </si>
  <si>
    <t>Supply of laundry sink</t>
  </si>
  <si>
    <t>Supply of sink in cold and hot kitchen (Hansgrohe)</t>
  </si>
  <si>
    <t>Supply of sink in hot kitchen (Inolux )</t>
  </si>
  <si>
    <t>Supply of sink in cold kitchen (Inolux)</t>
  </si>
  <si>
    <t>Tap for washbasin</t>
  </si>
  <si>
    <t>Total 22.14-22.19</t>
  </si>
  <si>
    <t>Total 22.19-22.21</t>
  </si>
  <si>
    <t>Supply and installation of shower enclosure glass in Bathrooms 5</t>
  </si>
  <si>
    <t>Supply and installation of shower enclosure glass in Bathrooms 6</t>
  </si>
  <si>
    <t>Supply and installation of shower enclosure glass in services Bathrooms</t>
  </si>
  <si>
    <t>Bathroom partitions</t>
  </si>
  <si>
    <t>Installation of Hyrib on curved wall (master bathroom)</t>
  </si>
  <si>
    <t>Total 25.01-25.03</t>
  </si>
  <si>
    <t>Sloped DensGlass ceiling (reinforced to support wooden beams)</t>
  </si>
  <si>
    <t>Total 25.04-25.10</t>
  </si>
  <si>
    <t>Double-height living room</t>
  </si>
  <si>
    <t>Staircase</t>
  </si>
  <si>
    <t>Total 26.01-26.07</t>
  </si>
  <si>
    <t>Total 26.08</t>
  </si>
  <si>
    <t>Hallway</t>
  </si>
  <si>
    <t>Total 27.01-27.06</t>
  </si>
  <si>
    <t>Total 27.07-27.10</t>
  </si>
  <si>
    <t>Total 28.01-28.12</t>
  </si>
  <si>
    <t>Total 28.13-28.14</t>
  </si>
  <si>
    <t>Total 28.15-28.16</t>
  </si>
  <si>
    <t>Total 30.01</t>
  </si>
  <si>
    <t>Supply and installation of semi-rustic caliza on bathroom walls</t>
  </si>
  <si>
    <t>Seat in master shower, microcement finish</t>
  </si>
  <si>
    <t>Total 30.02-30.06</t>
  </si>
  <si>
    <t>Total 31.01-31.08</t>
  </si>
  <si>
    <t>Supply and installation of shower enclosure glass on Master bathroom</t>
  </si>
  <si>
    <t>Supply and installation of shower enclosure glass in  Bathroom 4</t>
  </si>
  <si>
    <t>Supply and installation of shower enclosure glass in Bathroom 3</t>
  </si>
  <si>
    <t>Supply and installation of shower enclosure glass on Bathroom 2</t>
  </si>
  <si>
    <t>Total 31.09-31.12</t>
  </si>
  <si>
    <t>In-situ Jacuzzi</t>
  </si>
  <si>
    <t>Total 32.01</t>
  </si>
  <si>
    <t>Construction of in-situ Jacuzzi with microcement finish</t>
  </si>
  <si>
    <t>Eucalyptus wood railing</t>
  </si>
  <si>
    <t>Total 32.02-32.03</t>
  </si>
  <si>
    <t>Supply and installation of PTR reinforcement for pocket doors and partitions</t>
  </si>
  <si>
    <t>Total 32.04-32.05</t>
  </si>
  <si>
    <t>PTR reinforcement for pocket doors</t>
  </si>
  <si>
    <t>PTR reinforcement in partitions</t>
  </si>
  <si>
    <t>COMPLEMENTARY EXTERIOR WORKS</t>
  </si>
  <si>
    <t>POOL</t>
  </si>
  <si>
    <t>Earthworks for pool</t>
  </si>
  <si>
    <t>Excavation for the pool</t>
  </si>
  <si>
    <t>Excavation for pool dentellón (edge beam) foundations</t>
  </si>
  <si>
    <t>Backfill replacement in wall footings</t>
  </si>
  <si>
    <t>Compacted backfill under pool slab (0.10 m)</t>
  </si>
  <si>
    <t>Vapor barrier on slab floor (pool)</t>
  </si>
  <si>
    <t>Compacted fill for deck floor slab</t>
  </si>
  <si>
    <t>Concrete pool bottom slab, 0.15 m thick, with 240 kg/cm² concrete</t>
  </si>
  <si>
    <t>Concrete pool walls with 240 kg/cm² concrete</t>
  </si>
  <si>
    <t>Slab edge beam (0.75m x 0.10m) with 240 kg/cm² concrete</t>
  </si>
  <si>
    <t>Reinforced Concrete on pool</t>
  </si>
  <si>
    <t>Block Walls (6") AC. Ø 3/8" (Seaat and step)</t>
  </si>
  <si>
    <t>Block Walls (6") AC. Ø 3/8" (deck)</t>
  </si>
  <si>
    <t>Surface finishes of walls</t>
  </si>
  <si>
    <t>Fraguache (cement adherence) on concrete walls and slab</t>
  </si>
  <si>
    <t>Cement finish on border</t>
  </si>
  <si>
    <t>Finish of channel jamb</t>
  </si>
  <si>
    <t xml:space="preserve">Interior walls cants </t>
  </si>
  <si>
    <t>Conformation of steps in a pool</t>
  </si>
  <si>
    <t>Conformation of seats in a pool</t>
  </si>
  <si>
    <t>Finishes and cladding of pool</t>
  </si>
  <si>
    <t>Classic coraline stone edge 0.30m x 0.60m</t>
  </si>
  <si>
    <t>Classic coraline stone in border wall 0.30m x 0.60m</t>
  </si>
  <si>
    <t>Pool and Jacuzzi coating finish (Pool coat sand color)</t>
  </si>
  <si>
    <t>Waterproofing on pool (Aquafin)</t>
  </si>
  <si>
    <t>Waterstop joint</t>
  </si>
  <si>
    <t>Water fountain</t>
  </si>
  <si>
    <t xml:space="preserve">Reinforced Concrete </t>
  </si>
  <si>
    <t>Concrete pool bottom slab, 0.20m thick, with 240 kg/cm² concrete</t>
  </si>
  <si>
    <t xml:space="preserve">Finishes and cladding </t>
  </si>
  <si>
    <t>Supply and installation of semi-rustic limestone on walls</t>
  </si>
  <si>
    <t>Fountain curbs</t>
  </si>
  <si>
    <t>Supply and application of perrilla on relief wall with arch</t>
  </si>
  <si>
    <t>42.01</t>
  </si>
  <si>
    <t>42.02</t>
  </si>
  <si>
    <t>42.03</t>
  </si>
  <si>
    <t>Supply of spout valves for fountain</t>
  </si>
  <si>
    <t>EXTERIOR FLOORS, WALKWAYS AND DRIVEWAY</t>
  </si>
  <si>
    <t>COMPLEMENTARY CIVIL WORKS</t>
  </si>
  <si>
    <t>Complementary Civil Works</t>
  </si>
  <si>
    <t>Electrical junction boxes</t>
  </si>
  <si>
    <t>Sanitary inspection chambers</t>
  </si>
  <si>
    <t>Concrete base for technical equipment (AC)</t>
  </si>
  <si>
    <t>Grease trap</t>
  </si>
  <si>
    <t>Gas tank base</t>
  </si>
  <si>
    <t>Construction of garbage area</t>
  </si>
  <si>
    <t>Water heater enclosure</t>
  </si>
  <si>
    <t>Estimated excavation and sand bed for electrical and plumbing installations</t>
  </si>
  <si>
    <t>Machine Room (Structure and cement finish)</t>
  </si>
  <si>
    <t>Filter well</t>
  </si>
  <si>
    <t>GENERAL INSTALLATION</t>
  </si>
  <si>
    <t>TECHNICAL INSTALLATION</t>
  </si>
  <si>
    <t>Plumbing pre-installation</t>
  </si>
  <si>
    <t>Electrical pre-installation</t>
  </si>
  <si>
    <t>Electric transformer and electric meter holder (estimated)</t>
  </si>
  <si>
    <t>Mechanical pre-installation</t>
  </si>
  <si>
    <t>Total 45.0</t>
  </si>
  <si>
    <t>Wood Carpentry</t>
  </si>
  <si>
    <t>Wooden doors with hardware</t>
  </si>
  <si>
    <t xml:space="preserve">Wooden doors </t>
  </si>
  <si>
    <t>Wood closet doors</t>
  </si>
  <si>
    <t>Hadware, wood (estimated)</t>
  </si>
  <si>
    <t>49.01</t>
  </si>
  <si>
    <t>Louver fijo de madera 5.40x3.22 (escalera)</t>
  </si>
  <si>
    <t>Louver fijo de madera2.0x3.00 (pasillo)</t>
  </si>
  <si>
    <t>Total 49.00</t>
  </si>
  <si>
    <t>Wooden Louvers</t>
  </si>
  <si>
    <t>Fixer wooden louvers 5.40x3.22 (Staircase)</t>
  </si>
  <si>
    <t>Fixer wooden louvers 2.0x3.00(hallway)</t>
  </si>
  <si>
    <t>Kitchen, Laundry, and bathroom furniture</t>
  </si>
  <si>
    <t>Bathroom cabinet</t>
  </si>
  <si>
    <t>Master bathroom vanity 1</t>
  </si>
  <si>
    <t>Wood shelf, master bathroom 2</t>
  </si>
  <si>
    <t>Wood shelf,bathroom 3,4, 5 y 6</t>
  </si>
  <si>
    <t xml:space="preserve">Wood shelf,guest bathroom </t>
  </si>
  <si>
    <t>Wood shelf,service area</t>
  </si>
  <si>
    <t>Countertops</t>
  </si>
  <si>
    <t>Countertops for cold kitchen, hot kitchen, service areas and laundry</t>
  </si>
  <si>
    <t>Countertops for cold  kitchen (Ethereal Glow Silestone)</t>
  </si>
  <si>
    <t>Countertops for hot kitchen  countertop (Ethereal Glow Silestone)</t>
  </si>
  <si>
    <t>Countertops for service area  countertop (Ethereal Glow Silestone)</t>
  </si>
  <si>
    <t>Countertops Laundry area countertop (Ethereal Glow Silestone)</t>
  </si>
  <si>
    <t>Bathroom countertops</t>
  </si>
  <si>
    <t>Coralina countertop, bathroom 3, (1.60x0.60m)</t>
  </si>
  <si>
    <t>Coralina countertop, bathroom 4,5 y 6 (1.60x0.60m)</t>
  </si>
  <si>
    <t>Coralina countertop, guest bathroom (1.00x0.60m)</t>
  </si>
  <si>
    <t>INDIRECT COSTS</t>
  </si>
  <si>
    <t>Storage Guard</t>
  </si>
  <si>
    <t>Power and Water supply</t>
  </si>
  <si>
    <t>Foreman</t>
  </si>
  <si>
    <t>Night watchman</t>
  </si>
  <si>
    <t>Social Security, Pension Fund, Codia</t>
  </si>
  <si>
    <t>Administrative Expenses</t>
  </si>
  <si>
    <t>Transportation</t>
  </si>
  <si>
    <t>Responsibility and supervision fee</t>
  </si>
  <si>
    <t>ITBS (Tax)  according to Regulation 07-2007 on direct and indirect costs</t>
  </si>
  <si>
    <t>Cocina fria en madera preciosa (Kitchenarte)</t>
  </si>
  <si>
    <t>Cocina caliente en MDF (Kitchenarte)</t>
  </si>
  <si>
    <t>Cocina area de servicios en MDF (Kitchenarte)</t>
  </si>
  <si>
    <t>Tope de coralina, baño master 1, 2.85m x 0.60m</t>
  </si>
  <si>
    <t>Tope de coralina, baño master 2, 1.40m x 0.60m</t>
  </si>
  <si>
    <t>Coralina countertop, master bathroom 1, 2.85m x 0.60m</t>
  </si>
  <si>
    <t>Coralina countertop, master bathroom 2, 2.85m x 0.60m</t>
  </si>
  <si>
    <t>Plumbing pre-installation (Phase 1, civil work)</t>
  </si>
  <si>
    <t>Plumbing pre-installation (Phase 2, Finishes)</t>
  </si>
  <si>
    <t>Electrical pre-installation (Phase 1, civil work)</t>
  </si>
  <si>
    <t>Electrical pre-installation (Phase 2, Finishes)</t>
  </si>
  <si>
    <t>Mechanical pre-installation  (Phase 1, civil work)</t>
  </si>
  <si>
    <t>Mechanical pre-installation  (Phase 2, Finishes)</t>
  </si>
  <si>
    <t>Cold Kitchen cabinets (kitchenarte)</t>
  </si>
  <si>
    <t>Hot Kitchen cabinets (Mdf wood, kitchenarte)</t>
  </si>
  <si>
    <t>Staff Kitchen cabinets (Mdf wood, kitchenarte)</t>
  </si>
  <si>
    <t>Laundry funiture  (Mdf wood, kitchenarte)</t>
  </si>
  <si>
    <t>Supply and installation of pavigram</t>
  </si>
  <si>
    <t>Concrete wall, stair railing with 240 kg/cm2 concrete</t>
  </si>
  <si>
    <t>AREA DE CONSTRUCCION</t>
  </si>
  <si>
    <t>MT2</t>
  </si>
  <si>
    <t>COSTO DE CONSTRUCCION</t>
  </si>
  <si>
    <t>US$/MT2</t>
  </si>
  <si>
    <t>Drip edge</t>
  </si>
  <si>
    <t>15.10</t>
  </si>
  <si>
    <t>16.06</t>
  </si>
  <si>
    <t>16.07</t>
  </si>
  <si>
    <t>16.08</t>
  </si>
  <si>
    <t>16.09</t>
  </si>
  <si>
    <t>16.10</t>
  </si>
  <si>
    <t>20.05</t>
  </si>
  <si>
    <t>20.06</t>
  </si>
  <si>
    <t>20.07</t>
  </si>
  <si>
    <t>20.08</t>
  </si>
  <si>
    <t>21.0</t>
  </si>
  <si>
    <t>Total 3.00-3.02</t>
  </si>
  <si>
    <t>POOL AND WATER FOUNTAIN</t>
  </si>
  <si>
    <t>3.04</t>
  </si>
  <si>
    <t>3.05</t>
  </si>
  <si>
    <t>3.06</t>
  </si>
  <si>
    <t>3.07</t>
  </si>
  <si>
    <t>3.08</t>
  </si>
  <si>
    <t>3.09</t>
  </si>
  <si>
    <t>Total 3.03-3.09</t>
  </si>
  <si>
    <t>4.03</t>
  </si>
  <si>
    <t>4.04</t>
  </si>
  <si>
    <t>Total 4.01-4.04</t>
  </si>
  <si>
    <t>4.05</t>
  </si>
  <si>
    <t>Total 4.05</t>
  </si>
  <si>
    <t>5.03</t>
  </si>
  <si>
    <t>5.04</t>
  </si>
  <si>
    <t>5.05</t>
  </si>
  <si>
    <t>5.06</t>
  </si>
  <si>
    <t>Total 5.01-5.06</t>
  </si>
  <si>
    <t>5.07</t>
  </si>
  <si>
    <t>5.08</t>
  </si>
  <si>
    <t>5.09</t>
  </si>
  <si>
    <t>5.10</t>
  </si>
  <si>
    <t>Total 5.07-5.10</t>
  </si>
  <si>
    <t>6.08</t>
  </si>
  <si>
    <t>6.09</t>
  </si>
  <si>
    <t>6.10</t>
  </si>
  <si>
    <t>Total 6.01-6.10</t>
  </si>
  <si>
    <t>6.11</t>
  </si>
  <si>
    <t>6.12</t>
  </si>
  <si>
    <t>6.13</t>
  </si>
  <si>
    <t>Total 6.11-6.13</t>
  </si>
  <si>
    <t>6.14</t>
  </si>
  <si>
    <t>6.15</t>
  </si>
  <si>
    <t>Total 6.14-6.15</t>
  </si>
  <si>
    <t>6.16</t>
  </si>
  <si>
    <t>6.17</t>
  </si>
  <si>
    <t>6.18</t>
  </si>
  <si>
    <t>6.19</t>
  </si>
  <si>
    <t>6.20</t>
  </si>
  <si>
    <t>6.21</t>
  </si>
  <si>
    <t>6.22</t>
  </si>
  <si>
    <t>6.23</t>
  </si>
  <si>
    <t>Total 6.16-6.23</t>
  </si>
  <si>
    <t>6.24</t>
  </si>
  <si>
    <t>6.25</t>
  </si>
  <si>
    <t>Total 6.25</t>
  </si>
  <si>
    <t>Total 6.24</t>
  </si>
  <si>
    <t>6.26</t>
  </si>
  <si>
    <t>6.27</t>
  </si>
  <si>
    <t>6.28</t>
  </si>
  <si>
    <t>6.29</t>
  </si>
  <si>
    <t>Total 6.26-6.29</t>
  </si>
  <si>
    <t>18.30</t>
  </si>
  <si>
    <t>6.30</t>
  </si>
  <si>
    <t>6.31</t>
  </si>
  <si>
    <t>6.32</t>
  </si>
  <si>
    <t>6.33</t>
  </si>
  <si>
    <t>Total 6.31-6.33</t>
  </si>
  <si>
    <t>Total 18.30-18.33</t>
  </si>
  <si>
    <t>Total 7.01</t>
  </si>
  <si>
    <t>Total 7.02</t>
  </si>
  <si>
    <t>8.03</t>
  </si>
  <si>
    <t>8.04</t>
  </si>
  <si>
    <t>Total 9.01</t>
  </si>
  <si>
    <t>Total 9.02-9.06</t>
  </si>
  <si>
    <t>10.05</t>
  </si>
  <si>
    <t>10.06</t>
  </si>
  <si>
    <t>10.07</t>
  </si>
  <si>
    <t>10.08</t>
  </si>
  <si>
    <t>10.09</t>
  </si>
  <si>
    <t>10.10</t>
  </si>
  <si>
    <t>10.11</t>
  </si>
  <si>
    <t>10.12</t>
  </si>
  <si>
    <t>10.13</t>
  </si>
  <si>
    <t>Total 10.01-10.13</t>
  </si>
  <si>
    <t>Total 22.01-22.13</t>
  </si>
  <si>
    <t>10.14</t>
  </si>
  <si>
    <t>10.15</t>
  </si>
  <si>
    <t>10.16</t>
  </si>
  <si>
    <t>10.17</t>
  </si>
  <si>
    <t>10.18</t>
  </si>
  <si>
    <t>10.19</t>
  </si>
  <si>
    <t>Total 10.14-10.19</t>
  </si>
  <si>
    <t>10.20</t>
  </si>
  <si>
    <t>10.21</t>
  </si>
  <si>
    <t>10.22</t>
  </si>
  <si>
    <t>Total 10.20-10.22</t>
  </si>
  <si>
    <t>22.22</t>
  </si>
  <si>
    <t>Total 22.20-22.22</t>
  </si>
  <si>
    <t>Total 11.01-11.03</t>
  </si>
  <si>
    <t>Total 11.04-11.10</t>
  </si>
  <si>
    <t>12.06</t>
  </si>
  <si>
    <t>12.07</t>
  </si>
  <si>
    <t>Total 12.01-12.07</t>
  </si>
  <si>
    <t>12.08</t>
  </si>
  <si>
    <t>Total 12.08</t>
  </si>
  <si>
    <t>Total 13.01-13.06</t>
  </si>
  <si>
    <t>Total 13.07-13.10</t>
  </si>
  <si>
    <t>14.11</t>
  </si>
  <si>
    <t>14.12</t>
  </si>
  <si>
    <t>Total 14.01-14.12</t>
  </si>
  <si>
    <t>14.13</t>
  </si>
  <si>
    <t>14.14</t>
  </si>
  <si>
    <t>Total 14.13-14.14</t>
  </si>
  <si>
    <t>14.15</t>
  </si>
  <si>
    <t>14.16</t>
  </si>
  <si>
    <t>Total 14.15-14.16</t>
  </si>
  <si>
    <t>Total 17.01-17.08</t>
  </si>
  <si>
    <t>17.11</t>
  </si>
  <si>
    <t>17.12</t>
  </si>
  <si>
    <t>Total 17.09-17.12</t>
  </si>
  <si>
    <t>Total 16.02-16.06</t>
  </si>
  <si>
    <t>Total 16.01</t>
  </si>
  <si>
    <t>Total 18.01</t>
  </si>
  <si>
    <t>Total 18.02-18.03</t>
  </si>
  <si>
    <t>Total 18.04-18.05</t>
  </si>
  <si>
    <t>19.03</t>
  </si>
  <si>
    <t>20.2</t>
  </si>
  <si>
    <t>Total 26.00-28.00</t>
  </si>
  <si>
    <t>Total 45.00-47.00</t>
  </si>
  <si>
    <t>Concrete wall MH3 L shaped (2.60m x 0.25m), with 240 kg/cm²</t>
  </si>
  <si>
    <t xml:space="preserve">Concrete wall MH1 (0.80m x 0.30m), with 240 kg/cm² </t>
  </si>
  <si>
    <t xml:space="preserve">Concrete wall MH2 (1.20m x 0.25m), with 240 kg/cm² </t>
  </si>
  <si>
    <t xml:space="preserve">Concrete wall MH4 (1.80m x 0.30m), with 240 kg/cm² </t>
  </si>
  <si>
    <t xml:space="preserve">Concrete wall MH5 (1.00m x 0.30m), with 240 kg/cm² </t>
  </si>
  <si>
    <t xml:space="preserve">Tie beam BFL, (0.15m x 0.20m) with 240 kg/cm² </t>
  </si>
  <si>
    <t xml:space="preserve">Footing Z1 (1.35m x 1.35m x 0.40m) with 210 kg/cm² </t>
  </si>
  <si>
    <t xml:space="preserve">Footing  Z2 (1.50m x 1.30m x 0.40m) with 210 kg/cm² </t>
  </si>
  <si>
    <t xml:space="preserve">Footing  Z3 (1.60m x 1.25m x 0.40m) with 210 kg/cm² </t>
  </si>
  <si>
    <t xml:space="preserve">Footing  Z4 (1.80m x 1.30m x 0.40m) with 210 kg/cm² </t>
  </si>
  <si>
    <t xml:space="preserve">Footing  Z5 (2.20m x 1.25m x 0.40m) with 210 kg/cm² </t>
  </si>
  <si>
    <t xml:space="preserve">Footing Z6 (1.20m x 1.60m x 0.40m) with 210 kg/cm² </t>
  </si>
  <si>
    <t xml:space="preserve">Footing  Z7 (2.05m x 1.60m x 0.40m) with 210 kg/cm² </t>
  </si>
  <si>
    <t xml:space="preserve">Footing  Z8 (3.55m x 2.60m x 0.40m) with 210 kg/cm² </t>
  </si>
  <si>
    <t xml:space="preserve">Footing  Z9 (1.90m x 2.60m x 0.40m) with 210 kg/cm² </t>
  </si>
  <si>
    <t xml:space="preserve">Footing  Z9' (2.10m x 3.80m x 0.40m) with 210 kg/cm² </t>
  </si>
  <si>
    <t xml:space="preserve">Footing  Z10 (1.10m x 1.10m x 0.40m) with 210 kg/cm² </t>
  </si>
  <si>
    <t xml:space="preserve">Footing  Z11 (1.25m x 1.25m x 0.35m)  with 210 kg/cm² </t>
  </si>
  <si>
    <t xml:space="preserve">Footing  Z12 (3.95m x 2.80m x 0.40m) with 210 kg/cm² </t>
  </si>
  <si>
    <t xml:space="preserve">Footing  Z12' (1.80m x 1.35m x 0.40m)  with 210 kg/cm² </t>
  </si>
  <si>
    <t xml:space="preserve">Footing  Z14 (2.25m x 1.35m x 0.40m)  with 210 kg/cm² </t>
  </si>
  <si>
    <t xml:space="preserve">Footing  Z15 (2.25m x 1.60m x 0.40m) with 210 kg/cm² </t>
  </si>
  <si>
    <t xml:space="preserve">8'' Wall footings, 0.60m x 0.30m, with 210 kg/cm² </t>
  </si>
  <si>
    <t xml:space="preserve">6'' Wall footings, 0.60m x 0.30m, with 210 kg/cm² </t>
  </si>
  <si>
    <t xml:space="preserve">Stair footing 1.65m x 0.60m x 0.30m, with 210 kg/cm² </t>
  </si>
  <si>
    <t xml:space="preserve">Column C1(0.35m x 0.35m) with 240 kg/cm² </t>
  </si>
  <si>
    <t xml:space="preserve">Column C2 (0.60m x 0.20m)with 240 kg/cm² </t>
  </si>
  <si>
    <t xml:space="preserve">Column C3 (0.30m x 0.30m) with 240 kg/cm² </t>
  </si>
  <si>
    <t xml:space="preserve">Column C4 (0.60m x 0.25m) with 240 kg/cm² </t>
  </si>
  <si>
    <t xml:space="preserve">Column C5 (0.25m x 0.25m) with 240 kg/cm² </t>
  </si>
  <si>
    <t xml:space="preserve">Column C6 (0.50m x 0.30m) with 240 kg/cm² </t>
  </si>
  <si>
    <t xml:space="preserve">Column C7 (0.60m x 0.25m) with 240 kg/cm² </t>
  </si>
  <si>
    <t xml:space="preserve">Column CA (0.20m x 0.20m)with 240 kg/cm² </t>
  </si>
  <si>
    <t xml:space="preserve">Tie beam BFL, (0.20m x 0.20m) with 240 kg/cm² </t>
  </si>
  <si>
    <t xml:space="preserve">Floor slab, thickness = 0.10 m, with 210 kg/cm² </t>
  </si>
  <si>
    <t>MAIN HOUSE</t>
  </si>
  <si>
    <r>
      <rPr>
        <b/>
        <sz val="12"/>
        <rFont val="Calibri"/>
        <family val="2"/>
      </rPr>
      <t>Date:</t>
    </r>
    <r>
      <rPr>
        <sz val="12"/>
        <rFont val="Calibri"/>
        <family val="2"/>
      </rPr>
      <t xml:space="preserve"> February 18 2025</t>
    </r>
  </si>
  <si>
    <t>Preliminary Phase 1 Budget</t>
  </si>
  <si>
    <t>REV.2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</si>
</sst>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€_-;\-* #,##0.00\ _€_-;_-* &quot;-&quot;??\ _€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i/>
      <sz val="12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ED2B7"/>
        <bgColor indexed="64"/>
      </patternFill>
    </fill>
    <fill>
      <patternFill patternType="solid">
        <fgColor rgb="FFCADAC4"/>
        <bgColor indexed="64"/>
      </patternFill>
    </fill>
    <fill>
      <patternFill patternType="solid">
        <fgColor rgb="FFD6E2D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2EADF"/>
        <bgColor indexed="64"/>
      </patternFill>
    </fill>
    <fill>
      <patternFill patternType="solid">
        <fgColor rgb="FFEEF2E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3E5DC"/>
        <bgColor indexed="64"/>
      </patternFill>
    </fill>
    <fill>
      <patternFill patternType="solid">
        <fgColor rgb="FFE6EFEB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4" fillId="0" borderId="0" xfId="0" applyFont="1"/>
    <xf numFmtId="0" fontId="5" fillId="0" borderId="0" xfId="0" applyFont="1"/>
    <xf numFmtId="49" fontId="5" fillId="9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6" fillId="4" borderId="0" xfId="0" applyNumberFormat="1" applyFont="1" applyFill="1" applyAlignment="1">
      <alignment horizontal="center" vertical="center"/>
    </xf>
    <xf numFmtId="49" fontId="5" fillId="9" borderId="0" xfId="0" applyNumberFormat="1" applyFont="1" applyFill="1" applyAlignment="1">
      <alignment vertical="center" wrapText="1"/>
    </xf>
    <xf numFmtId="49" fontId="6" fillId="7" borderId="0" xfId="0" applyNumberFormat="1" applyFont="1" applyFill="1" applyAlignment="1">
      <alignment horizontal="center" vertical="center"/>
    </xf>
    <xf numFmtId="0" fontId="5" fillId="9" borderId="0" xfId="0" applyFont="1" applyFill="1"/>
    <xf numFmtId="0" fontId="5" fillId="9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/>
    </xf>
    <xf numFmtId="4" fontId="5" fillId="9" borderId="8" xfId="0" applyNumberFormat="1" applyFont="1" applyFill="1" applyBorder="1" applyAlignment="1">
      <alignment horizontal="right" vertical="center"/>
    </xf>
    <xf numFmtId="4" fontId="6" fillId="7" borderId="8" xfId="0" applyNumberFormat="1" applyFont="1" applyFill="1" applyBorder="1" applyAlignment="1">
      <alignment horizontal="right" vertical="center"/>
    </xf>
    <xf numFmtId="0" fontId="5" fillId="9" borderId="6" xfId="0" applyFont="1" applyFill="1" applyBorder="1" applyAlignment="1">
      <alignment horizontal="right" vertical="center"/>
    </xf>
    <xf numFmtId="0" fontId="5" fillId="9" borderId="8" xfId="0" applyFont="1" applyFill="1" applyBorder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4" fontId="6" fillId="2" borderId="6" xfId="0" applyNumberFormat="1" applyFont="1" applyFill="1" applyBorder="1" applyAlignment="1">
      <alignment horizontal="right" vertical="center"/>
    </xf>
    <xf numFmtId="4" fontId="6" fillId="3" borderId="8" xfId="0" applyNumberFormat="1" applyFont="1" applyFill="1" applyBorder="1" applyAlignment="1">
      <alignment horizontal="right" vertical="center"/>
    </xf>
    <xf numFmtId="4" fontId="6" fillId="4" borderId="8" xfId="0" applyNumberFormat="1" applyFont="1" applyFill="1" applyBorder="1" applyAlignment="1">
      <alignment horizontal="right" vertical="center"/>
    </xf>
    <xf numFmtId="4" fontId="6" fillId="9" borderId="8" xfId="0" applyNumberFormat="1" applyFont="1" applyFill="1" applyBorder="1" applyAlignment="1">
      <alignment horizontal="right" vertical="center"/>
    </xf>
    <xf numFmtId="0" fontId="5" fillId="5" borderId="8" xfId="0" applyFont="1" applyFill="1" applyBorder="1" applyAlignment="1">
      <alignment horizontal="right" vertical="center"/>
    </xf>
    <xf numFmtId="4" fontId="6" fillId="6" borderId="8" xfId="0" applyNumberFormat="1" applyFont="1" applyFill="1" applyBorder="1" applyAlignment="1">
      <alignment horizontal="right" vertical="center"/>
    </xf>
    <xf numFmtId="4" fontId="6" fillId="8" borderId="8" xfId="0" applyNumberFormat="1" applyFont="1" applyFill="1" applyBorder="1" applyAlignment="1">
      <alignment horizontal="right" vertical="center"/>
    </xf>
    <xf numFmtId="4" fontId="6" fillId="0" borderId="8" xfId="0" applyNumberFormat="1" applyFont="1" applyBorder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9" borderId="5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49" fontId="6" fillId="2" borderId="5" xfId="0" applyNumberFormat="1" applyFont="1" applyFill="1" applyBorder="1" applyAlignment="1">
      <alignment horizontal="left" vertical="center" wrapText="1"/>
    </xf>
    <xf numFmtId="49" fontId="6" fillId="3" borderId="0" xfId="0" applyNumberFormat="1" applyFont="1" applyFill="1" applyAlignment="1">
      <alignment horizontal="left" vertical="center" wrapText="1"/>
    </xf>
    <xf numFmtId="49" fontId="6" fillId="4" borderId="0" xfId="0" applyNumberFormat="1" applyFont="1" applyFill="1" applyAlignment="1">
      <alignment horizontal="left" vertical="center" wrapText="1"/>
    </xf>
    <xf numFmtId="49" fontId="5" fillId="9" borderId="0" xfId="0" applyNumberFormat="1" applyFont="1" applyFill="1" applyAlignment="1">
      <alignment horizontal="left" vertical="center" wrapText="1"/>
    </xf>
    <xf numFmtId="49" fontId="6" fillId="9" borderId="0" xfId="0" applyNumberFormat="1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49" fontId="6" fillId="6" borderId="0" xfId="0" applyNumberFormat="1" applyFont="1" applyFill="1" applyAlignment="1">
      <alignment horizontal="left" vertical="center" wrapText="1"/>
    </xf>
    <xf numFmtId="49" fontId="6" fillId="7" borderId="0" xfId="0" applyNumberFormat="1" applyFont="1" applyFill="1" applyAlignment="1">
      <alignment horizontal="left" vertical="center" wrapText="1"/>
    </xf>
    <xf numFmtId="49" fontId="6" fillId="8" borderId="0" xfId="0" applyNumberFormat="1" applyFont="1" applyFill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5" fillId="9" borderId="7" xfId="0" applyFont="1" applyFill="1" applyBorder="1" applyAlignment="1">
      <alignment horizontal="left" vertical="center"/>
    </xf>
    <xf numFmtId="0" fontId="6" fillId="9" borderId="7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49" fontId="6" fillId="2" borderId="4" xfId="0" applyNumberFormat="1" applyFont="1" applyFill="1" applyBorder="1" applyAlignment="1">
      <alignment horizontal="left" vertical="center"/>
    </xf>
    <xf numFmtId="49" fontId="6" fillId="3" borderId="7" xfId="0" applyNumberFormat="1" applyFont="1" applyFill="1" applyBorder="1" applyAlignment="1">
      <alignment horizontal="left" vertical="center"/>
    </xf>
    <xf numFmtId="49" fontId="6" fillId="4" borderId="7" xfId="0" applyNumberFormat="1" applyFont="1" applyFill="1" applyBorder="1" applyAlignment="1">
      <alignment horizontal="left" vertical="center"/>
    </xf>
    <xf numFmtId="49" fontId="5" fillId="9" borderId="7" xfId="0" applyNumberFormat="1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49" fontId="6" fillId="6" borderId="7" xfId="0" applyNumberFormat="1" applyFont="1" applyFill="1" applyBorder="1" applyAlignment="1">
      <alignment horizontal="left" vertical="center"/>
    </xf>
    <xf numFmtId="49" fontId="6" fillId="7" borderId="7" xfId="0" applyNumberFormat="1" applyFont="1" applyFill="1" applyBorder="1" applyAlignment="1">
      <alignment horizontal="left" vertical="center"/>
    </xf>
    <xf numFmtId="49" fontId="6" fillId="8" borderId="7" xfId="0" applyNumberFormat="1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49" fontId="6" fillId="9" borderId="7" xfId="0" applyNumberFormat="1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9" borderId="9" xfId="0" applyFont="1" applyFill="1" applyBorder="1" applyAlignment="1">
      <alignment horizontal="left" vertical="center"/>
    </xf>
    <xf numFmtId="0" fontId="5" fillId="9" borderId="10" xfId="0" applyFont="1" applyFill="1" applyBorder="1" applyAlignment="1">
      <alignment horizontal="center" vertical="center"/>
    </xf>
    <xf numFmtId="49" fontId="6" fillId="9" borderId="10" xfId="0" applyNumberFormat="1" applyFont="1" applyFill="1" applyBorder="1" applyAlignment="1">
      <alignment horizontal="left" vertical="center" wrapText="1"/>
    </xf>
    <xf numFmtId="4" fontId="6" fillId="9" borderId="11" xfId="0" applyNumberFormat="1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right" vertical="center"/>
    </xf>
    <xf numFmtId="0" fontId="5" fillId="9" borderId="5" xfId="0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7" fillId="0" borderId="10" xfId="0" applyFont="1" applyBorder="1" applyAlignment="1">
      <alignment horizontal="right" vertical="center"/>
    </xf>
    <xf numFmtId="4" fontId="6" fillId="2" borderId="5" xfId="0" applyNumberFormat="1" applyFont="1" applyFill="1" applyBorder="1" applyAlignment="1">
      <alignment horizontal="right" vertical="center"/>
    </xf>
    <xf numFmtId="4" fontId="6" fillId="3" borderId="0" xfId="0" applyNumberFormat="1" applyFont="1" applyFill="1" applyAlignment="1">
      <alignment horizontal="right" vertical="center"/>
    </xf>
    <xf numFmtId="4" fontId="6" fillId="4" borderId="0" xfId="0" applyNumberFormat="1" applyFont="1" applyFill="1" applyAlignment="1">
      <alignment horizontal="right" vertical="center"/>
    </xf>
    <xf numFmtId="4" fontId="5" fillId="9" borderId="0" xfId="0" applyNumberFormat="1" applyFont="1" applyFill="1" applyAlignment="1">
      <alignment horizontal="right" vertical="center"/>
    </xf>
    <xf numFmtId="4" fontId="6" fillId="9" borderId="0" xfId="0" applyNumberFormat="1" applyFont="1" applyFill="1" applyAlignment="1">
      <alignment horizontal="right" vertical="center"/>
    </xf>
    <xf numFmtId="4" fontId="6" fillId="6" borderId="0" xfId="0" applyNumberFormat="1" applyFont="1" applyFill="1" applyAlignment="1">
      <alignment horizontal="right" vertical="center"/>
    </xf>
    <xf numFmtId="4" fontId="6" fillId="7" borderId="0" xfId="0" applyNumberFormat="1" applyFont="1" applyFill="1" applyAlignment="1">
      <alignment horizontal="right" vertical="center"/>
    </xf>
    <xf numFmtId="4" fontId="6" fillId="8" borderId="0" xfId="0" applyNumberFormat="1" applyFont="1" applyFill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4" fontId="6" fillId="9" borderId="10" xfId="0" applyNumberFormat="1" applyFont="1" applyFill="1" applyBorder="1" applyAlignment="1">
      <alignment horizontal="right" vertical="center"/>
    </xf>
    <xf numFmtId="2" fontId="5" fillId="9" borderId="5" xfId="0" applyNumberFormat="1" applyFont="1" applyFill="1" applyBorder="1" applyAlignment="1">
      <alignment horizontal="right" vertical="center"/>
    </xf>
    <xf numFmtId="2" fontId="5" fillId="9" borderId="0" xfId="0" applyNumberFormat="1" applyFont="1" applyFill="1" applyAlignment="1">
      <alignment horizontal="right" vertical="center"/>
    </xf>
    <xf numFmtId="3" fontId="6" fillId="2" borderId="5" xfId="0" applyNumberFormat="1" applyFont="1" applyFill="1" applyBorder="1" applyAlignment="1">
      <alignment horizontal="right" vertical="center"/>
    </xf>
    <xf numFmtId="3" fontId="5" fillId="9" borderId="0" xfId="0" applyNumberFormat="1" applyFont="1" applyFill="1" applyAlignment="1">
      <alignment horizontal="right" vertical="center"/>
    </xf>
    <xf numFmtId="3" fontId="5" fillId="9" borderId="10" xfId="0" applyNumberFormat="1" applyFont="1" applyFill="1" applyBorder="1" applyAlignment="1">
      <alignment horizontal="right" vertical="center"/>
    </xf>
    <xf numFmtId="49" fontId="4" fillId="9" borderId="0" xfId="0" applyNumberFormat="1" applyFont="1" applyFill="1" applyAlignment="1">
      <alignment horizontal="left" vertical="center" wrapText="1"/>
    </xf>
    <xf numFmtId="4" fontId="4" fillId="9" borderId="0" xfId="0" applyNumberFormat="1" applyFont="1" applyFill="1" applyAlignment="1">
      <alignment horizontal="right" vertical="center"/>
    </xf>
    <xf numFmtId="49" fontId="6" fillId="11" borderId="0" xfId="0" applyNumberFormat="1" applyFont="1" applyFill="1" applyAlignment="1">
      <alignment horizontal="left" vertical="center" wrapText="1"/>
    </xf>
    <xf numFmtId="49" fontId="3" fillId="10" borderId="0" xfId="0" applyNumberFormat="1" applyFont="1" applyFill="1" applyAlignment="1">
      <alignment horizontal="left" vertical="center" wrapText="1"/>
    </xf>
    <xf numFmtId="49" fontId="4" fillId="9" borderId="0" xfId="0" applyNumberFormat="1" applyFont="1" applyFill="1" applyAlignment="1">
      <alignment vertical="top" wrapText="1"/>
    </xf>
    <xf numFmtId="43" fontId="5" fillId="0" borderId="0" xfId="1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4" fontId="5" fillId="0" borderId="0" xfId="0" applyNumberFormat="1" applyFont="1"/>
    <xf numFmtId="49" fontId="6" fillId="9" borderId="0" xfId="0" applyNumberFormat="1" applyFont="1" applyFill="1" applyAlignment="1">
      <alignment vertical="center" wrapText="1"/>
    </xf>
    <xf numFmtId="0" fontId="7" fillId="9" borderId="9" xfId="0" applyFont="1" applyFill="1" applyBorder="1" applyAlignment="1">
      <alignment horizontal="left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left" vertical="center" wrapText="1"/>
    </xf>
    <xf numFmtId="0" fontId="7" fillId="9" borderId="10" xfId="0" applyFont="1" applyFill="1" applyBorder="1" applyAlignment="1">
      <alignment horizontal="right" vertical="center"/>
    </xf>
    <xf numFmtId="0" fontId="7" fillId="9" borderId="11" xfId="0" applyFont="1" applyFill="1" applyBorder="1" applyAlignment="1">
      <alignment horizontal="right" vertical="center"/>
    </xf>
    <xf numFmtId="43" fontId="5" fillId="0" borderId="0" xfId="1" applyFont="1"/>
    <xf numFmtId="43" fontId="6" fillId="12" borderId="0" xfId="1" applyFont="1" applyFill="1" applyAlignment="1">
      <alignment vertical="center"/>
    </xf>
    <xf numFmtId="0" fontId="5" fillId="9" borderId="0" xfId="0" applyFont="1" applyFill="1" applyAlignment="1">
      <alignment vertical="center"/>
    </xf>
    <xf numFmtId="164" fontId="5" fillId="0" borderId="0" xfId="0" applyNumberFormat="1" applyFont="1"/>
    <xf numFmtId="43" fontId="5" fillId="9" borderId="0" xfId="1" applyFont="1" applyFill="1" applyAlignment="1">
      <alignment vertical="center"/>
    </xf>
    <xf numFmtId="4" fontId="5" fillId="9" borderId="0" xfId="0" applyNumberFormat="1" applyFont="1" applyFill="1"/>
    <xf numFmtId="4" fontId="5" fillId="9" borderId="0" xfId="0" applyNumberFormat="1" applyFont="1" applyFill="1" applyAlignment="1">
      <alignment vertical="center"/>
    </xf>
    <xf numFmtId="43" fontId="5" fillId="0" borderId="0" xfId="1" applyFont="1" applyAlignment="1">
      <alignment horizontal="right" vertical="center"/>
    </xf>
    <xf numFmtId="10" fontId="5" fillId="0" borderId="0" xfId="3" applyNumberFormat="1" applyFont="1"/>
  </cellXfs>
  <cellStyles count="4">
    <cellStyle name="Comma" xfId="1" builtinId="3"/>
    <cellStyle name="Normal" xfId="0" builtinId="0"/>
    <cellStyle name="Normal 10" xfId="2" xr:uid="{0649A187-48BD-49D5-AF52-F853C2665B77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0</xdr:row>
      <xdr:rowOff>161925</xdr:rowOff>
    </xdr:from>
    <xdr:to>
      <xdr:col>7</xdr:col>
      <xdr:colOff>938933</xdr:colOff>
      <xdr:row>3</xdr:row>
      <xdr:rowOff>56695</xdr:rowOff>
    </xdr:to>
    <xdr:pic>
      <xdr:nvPicPr>
        <xdr:cNvPr id="2" name="Picture 9" descr="DUPLA 3 copy">
          <a:extLst>
            <a:ext uri="{FF2B5EF4-FFF2-40B4-BE49-F238E27FC236}">
              <a16:creationId xmlns:a16="http://schemas.microsoft.com/office/drawing/2014/main" id="{98CBA065-F30B-482C-9054-8626F537A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0" t="6250" r="40625" b="75000"/>
        <a:stretch>
          <a:fillRect/>
        </a:stretch>
      </xdr:blipFill>
      <xdr:spPr bwMode="auto">
        <a:xfrm>
          <a:off x="11506200" y="161925"/>
          <a:ext cx="1119908" cy="63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142876</xdr:colOff>
      <xdr:row>0</xdr:row>
      <xdr:rowOff>91934</xdr:rowOff>
    </xdr:from>
    <xdr:to>
      <xdr:col>3</xdr:col>
      <xdr:colOff>1649075</xdr:colOff>
      <xdr:row>2</xdr:row>
      <xdr:rowOff>229421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BA239EA-1994-4A99-8A6C-C6BA2D6E1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1" y="91934"/>
          <a:ext cx="1506199" cy="6327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0</xdr:row>
      <xdr:rowOff>161925</xdr:rowOff>
    </xdr:from>
    <xdr:to>
      <xdr:col>7</xdr:col>
      <xdr:colOff>938933</xdr:colOff>
      <xdr:row>3</xdr:row>
      <xdr:rowOff>56695</xdr:rowOff>
    </xdr:to>
    <xdr:pic>
      <xdr:nvPicPr>
        <xdr:cNvPr id="2" name="Picture 9" descr="DUPLA 3 copy">
          <a:extLst>
            <a:ext uri="{FF2B5EF4-FFF2-40B4-BE49-F238E27FC236}">
              <a16:creationId xmlns:a16="http://schemas.microsoft.com/office/drawing/2014/main" id="{6BF1C31E-3AB2-40BD-8052-4FD96AF4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0" t="6250" r="40625" b="75000"/>
        <a:stretch>
          <a:fillRect/>
        </a:stretch>
      </xdr:blipFill>
      <xdr:spPr bwMode="auto">
        <a:xfrm>
          <a:off x="7553325" y="161925"/>
          <a:ext cx="1119908" cy="63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142876</xdr:colOff>
      <xdr:row>0</xdr:row>
      <xdr:rowOff>91934</xdr:rowOff>
    </xdr:from>
    <xdr:to>
      <xdr:col>3</xdr:col>
      <xdr:colOff>1649075</xdr:colOff>
      <xdr:row>2</xdr:row>
      <xdr:rowOff>229421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6F439E6-A773-4EFA-BA3C-26E04290C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6" y="91934"/>
          <a:ext cx="1506199" cy="632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0</xdr:row>
      <xdr:rowOff>161925</xdr:rowOff>
    </xdr:from>
    <xdr:to>
      <xdr:col>7</xdr:col>
      <xdr:colOff>938933</xdr:colOff>
      <xdr:row>3</xdr:row>
      <xdr:rowOff>56695</xdr:rowOff>
    </xdr:to>
    <xdr:pic>
      <xdr:nvPicPr>
        <xdr:cNvPr id="2" name="Picture 9" descr="DUPLA 3 copy">
          <a:extLst>
            <a:ext uri="{FF2B5EF4-FFF2-40B4-BE49-F238E27FC236}">
              <a16:creationId xmlns:a16="http://schemas.microsoft.com/office/drawing/2014/main" id="{3A0F2058-DA38-47C9-95CA-90632C847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0" t="6250" r="40625" b="75000"/>
        <a:stretch>
          <a:fillRect/>
        </a:stretch>
      </xdr:blipFill>
      <xdr:spPr bwMode="auto">
        <a:xfrm>
          <a:off x="7553325" y="161925"/>
          <a:ext cx="1119908" cy="63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142876</xdr:colOff>
      <xdr:row>0</xdr:row>
      <xdr:rowOff>91934</xdr:rowOff>
    </xdr:from>
    <xdr:to>
      <xdr:col>3</xdr:col>
      <xdr:colOff>1649075</xdr:colOff>
      <xdr:row>2</xdr:row>
      <xdr:rowOff>229421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803D31E-853D-4B6D-AAD3-02D252FD2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6" y="91934"/>
          <a:ext cx="1506199" cy="6327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0</xdr:row>
      <xdr:rowOff>161925</xdr:rowOff>
    </xdr:from>
    <xdr:to>
      <xdr:col>7</xdr:col>
      <xdr:colOff>938933</xdr:colOff>
      <xdr:row>3</xdr:row>
      <xdr:rowOff>56695</xdr:rowOff>
    </xdr:to>
    <xdr:pic>
      <xdr:nvPicPr>
        <xdr:cNvPr id="2" name="Picture 9" descr="DUPLA 3 copy">
          <a:extLst>
            <a:ext uri="{FF2B5EF4-FFF2-40B4-BE49-F238E27FC236}">
              <a16:creationId xmlns:a16="http://schemas.microsoft.com/office/drawing/2014/main" id="{EFCF7617-767C-4B6D-B7DE-2FA6A524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0" t="6250" r="40625" b="75000"/>
        <a:stretch>
          <a:fillRect/>
        </a:stretch>
      </xdr:blipFill>
      <xdr:spPr bwMode="auto">
        <a:xfrm>
          <a:off x="7324725" y="161925"/>
          <a:ext cx="1081808" cy="494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142876</xdr:colOff>
      <xdr:row>0</xdr:row>
      <xdr:rowOff>91934</xdr:rowOff>
    </xdr:from>
    <xdr:to>
      <xdr:col>3</xdr:col>
      <xdr:colOff>1649075</xdr:colOff>
      <xdr:row>2</xdr:row>
      <xdr:rowOff>229421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B4A4068-C7E3-48A7-8395-C1AECAFAC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1" y="91934"/>
          <a:ext cx="1466850" cy="670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D33C-80B5-428C-9C09-3EAAFD08D5BB}">
  <sheetPr>
    <tabColor rgb="FF92D050"/>
  </sheetPr>
  <dimension ref="A1:M804"/>
  <sheetViews>
    <sheetView tabSelected="1" view="pageBreakPreview" zoomScaleNormal="100" zoomScaleSheetLayoutView="100" workbookViewId="0">
      <selection activeCell="J12" sqref="J12"/>
    </sheetView>
  </sheetViews>
  <sheetFormatPr defaultColWidth="11.42578125" defaultRowHeight="20.100000000000001" customHeight="1" outlineLevelRow="1" outlineLevelCol="1" x14ac:dyDescent="0.25"/>
  <cols>
    <col min="1" max="1" width="12" style="50" customWidth="1"/>
    <col min="2" max="2" width="6.7109375" style="13" hidden="1" customWidth="1" outlineLevel="1"/>
    <col min="3" max="3" width="50.85546875" style="50" hidden="1" customWidth="1" outlineLevel="1"/>
    <col min="4" max="4" width="64.5703125" style="50" customWidth="1" collapsed="1"/>
    <col min="5" max="5" width="15.5703125" style="35" customWidth="1"/>
    <col min="6" max="6" width="8.7109375" style="13" customWidth="1"/>
    <col min="7" max="8" width="16.85546875" style="35" customWidth="1"/>
    <col min="9" max="9" width="13.140625" style="2" bestFit="1" customWidth="1"/>
    <col min="10" max="10" width="13.140625" style="2" customWidth="1"/>
    <col min="11" max="11" width="15.7109375" style="4" bestFit="1" customWidth="1"/>
    <col min="12" max="12" width="14.5703125" style="2" bestFit="1" customWidth="1"/>
    <col min="13" max="13" width="15.7109375" style="96" bestFit="1" customWidth="1"/>
    <col min="14" max="16384" width="11.42578125" style="2"/>
  </cols>
  <sheetData>
    <row r="1" spans="1:13" ht="20.100000000000001" customHeight="1" x14ac:dyDescent="0.25">
      <c r="A1" s="51"/>
      <c r="B1" s="14"/>
      <c r="C1" s="36"/>
      <c r="D1" s="36"/>
      <c r="E1" s="86" t="s">
        <v>1065</v>
      </c>
      <c r="F1" s="14"/>
      <c r="G1" s="72"/>
      <c r="H1" s="22"/>
    </row>
    <row r="2" spans="1:13" ht="20.100000000000001" customHeight="1" x14ac:dyDescent="0.25">
      <c r="A2" s="52"/>
      <c r="B2" s="9"/>
      <c r="C2" s="37"/>
      <c r="D2" s="37"/>
      <c r="E2" s="87" t="s">
        <v>1066</v>
      </c>
      <c r="F2" s="9"/>
      <c r="G2" s="73"/>
      <c r="H2" s="23"/>
    </row>
    <row r="3" spans="1:13" ht="20.100000000000001" customHeight="1" x14ac:dyDescent="0.25">
      <c r="A3" s="52"/>
      <c r="B3" s="9"/>
      <c r="C3" s="37"/>
      <c r="D3" s="37"/>
      <c r="E3" s="87" t="s">
        <v>1632</v>
      </c>
      <c r="F3" s="9"/>
      <c r="G3" s="73"/>
      <c r="H3" s="23"/>
    </row>
    <row r="4" spans="1:13" ht="20.100000000000001" customHeight="1" x14ac:dyDescent="0.25">
      <c r="A4" s="53" t="s">
        <v>0</v>
      </c>
      <c r="B4" s="9"/>
      <c r="C4" s="37"/>
      <c r="D4" s="37"/>
      <c r="E4" s="73"/>
      <c r="F4" s="9"/>
      <c r="G4" s="73"/>
      <c r="H4" s="23"/>
    </row>
    <row r="5" spans="1:13" ht="20.100000000000001" customHeight="1" thickBot="1" x14ac:dyDescent="0.3">
      <c r="A5" s="54" t="s">
        <v>1633</v>
      </c>
      <c r="B5" s="10"/>
      <c r="C5" s="38"/>
      <c r="D5" s="38"/>
      <c r="E5" s="71"/>
      <c r="F5" s="10"/>
      <c r="G5" s="71"/>
      <c r="H5" s="24" t="s">
        <v>1634</v>
      </c>
      <c r="K5" s="107"/>
      <c r="M5" s="107"/>
    </row>
    <row r="6" spans="1:13" ht="20.100000000000001" customHeight="1" thickBot="1" x14ac:dyDescent="0.3">
      <c r="A6" s="55" t="s">
        <v>1</v>
      </c>
      <c r="B6" s="11" t="s">
        <v>2</v>
      </c>
      <c r="C6" s="39" t="s">
        <v>4</v>
      </c>
      <c r="D6" s="39" t="s">
        <v>1038</v>
      </c>
      <c r="E6" s="74" t="s">
        <v>5</v>
      </c>
      <c r="F6" s="11" t="s">
        <v>3</v>
      </c>
      <c r="G6" s="74" t="s">
        <v>6</v>
      </c>
      <c r="H6" s="25" t="s">
        <v>7</v>
      </c>
    </row>
    <row r="7" spans="1:13" ht="20.100000000000001" customHeight="1" x14ac:dyDescent="0.25">
      <c r="A7" s="56" t="s">
        <v>8</v>
      </c>
      <c r="B7" s="15" t="s">
        <v>9</v>
      </c>
      <c r="C7" s="40" t="s">
        <v>11</v>
      </c>
      <c r="D7" s="40" t="s">
        <v>1035</v>
      </c>
      <c r="E7" s="88">
        <f>E781</f>
        <v>1</v>
      </c>
      <c r="F7" s="15" t="s">
        <v>10</v>
      </c>
      <c r="G7" s="75">
        <f>G781</f>
        <v>915627.85</v>
      </c>
      <c r="H7" s="26">
        <f>H781</f>
        <v>915627.85</v>
      </c>
    </row>
    <row r="8" spans="1:13" ht="20.100000000000001" customHeight="1" x14ac:dyDescent="0.25">
      <c r="A8" s="57" t="s">
        <v>12</v>
      </c>
      <c r="B8" s="16" t="s">
        <v>9</v>
      </c>
      <c r="C8" s="41" t="s">
        <v>13</v>
      </c>
      <c r="D8" s="41" t="s">
        <v>1036</v>
      </c>
      <c r="E8" s="76">
        <f>E35</f>
        <v>1</v>
      </c>
      <c r="F8" s="16" t="s">
        <v>10</v>
      </c>
      <c r="G8" s="76">
        <f>G35</f>
        <v>103963.85</v>
      </c>
      <c r="H8" s="27">
        <f>H35</f>
        <v>103963.85</v>
      </c>
    </row>
    <row r="9" spans="1:13" ht="20.100000000000001" customHeight="1" x14ac:dyDescent="0.25">
      <c r="A9" s="58" t="s">
        <v>14</v>
      </c>
      <c r="B9" s="5" t="s">
        <v>9</v>
      </c>
      <c r="C9" s="42" t="s">
        <v>15</v>
      </c>
      <c r="D9" s="42" t="s">
        <v>1037</v>
      </c>
      <c r="E9" s="77">
        <f>E12</f>
        <v>1</v>
      </c>
      <c r="F9" s="5" t="s">
        <v>10</v>
      </c>
      <c r="G9" s="77">
        <f>G12</f>
        <v>9292.49</v>
      </c>
      <c r="H9" s="28">
        <f>H12</f>
        <v>9292.49</v>
      </c>
    </row>
    <row r="10" spans="1:13" ht="20.100000000000001" customHeight="1" x14ac:dyDescent="0.25">
      <c r="A10" s="59" t="s">
        <v>16</v>
      </c>
      <c r="B10" s="3" t="s">
        <v>17</v>
      </c>
      <c r="C10" s="43" t="s">
        <v>19</v>
      </c>
      <c r="D10" s="43" t="s">
        <v>1039</v>
      </c>
      <c r="E10" s="78">
        <v>2868.89</v>
      </c>
      <c r="F10" s="3" t="s">
        <v>18</v>
      </c>
      <c r="G10" s="78">
        <v>1.5</v>
      </c>
      <c r="H10" s="20">
        <f>ROUND(E10*G10,2)</f>
        <v>4303.34</v>
      </c>
      <c r="K10" s="96"/>
    </row>
    <row r="11" spans="1:13" ht="20.100000000000001" customHeight="1" x14ac:dyDescent="0.25">
      <c r="A11" s="59" t="s">
        <v>20</v>
      </c>
      <c r="B11" s="3" t="s">
        <v>17</v>
      </c>
      <c r="C11" s="43" t="s">
        <v>21</v>
      </c>
      <c r="D11" s="43" t="s">
        <v>1040</v>
      </c>
      <c r="E11" s="78">
        <v>1794.66</v>
      </c>
      <c r="F11" s="3" t="s">
        <v>18</v>
      </c>
      <c r="G11" s="78">
        <v>2.78</v>
      </c>
      <c r="H11" s="20">
        <f>ROUND(E11*G11,2)</f>
        <v>4989.1499999999996</v>
      </c>
      <c r="K11" s="96"/>
      <c r="L11" s="109"/>
    </row>
    <row r="12" spans="1:13" ht="20.100000000000001" customHeight="1" x14ac:dyDescent="0.25">
      <c r="A12" s="52"/>
      <c r="B12" s="9"/>
      <c r="C12" s="44" t="s">
        <v>22</v>
      </c>
      <c r="D12" s="44" t="s">
        <v>22</v>
      </c>
      <c r="E12" s="78">
        <v>1</v>
      </c>
      <c r="F12" s="9"/>
      <c r="G12" s="79">
        <f>SUM(H10:H11)</f>
        <v>9292.49</v>
      </c>
      <c r="H12" s="29">
        <f>ROUND(E12*G12,2)</f>
        <v>9292.49</v>
      </c>
      <c r="K12" s="96"/>
    </row>
    <row r="13" spans="1:13" ht="20.100000000000001" customHeight="1" x14ac:dyDescent="0.25">
      <c r="A13" s="60"/>
      <c r="B13" s="12"/>
      <c r="C13" s="45"/>
      <c r="D13" s="45"/>
      <c r="E13" s="34"/>
      <c r="F13" s="12"/>
      <c r="G13" s="34"/>
      <c r="H13" s="30"/>
      <c r="K13" s="96"/>
    </row>
    <row r="14" spans="1:13" ht="20.100000000000001" customHeight="1" x14ac:dyDescent="0.25">
      <c r="A14" s="58" t="s">
        <v>23</v>
      </c>
      <c r="B14" s="5" t="s">
        <v>9</v>
      </c>
      <c r="C14" s="42" t="s">
        <v>24</v>
      </c>
      <c r="D14" s="42" t="s">
        <v>1043</v>
      </c>
      <c r="E14" s="77">
        <f>E17</f>
        <v>1</v>
      </c>
      <c r="F14" s="5" t="s">
        <v>10</v>
      </c>
      <c r="G14" s="77">
        <f>G17</f>
        <v>3552.58</v>
      </c>
      <c r="H14" s="28">
        <f>H17</f>
        <v>3552.58</v>
      </c>
      <c r="K14" s="96"/>
    </row>
    <row r="15" spans="1:13" ht="20.100000000000001" customHeight="1" x14ac:dyDescent="0.25">
      <c r="A15" s="59" t="s">
        <v>25</v>
      </c>
      <c r="B15" s="3" t="s">
        <v>17</v>
      </c>
      <c r="C15" s="43" t="s">
        <v>27</v>
      </c>
      <c r="D15" s="43" t="s">
        <v>1041</v>
      </c>
      <c r="E15" s="78">
        <v>1</v>
      </c>
      <c r="F15" s="3" t="s">
        <v>26</v>
      </c>
      <c r="G15" s="78">
        <f>(15000*8)/60</f>
        <v>2000</v>
      </c>
      <c r="H15" s="20">
        <f>ROUND(E15*G15,2)</f>
        <v>2000</v>
      </c>
      <c r="K15" s="96"/>
    </row>
    <row r="16" spans="1:13" ht="20.100000000000001" customHeight="1" x14ac:dyDescent="0.25">
      <c r="A16" s="59" t="s">
        <v>28</v>
      </c>
      <c r="B16" s="3" t="s">
        <v>17</v>
      </c>
      <c r="C16" s="43" t="s">
        <v>30</v>
      </c>
      <c r="D16" s="43" t="s">
        <v>1042</v>
      </c>
      <c r="E16" s="78">
        <v>176.43</v>
      </c>
      <c r="F16" s="3" t="s">
        <v>29</v>
      </c>
      <c r="G16" s="78">
        <v>8.8000000000000007</v>
      </c>
      <c r="H16" s="20">
        <f>ROUND(E16*G16,2)</f>
        <v>1552.58</v>
      </c>
      <c r="K16" s="96"/>
    </row>
    <row r="17" spans="1:11" ht="20.100000000000001" customHeight="1" x14ac:dyDescent="0.25">
      <c r="A17" s="52"/>
      <c r="B17" s="9"/>
      <c r="C17" s="44" t="s">
        <v>31</v>
      </c>
      <c r="D17" s="44" t="s">
        <v>31</v>
      </c>
      <c r="E17" s="78">
        <v>1</v>
      </c>
      <c r="F17" s="9"/>
      <c r="G17" s="79">
        <f>SUM(H15:H16)</f>
        <v>3552.58</v>
      </c>
      <c r="H17" s="29">
        <f>ROUND(E17*G17,2)</f>
        <v>3552.58</v>
      </c>
      <c r="K17" s="96"/>
    </row>
    <row r="18" spans="1:11" ht="20.100000000000001" customHeight="1" x14ac:dyDescent="0.25">
      <c r="A18" s="60"/>
      <c r="B18" s="12"/>
      <c r="C18" s="45"/>
      <c r="D18" s="45"/>
      <c r="E18" s="34"/>
      <c r="F18" s="12"/>
      <c r="G18" s="34"/>
      <c r="H18" s="30"/>
      <c r="K18" s="96"/>
    </row>
    <row r="19" spans="1:11" ht="20.100000000000001" customHeight="1" x14ac:dyDescent="0.25">
      <c r="A19" s="58" t="s">
        <v>32</v>
      </c>
      <c r="B19" s="5" t="s">
        <v>9</v>
      </c>
      <c r="C19" s="42" t="s">
        <v>33</v>
      </c>
      <c r="D19" s="42" t="s">
        <v>1050</v>
      </c>
      <c r="E19" s="77">
        <f>E23</f>
        <v>1</v>
      </c>
      <c r="F19" s="5" t="s">
        <v>10</v>
      </c>
      <c r="G19" s="77">
        <f>G23</f>
        <v>17963.59</v>
      </c>
      <c r="H19" s="28">
        <f>H23</f>
        <v>17963.59</v>
      </c>
      <c r="K19" s="96"/>
    </row>
    <row r="20" spans="1:11" ht="20.100000000000001" customHeight="1" x14ac:dyDescent="0.25">
      <c r="A20" s="59" t="s">
        <v>34</v>
      </c>
      <c r="B20" s="3" t="s">
        <v>17</v>
      </c>
      <c r="C20" s="43" t="s">
        <v>36</v>
      </c>
      <c r="D20" s="43" t="s">
        <v>1044</v>
      </c>
      <c r="E20" s="78">
        <v>396</v>
      </c>
      <c r="F20" s="3" t="s">
        <v>35</v>
      </c>
      <c r="G20" s="78">
        <v>29.82</v>
      </c>
      <c r="H20" s="20">
        <f>ROUND(E20*G20,2)</f>
        <v>11808.72</v>
      </c>
      <c r="K20" s="96"/>
    </row>
    <row r="21" spans="1:11" ht="20.100000000000001" customHeight="1" x14ac:dyDescent="0.25">
      <c r="A21" s="59" t="s">
        <v>37</v>
      </c>
      <c r="B21" s="3" t="s">
        <v>17</v>
      </c>
      <c r="C21" s="43" t="s">
        <v>39</v>
      </c>
      <c r="D21" s="43" t="s">
        <v>1045</v>
      </c>
      <c r="E21" s="78">
        <f>+E26</f>
        <v>10</v>
      </c>
      <c r="F21" s="3" t="s">
        <v>38</v>
      </c>
      <c r="G21" s="78">
        <v>197.28</v>
      </c>
      <c r="H21" s="20">
        <f>ROUND(E21*G21,2)</f>
        <v>1972.8</v>
      </c>
      <c r="I21" s="106"/>
      <c r="K21" s="96"/>
    </row>
    <row r="22" spans="1:11" ht="20.100000000000001" customHeight="1" x14ac:dyDescent="0.25">
      <c r="A22" s="59" t="s">
        <v>40</v>
      </c>
      <c r="B22" s="3" t="s">
        <v>17</v>
      </c>
      <c r="C22" s="43" t="s">
        <v>41</v>
      </c>
      <c r="D22" s="43" t="s">
        <v>1046</v>
      </c>
      <c r="E22" s="78">
        <v>1</v>
      </c>
      <c r="F22" s="3" t="s">
        <v>10</v>
      </c>
      <c r="G22" s="78">
        <v>4182.07</v>
      </c>
      <c r="H22" s="20">
        <f>ROUND(E22*G22,2)</f>
        <v>4182.07</v>
      </c>
      <c r="K22" s="96"/>
    </row>
    <row r="23" spans="1:11" ht="20.100000000000001" customHeight="1" x14ac:dyDescent="0.25">
      <c r="A23" s="52"/>
      <c r="B23" s="9"/>
      <c r="C23" s="44" t="s">
        <v>42</v>
      </c>
      <c r="D23" s="44" t="s">
        <v>42</v>
      </c>
      <c r="E23" s="78">
        <v>1</v>
      </c>
      <c r="F23" s="9"/>
      <c r="G23" s="79">
        <f>SUM(H20:H22)</f>
        <v>17963.59</v>
      </c>
      <c r="H23" s="29">
        <f>ROUND(E23*G23,2)</f>
        <v>17963.59</v>
      </c>
      <c r="K23" s="96"/>
    </row>
    <row r="24" spans="1:11" ht="20.100000000000001" customHeight="1" x14ac:dyDescent="0.25">
      <c r="A24" s="60"/>
      <c r="B24" s="12"/>
      <c r="C24" s="45"/>
      <c r="D24" s="45"/>
      <c r="E24" s="34"/>
      <c r="F24" s="12"/>
      <c r="G24" s="34"/>
      <c r="H24" s="30"/>
      <c r="K24" s="96"/>
    </row>
    <row r="25" spans="1:11" ht="20.100000000000001" customHeight="1" x14ac:dyDescent="0.25">
      <c r="A25" s="58" t="s">
        <v>43</v>
      </c>
      <c r="B25" s="5" t="s">
        <v>9</v>
      </c>
      <c r="C25" s="42" t="s">
        <v>44</v>
      </c>
      <c r="D25" s="42" t="s">
        <v>1049</v>
      </c>
      <c r="E25" s="77">
        <f>E28</f>
        <v>1</v>
      </c>
      <c r="F25" s="5" t="s">
        <v>10</v>
      </c>
      <c r="G25" s="77">
        <f>G28</f>
        <v>31851.119999999999</v>
      </c>
      <c r="H25" s="28">
        <f>H28</f>
        <v>31851.119999999999</v>
      </c>
      <c r="K25" s="96"/>
    </row>
    <row r="26" spans="1:11" ht="20.100000000000001" customHeight="1" x14ac:dyDescent="0.25">
      <c r="A26" s="59" t="s">
        <v>45</v>
      </c>
      <c r="B26" s="3" t="s">
        <v>17</v>
      </c>
      <c r="C26" s="43" t="s">
        <v>46</v>
      </c>
      <c r="D26" s="43" t="s">
        <v>1047</v>
      </c>
      <c r="E26" s="78">
        <v>10</v>
      </c>
      <c r="F26" s="3" t="s">
        <v>38</v>
      </c>
      <c r="G26" s="78">
        <f>(3325.87/12)*10</f>
        <v>2771.56</v>
      </c>
      <c r="H26" s="20">
        <f>ROUND(E26*G26,2)</f>
        <v>27715.599999999999</v>
      </c>
      <c r="I26" s="106"/>
      <c r="K26" s="96"/>
    </row>
    <row r="27" spans="1:11" ht="20.100000000000001" customHeight="1" x14ac:dyDescent="0.25">
      <c r="A27" s="59" t="s">
        <v>47</v>
      </c>
      <c r="B27" s="3" t="s">
        <v>17</v>
      </c>
      <c r="C27" s="43" t="s">
        <v>49</v>
      </c>
      <c r="D27" s="43" t="s">
        <v>1048</v>
      </c>
      <c r="E27" s="78">
        <v>559.61</v>
      </c>
      <c r="F27" s="3" t="s">
        <v>48</v>
      </c>
      <c r="G27" s="78">
        <v>7.39</v>
      </c>
      <c r="H27" s="20">
        <f>ROUND(E27*G27,2)</f>
        <v>4135.5200000000004</v>
      </c>
      <c r="K27" s="96"/>
    </row>
    <row r="28" spans="1:11" ht="20.100000000000001" customHeight="1" x14ac:dyDescent="0.25">
      <c r="A28" s="52"/>
      <c r="B28" s="9"/>
      <c r="C28" s="44" t="s">
        <v>50</v>
      </c>
      <c r="D28" s="44" t="s">
        <v>50</v>
      </c>
      <c r="E28" s="78">
        <v>1</v>
      </c>
      <c r="F28" s="9"/>
      <c r="G28" s="79">
        <f>SUM(H26:H27)</f>
        <v>31851.119999999999</v>
      </c>
      <c r="H28" s="29">
        <f>ROUND(E28*G28,2)</f>
        <v>31851.119999999999</v>
      </c>
      <c r="K28" s="96"/>
    </row>
    <row r="29" spans="1:11" ht="20.100000000000001" customHeight="1" x14ac:dyDescent="0.25">
      <c r="A29" s="60"/>
      <c r="B29" s="12"/>
      <c r="C29" s="45"/>
      <c r="D29" s="45"/>
      <c r="E29" s="34"/>
      <c r="F29" s="12"/>
      <c r="G29" s="34"/>
      <c r="H29" s="30"/>
      <c r="K29" s="96"/>
    </row>
    <row r="30" spans="1:11" ht="20.100000000000001" customHeight="1" x14ac:dyDescent="0.25">
      <c r="A30" s="58" t="s">
        <v>51</v>
      </c>
      <c r="B30" s="5" t="s">
        <v>9</v>
      </c>
      <c r="C30" s="42" t="s">
        <v>52</v>
      </c>
      <c r="D30" s="42" t="s">
        <v>1051</v>
      </c>
      <c r="E30" s="77">
        <f>E33</f>
        <v>1</v>
      </c>
      <c r="F30" s="5" t="s">
        <v>10</v>
      </c>
      <c r="G30" s="77">
        <f>G33</f>
        <v>41304.07</v>
      </c>
      <c r="H30" s="28">
        <f>H33</f>
        <v>41304.07</v>
      </c>
      <c r="K30" s="96"/>
    </row>
    <row r="31" spans="1:11" ht="20.100000000000001" customHeight="1" x14ac:dyDescent="0.25">
      <c r="A31" s="59" t="s">
        <v>53</v>
      </c>
      <c r="B31" s="3" t="s">
        <v>17</v>
      </c>
      <c r="C31" s="43" t="s">
        <v>55</v>
      </c>
      <c r="D31" s="43" t="s">
        <v>1063</v>
      </c>
      <c r="E31" s="78">
        <v>977.83</v>
      </c>
      <c r="F31" s="3" t="s">
        <v>54</v>
      </c>
      <c r="G31" s="78">
        <v>27.54</v>
      </c>
      <c r="H31" s="20">
        <f>ROUND(E31*G31,2)</f>
        <v>26929.439999999999</v>
      </c>
      <c r="K31" s="96"/>
    </row>
    <row r="32" spans="1:11" ht="20.100000000000001" customHeight="1" x14ac:dyDescent="0.25">
      <c r="A32" s="59" t="s">
        <v>56</v>
      </c>
      <c r="B32" s="3" t="s">
        <v>17</v>
      </c>
      <c r="C32" s="43" t="s">
        <v>57</v>
      </c>
      <c r="D32" s="43" t="s">
        <v>1064</v>
      </c>
      <c r="E32" s="78">
        <v>760.16</v>
      </c>
      <c r="F32" s="3" t="s">
        <v>54</v>
      </c>
      <c r="G32" s="78">
        <v>18.91</v>
      </c>
      <c r="H32" s="20">
        <f>ROUND(E32*G32,2)</f>
        <v>14374.63</v>
      </c>
      <c r="K32" s="96"/>
    </row>
    <row r="33" spans="1:11" ht="20.100000000000001" customHeight="1" x14ac:dyDescent="0.25">
      <c r="A33" s="52"/>
      <c r="B33" s="9"/>
      <c r="C33" s="44" t="s">
        <v>58</v>
      </c>
      <c r="D33" s="44" t="s">
        <v>58</v>
      </c>
      <c r="E33" s="78">
        <v>1</v>
      </c>
      <c r="F33" s="9"/>
      <c r="G33" s="79">
        <f>SUM(H31:H32)</f>
        <v>41304.07</v>
      </c>
      <c r="H33" s="29">
        <f>ROUND(E33*G33,2)</f>
        <v>41304.07</v>
      </c>
      <c r="K33" s="96"/>
    </row>
    <row r="34" spans="1:11" ht="20.100000000000001" customHeight="1" x14ac:dyDescent="0.25">
      <c r="A34" s="60"/>
      <c r="B34" s="12"/>
      <c r="C34" s="45"/>
      <c r="D34" s="45"/>
      <c r="E34" s="34"/>
      <c r="F34" s="12"/>
      <c r="G34" s="34"/>
      <c r="H34" s="30"/>
      <c r="K34" s="96"/>
    </row>
    <row r="35" spans="1:11" ht="20.100000000000001" customHeight="1" x14ac:dyDescent="0.25">
      <c r="A35" s="52"/>
      <c r="B35" s="9"/>
      <c r="C35" s="44" t="s">
        <v>59</v>
      </c>
      <c r="D35" s="44" t="s">
        <v>59</v>
      </c>
      <c r="E35" s="78">
        <v>1</v>
      </c>
      <c r="F35" s="9"/>
      <c r="G35" s="79">
        <f>H9+H14+H19+H25+H30</f>
        <v>103963.85</v>
      </c>
      <c r="H35" s="29">
        <f>ROUND(E35*G35,2)</f>
        <v>103963.85</v>
      </c>
      <c r="K35" s="96"/>
    </row>
    <row r="36" spans="1:11" ht="20.100000000000001" customHeight="1" x14ac:dyDescent="0.25">
      <c r="A36" s="60"/>
      <c r="B36" s="12"/>
      <c r="C36" s="45"/>
      <c r="D36" s="45"/>
      <c r="E36" s="34"/>
      <c r="F36" s="12"/>
      <c r="G36" s="34"/>
      <c r="H36" s="30"/>
      <c r="K36" s="96"/>
    </row>
    <row r="37" spans="1:11" ht="20.100000000000001" customHeight="1" x14ac:dyDescent="0.25">
      <c r="A37" s="57" t="s">
        <v>60</v>
      </c>
      <c r="B37" s="16" t="s">
        <v>9</v>
      </c>
      <c r="C37" s="41" t="s">
        <v>61</v>
      </c>
      <c r="D37" s="41" t="s">
        <v>1631</v>
      </c>
      <c r="E37" s="76">
        <f>E605</f>
        <v>1</v>
      </c>
      <c r="F37" s="16" t="s">
        <v>10</v>
      </c>
      <c r="G37" s="76">
        <f>G605</f>
        <v>579503.18000000005</v>
      </c>
      <c r="H37" s="27">
        <f>H605</f>
        <v>579503.18000000005</v>
      </c>
      <c r="K37" s="96"/>
    </row>
    <row r="38" spans="1:11" ht="20.100000000000001" customHeight="1" x14ac:dyDescent="0.25">
      <c r="A38" s="58" t="s">
        <v>62</v>
      </c>
      <c r="B38" s="5" t="s">
        <v>9</v>
      </c>
      <c r="C38" s="42" t="s">
        <v>63</v>
      </c>
      <c r="D38" s="42" t="s">
        <v>1053</v>
      </c>
      <c r="E38" s="77">
        <f>E221</f>
        <v>1</v>
      </c>
      <c r="F38" s="5" t="s">
        <v>10</v>
      </c>
      <c r="G38" s="77">
        <f>G221</f>
        <v>424351.74</v>
      </c>
      <c r="H38" s="28">
        <f>H221</f>
        <v>424351.74</v>
      </c>
      <c r="K38" s="96"/>
    </row>
    <row r="39" spans="1:11" ht="20.100000000000001" customHeight="1" x14ac:dyDescent="0.25">
      <c r="A39" s="61" t="s">
        <v>64</v>
      </c>
      <c r="B39" s="17" t="s">
        <v>9</v>
      </c>
      <c r="C39" s="46" t="s">
        <v>66</v>
      </c>
      <c r="D39" s="46" t="s">
        <v>1054</v>
      </c>
      <c r="E39" s="80">
        <f>E94</f>
        <v>1</v>
      </c>
      <c r="F39" s="17" t="s">
        <v>65</v>
      </c>
      <c r="G39" s="80">
        <f>G94</f>
        <v>131156.24</v>
      </c>
      <c r="H39" s="31">
        <f>H94</f>
        <v>131156.24</v>
      </c>
      <c r="K39" s="96"/>
    </row>
    <row r="40" spans="1:11" ht="20.100000000000001" customHeight="1" x14ac:dyDescent="0.25">
      <c r="A40" s="62" t="s">
        <v>67</v>
      </c>
      <c r="B40" s="7" t="s">
        <v>9</v>
      </c>
      <c r="C40" s="47" t="s">
        <v>68</v>
      </c>
      <c r="D40" s="47" t="s">
        <v>1055</v>
      </c>
      <c r="E40" s="81">
        <f>E48</f>
        <v>1</v>
      </c>
      <c r="F40" s="7" t="s">
        <v>10</v>
      </c>
      <c r="G40" s="81">
        <f>G48</f>
        <v>37920.06</v>
      </c>
      <c r="H40" s="21">
        <f>H48</f>
        <v>37920.06</v>
      </c>
      <c r="K40" s="96"/>
    </row>
    <row r="41" spans="1:11" ht="20.100000000000001" customHeight="1" x14ac:dyDescent="0.25">
      <c r="A41" s="59" t="s">
        <v>69</v>
      </c>
      <c r="B41" s="3" t="s">
        <v>17</v>
      </c>
      <c r="C41" s="43" t="s">
        <v>71</v>
      </c>
      <c r="D41" s="43" t="s">
        <v>1056</v>
      </c>
      <c r="E41" s="78">
        <v>119.73</v>
      </c>
      <c r="F41" s="3" t="s">
        <v>70</v>
      </c>
      <c r="G41" s="78">
        <v>33.47</v>
      </c>
      <c r="H41" s="20">
        <f t="shared" ref="H41:H48" si="0">ROUND(E41*G41,2)</f>
        <v>4007.36</v>
      </c>
      <c r="K41" s="96"/>
    </row>
    <row r="42" spans="1:11" ht="20.100000000000001" customHeight="1" x14ac:dyDescent="0.25">
      <c r="A42" s="59" t="s">
        <v>72</v>
      </c>
      <c r="B42" s="3" t="s">
        <v>17</v>
      </c>
      <c r="C42" s="43" t="s">
        <v>73</v>
      </c>
      <c r="D42" s="43" t="s">
        <v>1057</v>
      </c>
      <c r="E42" s="78">
        <v>164.25</v>
      </c>
      <c r="F42" s="3" t="s">
        <v>70</v>
      </c>
      <c r="G42" s="78">
        <v>33.47</v>
      </c>
      <c r="H42" s="20">
        <f t="shared" si="0"/>
        <v>5497.45</v>
      </c>
      <c r="K42" s="96"/>
    </row>
    <row r="43" spans="1:11" ht="20.100000000000001" customHeight="1" x14ac:dyDescent="0.25">
      <c r="A43" s="59" t="s">
        <v>74</v>
      </c>
      <c r="B43" s="3" t="s">
        <v>17</v>
      </c>
      <c r="C43" s="43" t="s">
        <v>76</v>
      </c>
      <c r="D43" s="43" t="s">
        <v>1059</v>
      </c>
      <c r="E43" s="78">
        <v>151.58000000000001</v>
      </c>
      <c r="F43" s="3" t="s">
        <v>75</v>
      </c>
      <c r="G43" s="78">
        <v>17.46</v>
      </c>
      <c r="H43" s="20">
        <f t="shared" si="0"/>
        <v>2646.59</v>
      </c>
      <c r="K43" s="96"/>
    </row>
    <row r="44" spans="1:11" ht="20.100000000000001" customHeight="1" x14ac:dyDescent="0.25">
      <c r="A44" s="59" t="s">
        <v>77</v>
      </c>
      <c r="B44" s="3" t="s">
        <v>17</v>
      </c>
      <c r="C44" s="43" t="s">
        <v>78</v>
      </c>
      <c r="D44" s="43" t="s">
        <v>1058</v>
      </c>
      <c r="E44" s="78">
        <v>595.71</v>
      </c>
      <c r="F44" s="3" t="s">
        <v>54</v>
      </c>
      <c r="G44" s="78">
        <v>27.54</v>
      </c>
      <c r="H44" s="20">
        <f t="shared" si="0"/>
        <v>16405.849999999999</v>
      </c>
      <c r="K44" s="96"/>
    </row>
    <row r="45" spans="1:11" ht="20.100000000000001" customHeight="1" x14ac:dyDescent="0.25">
      <c r="A45" s="59" t="s">
        <v>79</v>
      </c>
      <c r="B45" s="3" t="s">
        <v>17</v>
      </c>
      <c r="C45" s="43" t="s">
        <v>81</v>
      </c>
      <c r="D45" s="43" t="s">
        <v>1060</v>
      </c>
      <c r="E45" s="78">
        <v>217.84</v>
      </c>
      <c r="F45" s="3" t="s">
        <v>80</v>
      </c>
      <c r="G45" s="78">
        <v>8.08</v>
      </c>
      <c r="H45" s="20">
        <f t="shared" si="0"/>
        <v>1760.15</v>
      </c>
      <c r="K45" s="96"/>
    </row>
    <row r="46" spans="1:11" ht="20.100000000000001" customHeight="1" x14ac:dyDescent="0.25">
      <c r="A46" s="59" t="s">
        <v>82</v>
      </c>
      <c r="B46" s="3" t="s">
        <v>17</v>
      </c>
      <c r="C46" s="43" t="s">
        <v>83</v>
      </c>
      <c r="D46" s="43" t="s">
        <v>1061</v>
      </c>
      <c r="E46" s="78">
        <v>2273.17</v>
      </c>
      <c r="F46" s="3" t="s">
        <v>18</v>
      </c>
      <c r="G46" s="78">
        <v>2.65</v>
      </c>
      <c r="H46" s="20">
        <f t="shared" si="0"/>
        <v>6023.9</v>
      </c>
      <c r="K46" s="96"/>
    </row>
    <row r="47" spans="1:11" ht="20.100000000000001" customHeight="1" x14ac:dyDescent="0.25">
      <c r="A47" s="59" t="s">
        <v>84</v>
      </c>
      <c r="B47" s="3" t="s">
        <v>17</v>
      </c>
      <c r="C47" s="43" t="s">
        <v>85</v>
      </c>
      <c r="D47" s="43" t="s">
        <v>1062</v>
      </c>
      <c r="E47" s="78">
        <v>595.76</v>
      </c>
      <c r="F47" s="3" t="s">
        <v>18</v>
      </c>
      <c r="G47" s="78">
        <v>2.65</v>
      </c>
      <c r="H47" s="20">
        <f t="shared" si="0"/>
        <v>1578.76</v>
      </c>
      <c r="K47" s="96"/>
    </row>
    <row r="48" spans="1:11" ht="20.100000000000001" customHeight="1" x14ac:dyDescent="0.25">
      <c r="A48" s="52"/>
      <c r="B48" s="9"/>
      <c r="C48" s="44" t="s">
        <v>86</v>
      </c>
      <c r="D48" s="44" t="s">
        <v>86</v>
      </c>
      <c r="E48" s="78">
        <v>1</v>
      </c>
      <c r="F48" s="9"/>
      <c r="G48" s="79">
        <f>SUM(H41:H47)</f>
        <v>37920.06</v>
      </c>
      <c r="H48" s="29">
        <f t="shared" si="0"/>
        <v>37920.06</v>
      </c>
      <c r="K48" s="96"/>
    </row>
    <row r="49" spans="1:11" ht="20.100000000000001" customHeight="1" x14ac:dyDescent="0.25">
      <c r="A49" s="60"/>
      <c r="B49" s="12"/>
      <c r="C49" s="45"/>
      <c r="D49" s="45"/>
      <c r="E49" s="34"/>
      <c r="F49" s="12"/>
      <c r="G49" s="34"/>
      <c r="H49" s="30"/>
      <c r="K49" s="96"/>
    </row>
    <row r="50" spans="1:11" ht="20.100000000000001" customHeight="1" x14ac:dyDescent="0.25">
      <c r="A50" s="62" t="s">
        <v>87</v>
      </c>
      <c r="B50" s="7" t="s">
        <v>9</v>
      </c>
      <c r="C50" s="47" t="s">
        <v>88</v>
      </c>
      <c r="D50" s="47" t="s">
        <v>1150</v>
      </c>
      <c r="E50" s="81">
        <f>E87</f>
        <v>1</v>
      </c>
      <c r="F50" s="7" t="s">
        <v>10</v>
      </c>
      <c r="G50" s="81">
        <f>G87</f>
        <v>61427.93</v>
      </c>
      <c r="H50" s="21">
        <f>H87</f>
        <v>61427.93</v>
      </c>
      <c r="K50" s="96"/>
    </row>
    <row r="51" spans="1:11" ht="20.100000000000001" customHeight="1" x14ac:dyDescent="0.25">
      <c r="A51" s="59" t="s">
        <v>89</v>
      </c>
      <c r="B51" s="3" t="s">
        <v>17</v>
      </c>
      <c r="C51" s="43" t="s">
        <v>90</v>
      </c>
      <c r="D51" s="43" t="s">
        <v>1602</v>
      </c>
      <c r="E51" s="78">
        <v>4.37</v>
      </c>
      <c r="F51" s="3" t="s">
        <v>54</v>
      </c>
      <c r="G51" s="78">
        <v>243.76</v>
      </c>
      <c r="H51" s="20">
        <f t="shared" ref="H51:H87" si="1">ROUND(E51*G51,2)</f>
        <v>1065.23</v>
      </c>
      <c r="K51" s="96"/>
    </row>
    <row r="52" spans="1:11" ht="20.100000000000001" customHeight="1" x14ac:dyDescent="0.25">
      <c r="A52" s="59" t="s">
        <v>91</v>
      </c>
      <c r="B52" s="3" t="s">
        <v>17</v>
      </c>
      <c r="C52" s="43" t="s">
        <v>92</v>
      </c>
      <c r="D52" s="43" t="s">
        <v>1603</v>
      </c>
      <c r="E52" s="78">
        <v>0.78</v>
      </c>
      <c r="F52" s="3" t="s">
        <v>54</v>
      </c>
      <c r="G52" s="78">
        <v>243</v>
      </c>
      <c r="H52" s="20">
        <f t="shared" si="1"/>
        <v>189.54</v>
      </c>
      <c r="K52" s="96"/>
    </row>
    <row r="53" spans="1:11" ht="20.100000000000001" customHeight="1" x14ac:dyDescent="0.25">
      <c r="A53" s="59" t="s">
        <v>93</v>
      </c>
      <c r="B53" s="3" t="s">
        <v>17</v>
      </c>
      <c r="C53" s="43" t="s">
        <v>94</v>
      </c>
      <c r="D53" s="43" t="s">
        <v>1604</v>
      </c>
      <c r="E53" s="78">
        <v>1.6</v>
      </c>
      <c r="F53" s="3" t="s">
        <v>54</v>
      </c>
      <c r="G53" s="78">
        <v>243</v>
      </c>
      <c r="H53" s="20">
        <f t="shared" si="1"/>
        <v>388.8</v>
      </c>
      <c r="K53" s="96"/>
    </row>
    <row r="54" spans="1:11" ht="20.100000000000001" customHeight="1" x14ac:dyDescent="0.25">
      <c r="A54" s="59" t="s">
        <v>95</v>
      </c>
      <c r="B54" s="3" t="s">
        <v>17</v>
      </c>
      <c r="C54" s="43" t="s">
        <v>96</v>
      </c>
      <c r="D54" s="43" t="s">
        <v>1605</v>
      </c>
      <c r="E54" s="78">
        <v>3.74</v>
      </c>
      <c r="F54" s="3" t="s">
        <v>54</v>
      </c>
      <c r="G54" s="78">
        <v>242.25</v>
      </c>
      <c r="H54" s="20">
        <f t="shared" si="1"/>
        <v>906.02</v>
      </c>
      <c r="K54" s="96"/>
    </row>
    <row r="55" spans="1:11" ht="20.100000000000001" customHeight="1" x14ac:dyDescent="0.25">
      <c r="A55" s="59" t="s">
        <v>97</v>
      </c>
      <c r="B55" s="3" t="s">
        <v>17</v>
      </c>
      <c r="C55" s="43" t="s">
        <v>98</v>
      </c>
      <c r="D55" s="43" t="s">
        <v>1606</v>
      </c>
      <c r="E55" s="78">
        <v>2.2000000000000002</v>
      </c>
      <c r="F55" s="3" t="s">
        <v>54</v>
      </c>
      <c r="G55" s="78">
        <v>239.95</v>
      </c>
      <c r="H55" s="20">
        <f t="shared" si="1"/>
        <v>527.89</v>
      </c>
      <c r="K55" s="96"/>
    </row>
    <row r="56" spans="1:11" ht="20.100000000000001" customHeight="1" x14ac:dyDescent="0.25">
      <c r="A56" s="59" t="s">
        <v>99</v>
      </c>
      <c r="B56" s="3" t="s">
        <v>17</v>
      </c>
      <c r="C56" s="43" t="s">
        <v>100</v>
      </c>
      <c r="D56" s="43" t="s">
        <v>1607</v>
      </c>
      <c r="E56" s="78">
        <v>2.2999999999999998</v>
      </c>
      <c r="F56" s="3" t="s">
        <v>54</v>
      </c>
      <c r="G56" s="78">
        <v>278.11</v>
      </c>
      <c r="H56" s="20">
        <f t="shared" si="1"/>
        <v>639.65</v>
      </c>
      <c r="K56" s="96"/>
    </row>
    <row r="57" spans="1:11" ht="20.100000000000001" customHeight="1" x14ac:dyDescent="0.25">
      <c r="A57" s="59" t="s">
        <v>101</v>
      </c>
      <c r="B57" s="3" t="s">
        <v>17</v>
      </c>
      <c r="C57" s="43" t="s">
        <v>102</v>
      </c>
      <c r="D57" s="43" t="s">
        <v>1608</v>
      </c>
      <c r="E57" s="78">
        <v>1.31</v>
      </c>
      <c r="F57" s="3" t="s">
        <v>54</v>
      </c>
      <c r="G57" s="78">
        <v>326.95999999999998</v>
      </c>
      <c r="H57" s="20">
        <f t="shared" si="1"/>
        <v>428.32</v>
      </c>
      <c r="K57" s="96"/>
    </row>
    <row r="58" spans="1:11" ht="20.100000000000001" customHeight="1" x14ac:dyDescent="0.25">
      <c r="A58" s="59" t="s">
        <v>103</v>
      </c>
      <c r="B58" s="3" t="s">
        <v>17</v>
      </c>
      <c r="C58" s="43" t="s">
        <v>104</v>
      </c>
      <c r="D58" s="43" t="s">
        <v>1609</v>
      </c>
      <c r="E58" s="78">
        <v>7.38</v>
      </c>
      <c r="F58" s="3" t="s">
        <v>54</v>
      </c>
      <c r="G58" s="78">
        <v>288.02999999999997</v>
      </c>
      <c r="H58" s="20">
        <f t="shared" si="1"/>
        <v>2125.66</v>
      </c>
      <c r="K58" s="96"/>
    </row>
    <row r="59" spans="1:11" ht="20.100000000000001" customHeight="1" x14ac:dyDescent="0.25">
      <c r="A59" s="59" t="s">
        <v>105</v>
      </c>
      <c r="B59" s="3" t="s">
        <v>17</v>
      </c>
      <c r="C59" s="43" t="s">
        <v>106</v>
      </c>
      <c r="D59" s="43" t="s">
        <v>1610</v>
      </c>
      <c r="E59" s="78">
        <v>1.98</v>
      </c>
      <c r="F59" s="3" t="s">
        <v>54</v>
      </c>
      <c r="G59" s="78">
        <v>234.61</v>
      </c>
      <c r="H59" s="20">
        <f t="shared" si="1"/>
        <v>464.53</v>
      </c>
      <c r="K59" s="96"/>
    </row>
    <row r="60" spans="1:11" ht="20.100000000000001" customHeight="1" x14ac:dyDescent="0.25">
      <c r="A60" s="59" t="s">
        <v>107</v>
      </c>
      <c r="B60" s="3" t="s">
        <v>17</v>
      </c>
      <c r="C60" s="43" t="s">
        <v>108</v>
      </c>
      <c r="D60" s="43" t="s">
        <v>1611</v>
      </c>
      <c r="E60" s="78">
        <v>3.19</v>
      </c>
      <c r="F60" s="3" t="s">
        <v>54</v>
      </c>
      <c r="G60" s="78">
        <v>232.31</v>
      </c>
      <c r="H60" s="20">
        <f t="shared" si="1"/>
        <v>741.07</v>
      </c>
      <c r="K60" s="96"/>
    </row>
    <row r="61" spans="1:11" ht="20.100000000000001" customHeight="1" x14ac:dyDescent="0.25">
      <c r="A61" s="59" t="s">
        <v>109</v>
      </c>
      <c r="B61" s="3" t="s">
        <v>17</v>
      </c>
      <c r="C61" s="43" t="s">
        <v>110</v>
      </c>
      <c r="D61" s="43" t="s">
        <v>1612</v>
      </c>
      <c r="E61" s="78">
        <v>1.94</v>
      </c>
      <c r="F61" s="3" t="s">
        <v>54</v>
      </c>
      <c r="G61" s="78">
        <v>236.19</v>
      </c>
      <c r="H61" s="20">
        <f t="shared" si="1"/>
        <v>458.21</v>
      </c>
      <c r="K61" s="96"/>
    </row>
    <row r="62" spans="1:11" ht="20.100000000000001" customHeight="1" x14ac:dyDescent="0.25">
      <c r="A62" s="59" t="s">
        <v>111</v>
      </c>
      <c r="B62" s="3" t="s">
        <v>17</v>
      </c>
      <c r="C62" s="43" t="s">
        <v>112</v>
      </c>
      <c r="D62" s="43" t="s">
        <v>1613</v>
      </c>
      <c r="E62" s="78">
        <v>2.34</v>
      </c>
      <c r="F62" s="3" t="s">
        <v>54</v>
      </c>
      <c r="G62" s="78">
        <v>238.82</v>
      </c>
      <c r="H62" s="20">
        <f t="shared" si="1"/>
        <v>558.84</v>
      </c>
      <c r="K62" s="96"/>
    </row>
    <row r="63" spans="1:11" ht="20.100000000000001" customHeight="1" x14ac:dyDescent="0.25">
      <c r="A63" s="59" t="s">
        <v>113</v>
      </c>
      <c r="B63" s="3" t="s">
        <v>17</v>
      </c>
      <c r="C63" s="43" t="s">
        <v>114</v>
      </c>
      <c r="D63" s="43" t="s">
        <v>1614</v>
      </c>
      <c r="E63" s="78">
        <v>4.42</v>
      </c>
      <c r="F63" s="3" t="s">
        <v>54</v>
      </c>
      <c r="G63" s="78">
        <v>264.38</v>
      </c>
      <c r="H63" s="20">
        <f t="shared" si="1"/>
        <v>1168.56</v>
      </c>
      <c r="K63" s="96"/>
    </row>
    <row r="64" spans="1:11" ht="20.100000000000001" customHeight="1" x14ac:dyDescent="0.25">
      <c r="A64" s="59" t="s">
        <v>115</v>
      </c>
      <c r="B64" s="3" t="s">
        <v>17</v>
      </c>
      <c r="C64" s="43" t="s">
        <v>116</v>
      </c>
      <c r="D64" s="43" t="s">
        <v>1615</v>
      </c>
      <c r="E64" s="78">
        <v>0.97</v>
      </c>
      <c r="F64" s="3" t="s">
        <v>54</v>
      </c>
      <c r="G64" s="78">
        <v>281.92</v>
      </c>
      <c r="H64" s="20">
        <f t="shared" si="1"/>
        <v>273.45999999999998</v>
      </c>
      <c r="K64" s="96"/>
    </row>
    <row r="65" spans="1:11" ht="20.100000000000001" customHeight="1" x14ac:dyDescent="0.25">
      <c r="A65" s="59" t="s">
        <v>117</v>
      </c>
      <c r="B65" s="3" t="s">
        <v>17</v>
      </c>
      <c r="C65" s="43" t="s">
        <v>118</v>
      </c>
      <c r="D65" s="43" t="s">
        <v>1616</v>
      </c>
      <c r="E65" s="78">
        <v>1.22</v>
      </c>
      <c r="F65" s="3" t="s">
        <v>54</v>
      </c>
      <c r="G65" s="78">
        <v>280.68</v>
      </c>
      <c r="H65" s="20">
        <f t="shared" si="1"/>
        <v>342.43</v>
      </c>
      <c r="K65" s="96"/>
    </row>
    <row r="66" spans="1:11" ht="20.100000000000001" customHeight="1" x14ac:dyDescent="0.25">
      <c r="A66" s="59" t="s">
        <v>119</v>
      </c>
      <c r="B66" s="3" t="s">
        <v>17</v>
      </c>
      <c r="C66" s="43" t="s">
        <v>120</v>
      </c>
      <c r="D66" s="43" t="s">
        <v>1617</v>
      </c>
      <c r="E66" s="78">
        <v>1.44</v>
      </c>
      <c r="F66" s="3" t="s">
        <v>54</v>
      </c>
      <c r="G66" s="78">
        <v>275.82</v>
      </c>
      <c r="H66" s="20">
        <f t="shared" si="1"/>
        <v>397.18</v>
      </c>
      <c r="K66" s="96"/>
    </row>
    <row r="67" spans="1:11" ht="20.100000000000001" customHeight="1" x14ac:dyDescent="0.25">
      <c r="A67" s="59" t="s">
        <v>121</v>
      </c>
      <c r="B67" s="3" t="s">
        <v>17</v>
      </c>
      <c r="C67" s="43" t="s">
        <v>122</v>
      </c>
      <c r="D67" s="43" t="s">
        <v>1618</v>
      </c>
      <c r="E67" s="78">
        <v>41.44</v>
      </c>
      <c r="F67" s="3" t="s">
        <v>54</v>
      </c>
      <c r="G67" s="78">
        <v>227.35</v>
      </c>
      <c r="H67" s="20">
        <f t="shared" si="1"/>
        <v>9421.3799999999992</v>
      </c>
      <c r="K67" s="96"/>
    </row>
    <row r="68" spans="1:11" ht="20.100000000000001" customHeight="1" x14ac:dyDescent="0.25">
      <c r="A68" s="59" t="s">
        <v>123</v>
      </c>
      <c r="B68" s="3" t="s">
        <v>17</v>
      </c>
      <c r="C68" s="43" t="s">
        <v>124</v>
      </c>
      <c r="D68" s="43" t="s">
        <v>1619</v>
      </c>
      <c r="E68" s="78">
        <v>5.27</v>
      </c>
      <c r="F68" s="3" t="s">
        <v>54</v>
      </c>
      <c r="G68" s="78">
        <v>227.35</v>
      </c>
      <c r="H68" s="20">
        <f t="shared" si="1"/>
        <v>1198.1300000000001</v>
      </c>
      <c r="K68" s="96"/>
    </row>
    <row r="69" spans="1:11" ht="20.100000000000001" customHeight="1" x14ac:dyDescent="0.25">
      <c r="A69" s="59" t="s">
        <v>125</v>
      </c>
      <c r="B69" s="3" t="s">
        <v>17</v>
      </c>
      <c r="C69" s="43" t="s">
        <v>126</v>
      </c>
      <c r="D69" s="43" t="s">
        <v>1620</v>
      </c>
      <c r="E69" s="78">
        <v>0.56999999999999995</v>
      </c>
      <c r="F69" s="3" t="s">
        <v>54</v>
      </c>
      <c r="G69" s="78">
        <v>249.04</v>
      </c>
      <c r="H69" s="20">
        <f t="shared" si="1"/>
        <v>141.94999999999999</v>
      </c>
      <c r="K69" s="96"/>
    </row>
    <row r="70" spans="1:11" ht="20.100000000000001" customHeight="1" x14ac:dyDescent="0.25">
      <c r="A70" s="59" t="s">
        <v>127</v>
      </c>
      <c r="B70" s="3" t="s">
        <v>17</v>
      </c>
      <c r="C70" s="43" t="s">
        <v>128</v>
      </c>
      <c r="D70" s="43" t="s">
        <v>1621</v>
      </c>
      <c r="E70" s="78">
        <v>3.58</v>
      </c>
      <c r="F70" s="3" t="s">
        <v>54</v>
      </c>
      <c r="G70" s="78">
        <v>869.71</v>
      </c>
      <c r="H70" s="20">
        <f t="shared" si="1"/>
        <v>3113.56</v>
      </c>
      <c r="K70" s="96"/>
    </row>
    <row r="71" spans="1:11" ht="20.100000000000001" customHeight="1" x14ac:dyDescent="0.25">
      <c r="A71" s="59" t="s">
        <v>129</v>
      </c>
      <c r="B71" s="3" t="s">
        <v>17</v>
      </c>
      <c r="C71" s="43" t="s">
        <v>130</v>
      </c>
      <c r="D71" s="43" t="s">
        <v>1622</v>
      </c>
      <c r="E71" s="78">
        <v>0.54</v>
      </c>
      <c r="F71" s="3" t="s">
        <v>54</v>
      </c>
      <c r="G71" s="78">
        <v>763.31</v>
      </c>
      <c r="H71" s="20">
        <f t="shared" si="1"/>
        <v>412.19</v>
      </c>
      <c r="K71" s="96"/>
    </row>
    <row r="72" spans="1:11" ht="20.100000000000001" customHeight="1" x14ac:dyDescent="0.25">
      <c r="A72" s="59" t="s">
        <v>131</v>
      </c>
      <c r="B72" s="3" t="s">
        <v>17</v>
      </c>
      <c r="C72" s="43" t="s">
        <v>132</v>
      </c>
      <c r="D72" s="43" t="s">
        <v>1623</v>
      </c>
      <c r="E72" s="78">
        <v>0.81</v>
      </c>
      <c r="F72" s="3" t="s">
        <v>54</v>
      </c>
      <c r="G72" s="78">
        <v>771.01</v>
      </c>
      <c r="H72" s="20">
        <f t="shared" si="1"/>
        <v>624.52</v>
      </c>
      <c r="K72" s="96"/>
    </row>
    <row r="73" spans="1:11" ht="20.100000000000001" customHeight="1" x14ac:dyDescent="0.25">
      <c r="A73" s="59" t="s">
        <v>133</v>
      </c>
      <c r="B73" s="3" t="s">
        <v>17</v>
      </c>
      <c r="C73" s="43" t="s">
        <v>134</v>
      </c>
      <c r="D73" s="43" t="s">
        <v>1624</v>
      </c>
      <c r="E73" s="78">
        <v>0.68</v>
      </c>
      <c r="F73" s="3" t="s">
        <v>54</v>
      </c>
      <c r="G73" s="78">
        <v>701.85</v>
      </c>
      <c r="H73" s="20">
        <f t="shared" si="1"/>
        <v>477.26</v>
      </c>
      <c r="K73" s="96"/>
    </row>
    <row r="74" spans="1:11" ht="20.100000000000001" customHeight="1" x14ac:dyDescent="0.25">
      <c r="A74" s="59" t="s">
        <v>135</v>
      </c>
      <c r="B74" s="3" t="s">
        <v>17</v>
      </c>
      <c r="C74" s="43" t="s">
        <v>136</v>
      </c>
      <c r="D74" s="43" t="s">
        <v>1625</v>
      </c>
      <c r="E74" s="78">
        <v>0.98</v>
      </c>
      <c r="F74" s="3" t="s">
        <v>54</v>
      </c>
      <c r="G74" s="78">
        <v>879.79</v>
      </c>
      <c r="H74" s="20">
        <f t="shared" si="1"/>
        <v>862.19</v>
      </c>
      <c r="K74" s="96"/>
    </row>
    <row r="75" spans="1:11" ht="20.100000000000001" customHeight="1" x14ac:dyDescent="0.25">
      <c r="A75" s="59" t="s">
        <v>137</v>
      </c>
      <c r="B75" s="3" t="s">
        <v>17</v>
      </c>
      <c r="C75" s="43" t="s">
        <v>138</v>
      </c>
      <c r="D75" s="43" t="s">
        <v>1626</v>
      </c>
      <c r="E75" s="78">
        <v>0.34</v>
      </c>
      <c r="F75" s="3" t="s">
        <v>54</v>
      </c>
      <c r="G75" s="78">
        <v>761.64</v>
      </c>
      <c r="H75" s="20">
        <f t="shared" si="1"/>
        <v>258.95999999999998</v>
      </c>
      <c r="K75" s="96"/>
    </row>
    <row r="76" spans="1:11" ht="20.100000000000001" customHeight="1" x14ac:dyDescent="0.25">
      <c r="A76" s="59" t="s">
        <v>139</v>
      </c>
      <c r="B76" s="3" t="s">
        <v>17</v>
      </c>
      <c r="C76" s="43" t="s">
        <v>140</v>
      </c>
      <c r="D76" s="43" t="s">
        <v>1627</v>
      </c>
      <c r="E76" s="78">
        <v>0.68</v>
      </c>
      <c r="F76" s="3" t="s">
        <v>54</v>
      </c>
      <c r="G76" s="78">
        <v>701.85</v>
      </c>
      <c r="H76" s="20">
        <f t="shared" si="1"/>
        <v>477.26</v>
      </c>
      <c r="K76" s="96"/>
    </row>
    <row r="77" spans="1:11" ht="20.100000000000001" customHeight="1" x14ac:dyDescent="0.25">
      <c r="A77" s="59" t="s">
        <v>141</v>
      </c>
      <c r="B77" s="3" t="s">
        <v>17</v>
      </c>
      <c r="C77" s="43" t="s">
        <v>142</v>
      </c>
      <c r="D77" s="43" t="s">
        <v>1628</v>
      </c>
      <c r="E77" s="78">
        <v>2.79</v>
      </c>
      <c r="F77" s="3" t="s">
        <v>54</v>
      </c>
      <c r="G77" s="78">
        <v>763.38</v>
      </c>
      <c r="H77" s="20">
        <f t="shared" si="1"/>
        <v>2129.83</v>
      </c>
      <c r="K77" s="96"/>
    </row>
    <row r="78" spans="1:11" ht="20.100000000000001" customHeight="1" x14ac:dyDescent="0.25">
      <c r="A78" s="59" t="s">
        <v>143</v>
      </c>
      <c r="B78" s="3" t="s">
        <v>17</v>
      </c>
      <c r="C78" s="43" t="s">
        <v>144</v>
      </c>
      <c r="D78" s="43" t="s">
        <v>1597</v>
      </c>
      <c r="E78" s="78">
        <v>3.24</v>
      </c>
      <c r="F78" s="3" t="s">
        <v>54</v>
      </c>
      <c r="G78" s="78">
        <v>658.41</v>
      </c>
      <c r="H78" s="20">
        <f t="shared" si="1"/>
        <v>2133.25</v>
      </c>
      <c r="K78" s="96"/>
    </row>
    <row r="79" spans="1:11" ht="20.100000000000001" customHeight="1" x14ac:dyDescent="0.25">
      <c r="A79" s="59" t="s">
        <v>145</v>
      </c>
      <c r="B79" s="3" t="s">
        <v>17</v>
      </c>
      <c r="C79" s="43" t="s">
        <v>146</v>
      </c>
      <c r="D79" s="43" t="s">
        <v>1598</v>
      </c>
      <c r="E79" s="78">
        <v>1.35</v>
      </c>
      <c r="F79" s="3" t="s">
        <v>54</v>
      </c>
      <c r="G79" s="78">
        <v>694.32</v>
      </c>
      <c r="H79" s="20">
        <f t="shared" si="1"/>
        <v>937.33</v>
      </c>
      <c r="K79" s="96"/>
    </row>
    <row r="80" spans="1:11" ht="20.100000000000001" customHeight="1" x14ac:dyDescent="0.25">
      <c r="A80" s="59" t="s">
        <v>147</v>
      </c>
      <c r="B80" s="3" t="s">
        <v>17</v>
      </c>
      <c r="C80" s="43" t="s">
        <v>148</v>
      </c>
      <c r="D80" s="43" t="s">
        <v>1596</v>
      </c>
      <c r="E80" s="78">
        <v>2.93</v>
      </c>
      <c r="F80" s="3" t="s">
        <v>54</v>
      </c>
      <c r="G80" s="78">
        <v>950.17</v>
      </c>
      <c r="H80" s="20">
        <f t="shared" si="1"/>
        <v>2784</v>
      </c>
      <c r="K80" s="96"/>
    </row>
    <row r="81" spans="1:11" ht="20.100000000000001" customHeight="1" x14ac:dyDescent="0.25">
      <c r="A81" s="59" t="s">
        <v>149</v>
      </c>
      <c r="B81" s="3" t="s">
        <v>17</v>
      </c>
      <c r="C81" s="43" t="s">
        <v>150</v>
      </c>
      <c r="D81" s="43" t="s">
        <v>1599</v>
      </c>
      <c r="E81" s="78">
        <v>1.22</v>
      </c>
      <c r="F81" s="3" t="s">
        <v>54</v>
      </c>
      <c r="G81" s="78">
        <v>588.64</v>
      </c>
      <c r="H81" s="20">
        <f t="shared" si="1"/>
        <v>718.14</v>
      </c>
      <c r="K81" s="96"/>
    </row>
    <row r="82" spans="1:11" ht="20.100000000000001" customHeight="1" x14ac:dyDescent="0.25">
      <c r="A82" s="59" t="s">
        <v>151</v>
      </c>
      <c r="B82" s="3" t="s">
        <v>17</v>
      </c>
      <c r="C82" s="43" t="s">
        <v>152</v>
      </c>
      <c r="D82" s="43" t="s">
        <v>1600</v>
      </c>
      <c r="E82" s="78">
        <v>0.68</v>
      </c>
      <c r="F82" s="3" t="s">
        <v>54</v>
      </c>
      <c r="G82" s="78">
        <v>553.72</v>
      </c>
      <c r="H82" s="20">
        <f t="shared" si="1"/>
        <v>376.53</v>
      </c>
      <c r="K82" s="96"/>
    </row>
    <row r="83" spans="1:11" ht="20.100000000000001" customHeight="1" x14ac:dyDescent="0.25">
      <c r="A83" s="59" t="s">
        <v>153</v>
      </c>
      <c r="B83" s="3" t="s">
        <v>17</v>
      </c>
      <c r="C83" s="43" t="s">
        <v>155</v>
      </c>
      <c r="D83" s="43" t="s">
        <v>1100</v>
      </c>
      <c r="E83" s="78">
        <v>43</v>
      </c>
      <c r="F83" s="3" t="s">
        <v>154</v>
      </c>
      <c r="G83" s="78">
        <v>37.68</v>
      </c>
      <c r="H83" s="20">
        <f t="shared" si="1"/>
        <v>1620.24</v>
      </c>
      <c r="K83" s="96"/>
    </row>
    <row r="84" spans="1:11" ht="20.100000000000001" customHeight="1" x14ac:dyDescent="0.25">
      <c r="A84" s="59" t="s">
        <v>156</v>
      </c>
      <c r="B84" s="3" t="s">
        <v>17</v>
      </c>
      <c r="C84" s="43" t="s">
        <v>157</v>
      </c>
      <c r="D84" s="43" t="s">
        <v>1601</v>
      </c>
      <c r="E84" s="78">
        <v>1.07</v>
      </c>
      <c r="F84" s="3" t="s">
        <v>54</v>
      </c>
      <c r="G84" s="78">
        <v>762.71</v>
      </c>
      <c r="H84" s="20">
        <f t="shared" si="1"/>
        <v>816.1</v>
      </c>
      <c r="K84" s="96"/>
    </row>
    <row r="85" spans="1:11" ht="20.100000000000001" customHeight="1" x14ac:dyDescent="0.25">
      <c r="A85" s="59" t="s">
        <v>158</v>
      </c>
      <c r="B85" s="3" t="s">
        <v>17</v>
      </c>
      <c r="C85" s="43" t="s">
        <v>159</v>
      </c>
      <c r="D85" s="43" t="s">
        <v>1629</v>
      </c>
      <c r="E85" s="78">
        <v>11.54</v>
      </c>
      <c r="F85" s="3" t="s">
        <v>54</v>
      </c>
      <c r="G85" s="78">
        <v>685.01</v>
      </c>
      <c r="H85" s="20">
        <f t="shared" si="1"/>
        <v>7905.02</v>
      </c>
      <c r="K85" s="96"/>
    </row>
    <row r="86" spans="1:11" ht="20.100000000000001" customHeight="1" x14ac:dyDescent="0.25">
      <c r="A86" s="59" t="s">
        <v>160</v>
      </c>
      <c r="B86" s="3" t="s">
        <v>17</v>
      </c>
      <c r="C86" s="43" t="s">
        <v>161</v>
      </c>
      <c r="D86" s="43" t="s">
        <v>1630</v>
      </c>
      <c r="E86" s="78">
        <v>595.71</v>
      </c>
      <c r="F86" s="3" t="s">
        <v>18</v>
      </c>
      <c r="G86" s="78">
        <v>24.08</v>
      </c>
      <c r="H86" s="20">
        <f t="shared" si="1"/>
        <v>14344.7</v>
      </c>
      <c r="K86" s="96"/>
    </row>
    <row r="87" spans="1:11" ht="20.100000000000001" customHeight="1" x14ac:dyDescent="0.25">
      <c r="A87" s="52"/>
      <c r="B87" s="9"/>
      <c r="C87" s="44" t="s">
        <v>162</v>
      </c>
      <c r="D87" s="44" t="s">
        <v>162</v>
      </c>
      <c r="E87" s="78">
        <v>1</v>
      </c>
      <c r="F87" s="9"/>
      <c r="G87" s="79">
        <f>SUM(H51:H86)</f>
        <v>61427.93</v>
      </c>
      <c r="H87" s="29">
        <f t="shared" si="1"/>
        <v>61427.93</v>
      </c>
      <c r="K87" s="96"/>
    </row>
    <row r="88" spans="1:11" ht="20.100000000000001" customHeight="1" x14ac:dyDescent="0.25">
      <c r="A88" s="60"/>
      <c r="B88" s="12"/>
      <c r="C88" s="45"/>
      <c r="D88" s="45"/>
      <c r="E88" s="34"/>
      <c r="F88" s="12"/>
      <c r="G88" s="34"/>
      <c r="H88" s="30"/>
      <c r="K88" s="96"/>
    </row>
    <row r="89" spans="1:11" ht="20.100000000000001" customHeight="1" x14ac:dyDescent="0.25">
      <c r="A89" s="62" t="s">
        <v>163</v>
      </c>
      <c r="B89" s="7" t="s">
        <v>9</v>
      </c>
      <c r="C89" s="47" t="s">
        <v>164</v>
      </c>
      <c r="D89" s="47" t="s">
        <v>1151</v>
      </c>
      <c r="E89" s="81">
        <f>E92</f>
        <v>1</v>
      </c>
      <c r="F89" s="7" t="s">
        <v>10</v>
      </c>
      <c r="G89" s="81">
        <f>G92</f>
        <v>31808.25</v>
      </c>
      <c r="H89" s="21">
        <f>H92</f>
        <v>31808.25</v>
      </c>
      <c r="K89" s="96"/>
    </row>
    <row r="90" spans="1:11" ht="20.100000000000001" customHeight="1" x14ac:dyDescent="0.25">
      <c r="A90" s="59" t="s">
        <v>165</v>
      </c>
      <c r="B90" s="3" t="s">
        <v>17</v>
      </c>
      <c r="C90" s="43" t="s">
        <v>166</v>
      </c>
      <c r="D90" s="43" t="s">
        <v>1104</v>
      </c>
      <c r="E90" s="78">
        <v>76.56</v>
      </c>
      <c r="F90" s="3" t="s">
        <v>18</v>
      </c>
      <c r="G90" s="78">
        <v>40.200000000000003</v>
      </c>
      <c r="H90" s="20">
        <f>ROUND(E90*G90,2)</f>
        <v>3077.71</v>
      </c>
      <c r="K90" s="96"/>
    </row>
    <row r="91" spans="1:11" ht="20.100000000000001" customHeight="1" x14ac:dyDescent="0.25">
      <c r="A91" s="59" t="s">
        <v>167</v>
      </c>
      <c r="B91" s="3" t="s">
        <v>17</v>
      </c>
      <c r="C91" s="43" t="s">
        <v>168</v>
      </c>
      <c r="D91" s="43" t="s">
        <v>1105</v>
      </c>
      <c r="E91" s="78">
        <v>620.53</v>
      </c>
      <c r="F91" s="3" t="s">
        <v>18</v>
      </c>
      <c r="G91" s="78">
        <v>46.3</v>
      </c>
      <c r="H91" s="20">
        <f>ROUND(E91*G91,2)</f>
        <v>28730.54</v>
      </c>
      <c r="K91" s="96"/>
    </row>
    <row r="92" spans="1:11" ht="20.100000000000001" customHeight="1" x14ac:dyDescent="0.25">
      <c r="A92" s="52"/>
      <c r="B92" s="9"/>
      <c r="C92" s="44" t="s">
        <v>169</v>
      </c>
      <c r="D92" s="44" t="s">
        <v>169</v>
      </c>
      <c r="E92" s="78">
        <v>1</v>
      </c>
      <c r="F92" s="9"/>
      <c r="G92" s="79">
        <f>SUM(H90:H91)</f>
        <v>31808.25</v>
      </c>
      <c r="H92" s="29">
        <f>ROUND(E92*G92,2)</f>
        <v>31808.25</v>
      </c>
      <c r="K92" s="96"/>
    </row>
    <row r="93" spans="1:11" ht="20.100000000000001" customHeight="1" x14ac:dyDescent="0.25">
      <c r="A93" s="60"/>
      <c r="B93" s="12"/>
      <c r="C93" s="45"/>
      <c r="D93" s="45"/>
      <c r="E93" s="34"/>
      <c r="F93" s="12"/>
      <c r="G93" s="34"/>
      <c r="H93" s="30"/>
      <c r="K93" s="96"/>
    </row>
    <row r="94" spans="1:11" ht="20.100000000000001" customHeight="1" x14ac:dyDescent="0.25">
      <c r="A94" s="52"/>
      <c r="B94" s="9"/>
      <c r="C94" s="44" t="s">
        <v>170</v>
      </c>
      <c r="D94" s="44"/>
      <c r="E94" s="78">
        <v>1</v>
      </c>
      <c r="F94" s="9"/>
      <c r="G94" s="79">
        <f>H40+H50+H89</f>
        <v>131156.24</v>
      </c>
      <c r="H94" s="29">
        <f>ROUND(E94*G94,2)</f>
        <v>131156.24</v>
      </c>
      <c r="K94" s="96"/>
    </row>
    <row r="95" spans="1:11" ht="20.100000000000001" customHeight="1" x14ac:dyDescent="0.25">
      <c r="A95" s="60"/>
      <c r="B95" s="12"/>
      <c r="C95" s="45"/>
      <c r="D95" s="45"/>
      <c r="E95" s="34"/>
      <c r="F95" s="12"/>
      <c r="G95" s="34"/>
      <c r="H95" s="30"/>
      <c r="K95" s="96"/>
    </row>
    <row r="96" spans="1:11" ht="20.100000000000001" customHeight="1" x14ac:dyDescent="0.25">
      <c r="A96" s="61" t="s">
        <v>171</v>
      </c>
      <c r="B96" s="17" t="s">
        <v>9</v>
      </c>
      <c r="C96" s="46" t="s">
        <v>172</v>
      </c>
      <c r="D96" s="46" t="s">
        <v>1152</v>
      </c>
      <c r="E96" s="80">
        <f>E166</f>
        <v>1</v>
      </c>
      <c r="F96" s="17" t="s">
        <v>65</v>
      </c>
      <c r="G96" s="80">
        <f>G166</f>
        <v>164745.03</v>
      </c>
      <c r="H96" s="31">
        <f>H166</f>
        <v>164745.03</v>
      </c>
      <c r="K96" s="96"/>
    </row>
    <row r="97" spans="1:11" ht="20.100000000000001" customHeight="1" x14ac:dyDescent="0.25">
      <c r="A97" s="62" t="s">
        <v>173</v>
      </c>
      <c r="B97" s="7" t="s">
        <v>9</v>
      </c>
      <c r="C97" s="47" t="s">
        <v>88</v>
      </c>
      <c r="D97" s="47" t="s">
        <v>1150</v>
      </c>
      <c r="E97" s="81">
        <f>E157</f>
        <v>1</v>
      </c>
      <c r="F97" s="7" t="s">
        <v>10</v>
      </c>
      <c r="G97" s="81">
        <f>G157</f>
        <v>129656.55</v>
      </c>
      <c r="H97" s="21">
        <f>H157</f>
        <v>129656.55</v>
      </c>
      <c r="K97" s="96"/>
    </row>
    <row r="98" spans="1:11" ht="20.100000000000001" customHeight="1" x14ac:dyDescent="0.25">
      <c r="A98" s="59" t="s">
        <v>174</v>
      </c>
      <c r="B98" s="3" t="s">
        <v>17</v>
      </c>
      <c r="C98" s="43" t="s">
        <v>128</v>
      </c>
      <c r="D98" s="43" t="s">
        <v>1087</v>
      </c>
      <c r="E98" s="78">
        <v>2.4500000000000002</v>
      </c>
      <c r="F98" s="3" t="s">
        <v>54</v>
      </c>
      <c r="G98" s="78">
        <v>784.73</v>
      </c>
      <c r="H98" s="20">
        <f t="shared" ref="H98:H157" si="2">ROUND(E98*G98,2)</f>
        <v>1922.59</v>
      </c>
      <c r="K98" s="96"/>
    </row>
    <row r="99" spans="1:11" ht="20.100000000000001" customHeight="1" x14ac:dyDescent="0.25">
      <c r="A99" s="59" t="s">
        <v>175</v>
      </c>
      <c r="B99" s="3" t="s">
        <v>17</v>
      </c>
      <c r="C99" s="43" t="s">
        <v>176</v>
      </c>
      <c r="D99" s="43" t="s">
        <v>1106</v>
      </c>
      <c r="E99" s="78">
        <v>4.66</v>
      </c>
      <c r="F99" s="3" t="s">
        <v>54</v>
      </c>
      <c r="G99" s="78">
        <v>784.73</v>
      </c>
      <c r="H99" s="20">
        <f t="shared" si="2"/>
        <v>3656.84</v>
      </c>
      <c r="K99" s="96"/>
    </row>
    <row r="100" spans="1:11" ht="20.100000000000001" customHeight="1" x14ac:dyDescent="0.25">
      <c r="A100" s="59" t="s">
        <v>177</v>
      </c>
      <c r="B100" s="3" t="s">
        <v>17</v>
      </c>
      <c r="C100" s="43" t="s">
        <v>130</v>
      </c>
      <c r="D100" s="43" t="s">
        <v>1088</v>
      </c>
      <c r="E100" s="78">
        <v>0.96</v>
      </c>
      <c r="F100" s="3" t="s">
        <v>54</v>
      </c>
      <c r="G100" s="78">
        <v>715.37</v>
      </c>
      <c r="H100" s="20">
        <f t="shared" si="2"/>
        <v>686.76</v>
      </c>
      <c r="K100" s="96"/>
    </row>
    <row r="101" spans="1:11" ht="20.100000000000001" customHeight="1" x14ac:dyDescent="0.25">
      <c r="A101" s="59" t="s">
        <v>178</v>
      </c>
      <c r="B101" s="3" t="s">
        <v>17</v>
      </c>
      <c r="C101" s="43" t="s">
        <v>132</v>
      </c>
      <c r="D101" s="43" t="s">
        <v>1089</v>
      </c>
      <c r="E101" s="78">
        <v>1.44</v>
      </c>
      <c r="F101" s="3" t="s">
        <v>54</v>
      </c>
      <c r="G101" s="78">
        <v>719.13</v>
      </c>
      <c r="H101" s="20">
        <f t="shared" si="2"/>
        <v>1035.55</v>
      </c>
      <c r="K101" s="96"/>
    </row>
    <row r="102" spans="1:11" ht="20.100000000000001" customHeight="1" x14ac:dyDescent="0.25">
      <c r="A102" s="59" t="s">
        <v>179</v>
      </c>
      <c r="B102" s="3" t="s">
        <v>17</v>
      </c>
      <c r="C102" s="43" t="s">
        <v>134</v>
      </c>
      <c r="D102" s="43" t="s">
        <v>1090</v>
      </c>
      <c r="E102" s="78">
        <v>1.2</v>
      </c>
      <c r="F102" s="3" t="s">
        <v>54</v>
      </c>
      <c r="G102" s="78">
        <v>655.98</v>
      </c>
      <c r="H102" s="20">
        <f t="shared" si="2"/>
        <v>787.18</v>
      </c>
      <c r="K102" s="96"/>
    </row>
    <row r="103" spans="1:11" ht="20.100000000000001" customHeight="1" x14ac:dyDescent="0.25">
      <c r="A103" s="59" t="s">
        <v>180</v>
      </c>
      <c r="B103" s="3" t="s">
        <v>17</v>
      </c>
      <c r="C103" s="43" t="s">
        <v>136</v>
      </c>
      <c r="D103" s="43" t="s">
        <v>1091</v>
      </c>
      <c r="E103" s="78">
        <v>1.75</v>
      </c>
      <c r="F103" s="3" t="s">
        <v>54</v>
      </c>
      <c r="G103" s="78">
        <v>806.1</v>
      </c>
      <c r="H103" s="20">
        <f t="shared" si="2"/>
        <v>1410.68</v>
      </c>
      <c r="K103" s="96"/>
    </row>
    <row r="104" spans="1:11" ht="20.100000000000001" customHeight="1" x14ac:dyDescent="0.25">
      <c r="A104" s="59" t="s">
        <v>181</v>
      </c>
      <c r="B104" s="3" t="s">
        <v>17</v>
      </c>
      <c r="C104" s="43" t="s">
        <v>138</v>
      </c>
      <c r="D104" s="43" t="s">
        <v>1092</v>
      </c>
      <c r="E104" s="78">
        <v>0.6</v>
      </c>
      <c r="F104" s="3" t="s">
        <v>54</v>
      </c>
      <c r="G104" s="78">
        <v>696.37</v>
      </c>
      <c r="H104" s="20">
        <f t="shared" si="2"/>
        <v>417.82</v>
      </c>
      <c r="K104" s="96"/>
    </row>
    <row r="105" spans="1:11" ht="20.100000000000001" customHeight="1" x14ac:dyDescent="0.25">
      <c r="A105" s="59" t="s">
        <v>182</v>
      </c>
      <c r="B105" s="3" t="s">
        <v>17</v>
      </c>
      <c r="C105" s="43" t="s">
        <v>140</v>
      </c>
      <c r="D105" s="43" t="s">
        <v>1093</v>
      </c>
      <c r="E105" s="78">
        <v>1.2</v>
      </c>
      <c r="F105" s="3" t="s">
        <v>54</v>
      </c>
      <c r="G105" s="78">
        <v>655.98</v>
      </c>
      <c r="H105" s="20">
        <f t="shared" si="2"/>
        <v>787.18</v>
      </c>
      <c r="K105" s="96"/>
    </row>
    <row r="106" spans="1:11" ht="20.100000000000001" customHeight="1" x14ac:dyDescent="0.25">
      <c r="A106" s="59" t="s">
        <v>183</v>
      </c>
      <c r="B106" s="3" t="s">
        <v>17</v>
      </c>
      <c r="C106" s="43" t="s">
        <v>142</v>
      </c>
      <c r="D106" s="43" t="s">
        <v>1094</v>
      </c>
      <c r="E106" s="78">
        <v>4.96</v>
      </c>
      <c r="F106" s="3" t="s">
        <v>54</v>
      </c>
      <c r="G106" s="78">
        <v>716.49</v>
      </c>
      <c r="H106" s="20">
        <f t="shared" si="2"/>
        <v>3553.79</v>
      </c>
      <c r="K106" s="96"/>
    </row>
    <row r="107" spans="1:11" ht="20.100000000000001" customHeight="1" x14ac:dyDescent="0.25">
      <c r="A107" s="59" t="s">
        <v>184</v>
      </c>
      <c r="B107" s="3" t="s">
        <v>17</v>
      </c>
      <c r="C107" s="43" t="s">
        <v>144</v>
      </c>
      <c r="D107" s="43" t="s">
        <v>1095</v>
      </c>
      <c r="E107" s="78">
        <v>5.76</v>
      </c>
      <c r="F107" s="3" t="s">
        <v>54</v>
      </c>
      <c r="G107" s="78">
        <v>608.61</v>
      </c>
      <c r="H107" s="20">
        <f t="shared" si="2"/>
        <v>3505.59</v>
      </c>
      <c r="K107" s="96"/>
    </row>
    <row r="108" spans="1:11" ht="20.100000000000001" customHeight="1" x14ac:dyDescent="0.25">
      <c r="A108" s="59" t="s">
        <v>185</v>
      </c>
      <c r="B108" s="3" t="s">
        <v>17</v>
      </c>
      <c r="C108" s="43" t="s">
        <v>146</v>
      </c>
      <c r="D108" s="43" t="s">
        <v>1096</v>
      </c>
      <c r="E108" s="78">
        <v>2.4</v>
      </c>
      <c r="F108" s="3" t="s">
        <v>54</v>
      </c>
      <c r="G108" s="78">
        <v>638.67999999999995</v>
      </c>
      <c r="H108" s="20">
        <f t="shared" si="2"/>
        <v>1532.83</v>
      </c>
      <c r="K108" s="96"/>
    </row>
    <row r="109" spans="1:11" ht="39.950000000000003" customHeight="1" x14ac:dyDescent="0.25">
      <c r="A109" s="59" t="s">
        <v>186</v>
      </c>
      <c r="B109" s="3" t="s">
        <v>17</v>
      </c>
      <c r="C109" s="43" t="s">
        <v>148</v>
      </c>
      <c r="D109" s="43" t="s">
        <v>1097</v>
      </c>
      <c r="E109" s="78">
        <v>5.2</v>
      </c>
      <c r="F109" s="3" t="s">
        <v>54</v>
      </c>
      <c r="G109" s="78">
        <v>861.44</v>
      </c>
      <c r="H109" s="20">
        <f t="shared" si="2"/>
        <v>4479.49</v>
      </c>
      <c r="K109" s="96"/>
    </row>
    <row r="110" spans="1:11" ht="20.100000000000001" customHeight="1" x14ac:dyDescent="0.25">
      <c r="A110" s="59" t="s">
        <v>187</v>
      </c>
      <c r="B110" s="3" t="s">
        <v>17</v>
      </c>
      <c r="C110" s="43" t="s">
        <v>150</v>
      </c>
      <c r="D110" s="43" t="s">
        <v>1098</v>
      </c>
      <c r="E110" s="78">
        <v>2.16</v>
      </c>
      <c r="F110" s="3" t="s">
        <v>54</v>
      </c>
      <c r="G110" s="78">
        <v>553.88</v>
      </c>
      <c r="H110" s="20">
        <f t="shared" si="2"/>
        <v>1196.3800000000001</v>
      </c>
      <c r="K110" s="96"/>
    </row>
    <row r="111" spans="1:11" ht="20.100000000000001" customHeight="1" x14ac:dyDescent="0.25">
      <c r="A111" s="59" t="s">
        <v>188</v>
      </c>
      <c r="B111" s="3" t="s">
        <v>17</v>
      </c>
      <c r="C111" s="43" t="s">
        <v>152</v>
      </c>
      <c r="D111" s="43" t="s">
        <v>1099</v>
      </c>
      <c r="E111" s="78">
        <v>1.2</v>
      </c>
      <c r="F111" s="3" t="s">
        <v>54</v>
      </c>
      <c r="G111" s="78">
        <v>529.35</v>
      </c>
      <c r="H111" s="20">
        <f t="shared" si="2"/>
        <v>635.22</v>
      </c>
      <c r="K111" s="96"/>
    </row>
    <row r="112" spans="1:11" ht="20.100000000000001" customHeight="1" x14ac:dyDescent="0.25">
      <c r="A112" s="59" t="s">
        <v>189</v>
      </c>
      <c r="B112" s="3" t="s">
        <v>17</v>
      </c>
      <c r="C112" s="43" t="s">
        <v>155</v>
      </c>
      <c r="D112" s="43" t="s">
        <v>1100</v>
      </c>
      <c r="E112" s="78">
        <v>49.15</v>
      </c>
      <c r="F112" s="3" t="s">
        <v>154</v>
      </c>
      <c r="G112" s="78">
        <v>67.98</v>
      </c>
      <c r="H112" s="20">
        <f t="shared" si="2"/>
        <v>3341.22</v>
      </c>
      <c r="K112" s="96"/>
    </row>
    <row r="113" spans="1:11" ht="20.100000000000001" customHeight="1" x14ac:dyDescent="0.25">
      <c r="A113" s="59" t="s">
        <v>190</v>
      </c>
      <c r="B113" s="3" t="s">
        <v>17</v>
      </c>
      <c r="C113" s="43" t="s">
        <v>191</v>
      </c>
      <c r="D113" s="43" t="s">
        <v>1107</v>
      </c>
      <c r="E113" s="78">
        <v>0.94</v>
      </c>
      <c r="F113" s="3" t="s">
        <v>54</v>
      </c>
      <c r="G113" s="78">
        <v>597.01</v>
      </c>
      <c r="H113" s="20">
        <f t="shared" si="2"/>
        <v>561.19000000000005</v>
      </c>
      <c r="K113" s="96"/>
    </row>
    <row r="114" spans="1:11" ht="20.100000000000001" customHeight="1" x14ac:dyDescent="0.25">
      <c r="A114" s="59" t="s">
        <v>192</v>
      </c>
      <c r="B114" s="3" t="s">
        <v>17</v>
      </c>
      <c r="C114" s="43" t="s">
        <v>193</v>
      </c>
      <c r="D114" s="43" t="s">
        <v>1108</v>
      </c>
      <c r="E114" s="78">
        <v>1.72</v>
      </c>
      <c r="F114" s="3" t="s">
        <v>54</v>
      </c>
      <c r="G114" s="78">
        <v>610.19000000000005</v>
      </c>
      <c r="H114" s="20">
        <f t="shared" si="2"/>
        <v>1049.53</v>
      </c>
      <c r="K114" s="96"/>
    </row>
    <row r="115" spans="1:11" ht="20.100000000000001" customHeight="1" x14ac:dyDescent="0.25">
      <c r="A115" s="59" t="s">
        <v>194</v>
      </c>
      <c r="B115" s="3" t="s">
        <v>17</v>
      </c>
      <c r="C115" s="43" t="s">
        <v>195</v>
      </c>
      <c r="D115" s="43" t="s">
        <v>1109</v>
      </c>
      <c r="E115" s="78">
        <v>1.72</v>
      </c>
      <c r="F115" s="3" t="s">
        <v>54</v>
      </c>
      <c r="G115" s="78">
        <v>610.19000000000005</v>
      </c>
      <c r="H115" s="20">
        <f t="shared" si="2"/>
        <v>1049.53</v>
      </c>
      <c r="K115" s="96"/>
    </row>
    <row r="116" spans="1:11" ht="20.100000000000001" customHeight="1" x14ac:dyDescent="0.25">
      <c r="A116" s="59" t="s">
        <v>196</v>
      </c>
      <c r="B116" s="3" t="s">
        <v>17</v>
      </c>
      <c r="C116" s="43" t="s">
        <v>197</v>
      </c>
      <c r="D116" s="43" t="s">
        <v>1110</v>
      </c>
      <c r="E116" s="78">
        <v>0.69</v>
      </c>
      <c r="F116" s="3" t="s">
        <v>54</v>
      </c>
      <c r="G116" s="78">
        <v>499.81</v>
      </c>
      <c r="H116" s="20">
        <f t="shared" si="2"/>
        <v>344.87</v>
      </c>
      <c r="K116" s="96"/>
    </row>
    <row r="117" spans="1:11" ht="20.100000000000001" customHeight="1" x14ac:dyDescent="0.25">
      <c r="A117" s="59" t="s">
        <v>198</v>
      </c>
      <c r="B117" s="3" t="s">
        <v>17</v>
      </c>
      <c r="C117" s="43" t="s">
        <v>199</v>
      </c>
      <c r="D117" s="43" t="s">
        <v>1111</v>
      </c>
      <c r="E117" s="78">
        <v>1.36</v>
      </c>
      <c r="F117" s="3" t="s">
        <v>54</v>
      </c>
      <c r="G117" s="78">
        <v>599.53</v>
      </c>
      <c r="H117" s="20">
        <f t="shared" si="2"/>
        <v>815.36</v>
      </c>
      <c r="K117" s="96"/>
    </row>
    <row r="118" spans="1:11" ht="20.100000000000001" customHeight="1" x14ac:dyDescent="0.25">
      <c r="A118" s="59" t="s">
        <v>200</v>
      </c>
      <c r="B118" s="3" t="s">
        <v>17</v>
      </c>
      <c r="C118" s="43" t="s">
        <v>201</v>
      </c>
      <c r="D118" s="43" t="s">
        <v>1112</v>
      </c>
      <c r="E118" s="78">
        <v>0.99</v>
      </c>
      <c r="F118" s="3" t="s">
        <v>54</v>
      </c>
      <c r="G118" s="78">
        <v>616.41</v>
      </c>
      <c r="H118" s="20">
        <f t="shared" si="2"/>
        <v>610.25</v>
      </c>
      <c r="K118" s="96"/>
    </row>
    <row r="119" spans="1:11" ht="20.100000000000001" customHeight="1" x14ac:dyDescent="0.25">
      <c r="A119" s="59" t="s">
        <v>202</v>
      </c>
      <c r="B119" s="3" t="s">
        <v>17</v>
      </c>
      <c r="C119" s="43" t="s">
        <v>203</v>
      </c>
      <c r="D119" s="43" t="s">
        <v>1113</v>
      </c>
      <c r="E119" s="78">
        <v>1.63</v>
      </c>
      <c r="F119" s="3" t="s">
        <v>54</v>
      </c>
      <c r="G119" s="78">
        <v>599.53</v>
      </c>
      <c r="H119" s="20">
        <f t="shared" si="2"/>
        <v>977.23</v>
      </c>
      <c r="K119" s="96"/>
    </row>
    <row r="120" spans="1:11" ht="20.100000000000001" customHeight="1" x14ac:dyDescent="0.25">
      <c r="A120" s="59" t="s">
        <v>204</v>
      </c>
      <c r="B120" s="3" t="s">
        <v>17</v>
      </c>
      <c r="C120" s="43" t="s">
        <v>205</v>
      </c>
      <c r="D120" s="43" t="s">
        <v>1114</v>
      </c>
      <c r="E120" s="78">
        <v>1.63</v>
      </c>
      <c r="F120" s="3" t="s">
        <v>54</v>
      </c>
      <c r="G120" s="78">
        <v>564.01</v>
      </c>
      <c r="H120" s="20">
        <f t="shared" si="2"/>
        <v>919.34</v>
      </c>
      <c r="K120" s="96"/>
    </row>
    <row r="121" spans="1:11" ht="20.100000000000001" customHeight="1" x14ac:dyDescent="0.25">
      <c r="A121" s="59" t="s">
        <v>206</v>
      </c>
      <c r="B121" s="3" t="s">
        <v>17</v>
      </c>
      <c r="C121" s="43" t="s">
        <v>207</v>
      </c>
      <c r="D121" s="43" t="s">
        <v>1115</v>
      </c>
      <c r="E121" s="78">
        <v>1.91</v>
      </c>
      <c r="F121" s="3" t="s">
        <v>54</v>
      </c>
      <c r="G121" s="78">
        <v>617.35</v>
      </c>
      <c r="H121" s="20">
        <f t="shared" si="2"/>
        <v>1179.1400000000001</v>
      </c>
      <c r="K121" s="96"/>
    </row>
    <row r="122" spans="1:11" ht="20.100000000000001" customHeight="1" x14ac:dyDescent="0.25">
      <c r="A122" s="59" t="s">
        <v>208</v>
      </c>
      <c r="B122" s="3" t="s">
        <v>17</v>
      </c>
      <c r="C122" s="43" t="s">
        <v>209</v>
      </c>
      <c r="D122" s="43" t="s">
        <v>1116</v>
      </c>
      <c r="E122" s="78">
        <v>0.7</v>
      </c>
      <c r="F122" s="3" t="s">
        <v>54</v>
      </c>
      <c r="G122" s="78">
        <v>566.79999999999995</v>
      </c>
      <c r="H122" s="20">
        <f t="shared" si="2"/>
        <v>396.76</v>
      </c>
      <c r="K122" s="96"/>
    </row>
    <row r="123" spans="1:11" ht="20.100000000000001" customHeight="1" x14ac:dyDescent="0.25">
      <c r="A123" s="59" t="s">
        <v>210</v>
      </c>
      <c r="B123" s="3" t="s">
        <v>17</v>
      </c>
      <c r="C123" s="43" t="s">
        <v>211</v>
      </c>
      <c r="D123" s="43" t="s">
        <v>1117</v>
      </c>
      <c r="E123" s="78">
        <v>1.1399999999999999</v>
      </c>
      <c r="F123" s="3" t="s">
        <v>54</v>
      </c>
      <c r="G123" s="78">
        <v>588.9</v>
      </c>
      <c r="H123" s="20">
        <f t="shared" si="2"/>
        <v>671.35</v>
      </c>
      <c r="K123" s="96"/>
    </row>
    <row r="124" spans="1:11" ht="20.100000000000001" customHeight="1" x14ac:dyDescent="0.25">
      <c r="A124" s="59" t="s">
        <v>212</v>
      </c>
      <c r="B124" s="3" t="s">
        <v>17</v>
      </c>
      <c r="C124" s="43" t="s">
        <v>213</v>
      </c>
      <c r="D124" s="43" t="s">
        <v>1118</v>
      </c>
      <c r="E124" s="78">
        <v>1.1100000000000001</v>
      </c>
      <c r="F124" s="3" t="s">
        <v>54</v>
      </c>
      <c r="G124" s="78">
        <v>570.54999999999995</v>
      </c>
      <c r="H124" s="20">
        <f t="shared" si="2"/>
        <v>633.30999999999995</v>
      </c>
      <c r="K124" s="96"/>
    </row>
    <row r="125" spans="1:11" ht="20.100000000000001" customHeight="1" x14ac:dyDescent="0.25">
      <c r="A125" s="59" t="s">
        <v>214</v>
      </c>
      <c r="B125" s="3" t="s">
        <v>17</v>
      </c>
      <c r="C125" s="43" t="s">
        <v>215</v>
      </c>
      <c r="D125" s="43" t="s">
        <v>1119</v>
      </c>
      <c r="E125" s="78">
        <v>0.79</v>
      </c>
      <c r="F125" s="3" t="s">
        <v>54</v>
      </c>
      <c r="G125" s="78">
        <v>567.99</v>
      </c>
      <c r="H125" s="20">
        <f t="shared" si="2"/>
        <v>448.71</v>
      </c>
      <c r="K125" s="96"/>
    </row>
    <row r="126" spans="1:11" ht="20.100000000000001" customHeight="1" x14ac:dyDescent="0.25">
      <c r="A126" s="59" t="s">
        <v>216</v>
      </c>
      <c r="B126" s="3" t="s">
        <v>17</v>
      </c>
      <c r="C126" s="43" t="s">
        <v>217</v>
      </c>
      <c r="D126" s="43" t="s">
        <v>1120</v>
      </c>
      <c r="E126" s="78">
        <v>1.83</v>
      </c>
      <c r="F126" s="3" t="s">
        <v>54</v>
      </c>
      <c r="G126" s="78">
        <v>601.99</v>
      </c>
      <c r="H126" s="20">
        <f t="shared" si="2"/>
        <v>1101.6400000000001</v>
      </c>
      <c r="K126" s="96"/>
    </row>
    <row r="127" spans="1:11" ht="20.100000000000001" customHeight="1" x14ac:dyDescent="0.25">
      <c r="A127" s="59" t="s">
        <v>218</v>
      </c>
      <c r="B127" s="3" t="s">
        <v>17</v>
      </c>
      <c r="C127" s="43" t="s">
        <v>219</v>
      </c>
      <c r="D127" s="43" t="s">
        <v>1121</v>
      </c>
      <c r="E127" s="78">
        <v>1.1599999999999999</v>
      </c>
      <c r="F127" s="3" t="s">
        <v>54</v>
      </c>
      <c r="G127" s="78">
        <v>540.25</v>
      </c>
      <c r="H127" s="20">
        <f t="shared" si="2"/>
        <v>626.69000000000005</v>
      </c>
      <c r="K127" s="96"/>
    </row>
    <row r="128" spans="1:11" ht="20.100000000000001" customHeight="1" x14ac:dyDescent="0.25">
      <c r="A128" s="59" t="s">
        <v>220</v>
      </c>
      <c r="B128" s="3" t="s">
        <v>17</v>
      </c>
      <c r="C128" s="43" t="s">
        <v>221</v>
      </c>
      <c r="D128" s="43" t="s">
        <v>1122</v>
      </c>
      <c r="E128" s="78">
        <v>2.58</v>
      </c>
      <c r="F128" s="3" t="s">
        <v>54</v>
      </c>
      <c r="G128" s="78">
        <v>601.99</v>
      </c>
      <c r="H128" s="20">
        <f t="shared" si="2"/>
        <v>1553.13</v>
      </c>
      <c r="K128" s="96"/>
    </row>
    <row r="129" spans="1:11" ht="20.100000000000001" customHeight="1" x14ac:dyDescent="0.25">
      <c r="A129" s="59" t="s">
        <v>222</v>
      </c>
      <c r="B129" s="3" t="s">
        <v>17</v>
      </c>
      <c r="C129" s="43" t="s">
        <v>223</v>
      </c>
      <c r="D129" s="43" t="s">
        <v>1123</v>
      </c>
      <c r="E129" s="78">
        <v>1.77</v>
      </c>
      <c r="F129" s="3" t="s">
        <v>54</v>
      </c>
      <c r="G129" s="78">
        <v>540.25</v>
      </c>
      <c r="H129" s="20">
        <f t="shared" si="2"/>
        <v>956.24</v>
      </c>
      <c r="K129" s="96"/>
    </row>
    <row r="130" spans="1:11" ht="20.100000000000001" customHeight="1" x14ac:dyDescent="0.25">
      <c r="A130" s="59" t="s">
        <v>224</v>
      </c>
      <c r="B130" s="3" t="s">
        <v>17</v>
      </c>
      <c r="C130" s="43" t="s">
        <v>225</v>
      </c>
      <c r="D130" s="43" t="s">
        <v>1124</v>
      </c>
      <c r="E130" s="78">
        <v>1.32</v>
      </c>
      <c r="F130" s="3" t="s">
        <v>54</v>
      </c>
      <c r="G130" s="78">
        <v>601.99</v>
      </c>
      <c r="H130" s="20">
        <f t="shared" si="2"/>
        <v>794.63</v>
      </c>
      <c r="K130" s="96"/>
    </row>
    <row r="131" spans="1:11" ht="20.100000000000001" customHeight="1" x14ac:dyDescent="0.25">
      <c r="A131" s="59" t="s">
        <v>226</v>
      </c>
      <c r="B131" s="3" t="s">
        <v>17</v>
      </c>
      <c r="C131" s="43" t="s">
        <v>227</v>
      </c>
      <c r="D131" s="43" t="s">
        <v>1125</v>
      </c>
      <c r="E131" s="78">
        <v>2.88</v>
      </c>
      <c r="F131" s="3" t="s">
        <v>54</v>
      </c>
      <c r="G131" s="78">
        <v>594.64</v>
      </c>
      <c r="H131" s="20">
        <f t="shared" si="2"/>
        <v>1712.56</v>
      </c>
      <c r="K131" s="96"/>
    </row>
    <row r="132" spans="1:11" ht="20.100000000000001" customHeight="1" x14ac:dyDescent="0.25">
      <c r="A132" s="59" t="s">
        <v>228</v>
      </c>
      <c r="B132" s="3" t="s">
        <v>17</v>
      </c>
      <c r="C132" s="43" t="s">
        <v>229</v>
      </c>
      <c r="D132" s="43" t="s">
        <v>1126</v>
      </c>
      <c r="E132" s="78">
        <v>1.34</v>
      </c>
      <c r="F132" s="3" t="s">
        <v>54</v>
      </c>
      <c r="G132" s="78">
        <v>542.70000000000005</v>
      </c>
      <c r="H132" s="20">
        <f t="shared" si="2"/>
        <v>727.22</v>
      </c>
      <c r="K132" s="96"/>
    </row>
    <row r="133" spans="1:11" ht="20.100000000000001" customHeight="1" x14ac:dyDescent="0.25">
      <c r="A133" s="59" t="s">
        <v>230</v>
      </c>
      <c r="B133" s="3" t="s">
        <v>17</v>
      </c>
      <c r="C133" s="43" t="s">
        <v>231</v>
      </c>
      <c r="D133" s="43" t="s">
        <v>1127</v>
      </c>
      <c r="E133" s="78">
        <v>4.53</v>
      </c>
      <c r="F133" s="3" t="s">
        <v>54</v>
      </c>
      <c r="G133" s="78">
        <v>500.9</v>
      </c>
      <c r="H133" s="20">
        <f t="shared" si="2"/>
        <v>2269.08</v>
      </c>
      <c r="K133" s="96"/>
    </row>
    <row r="134" spans="1:11" ht="20.100000000000001" customHeight="1" x14ac:dyDescent="0.25">
      <c r="A134" s="59" t="s">
        <v>232</v>
      </c>
      <c r="B134" s="3" t="s">
        <v>17</v>
      </c>
      <c r="C134" s="43" t="s">
        <v>233</v>
      </c>
      <c r="D134" s="43" t="s">
        <v>1128</v>
      </c>
      <c r="E134" s="78">
        <v>1.39</v>
      </c>
      <c r="F134" s="3" t="s">
        <v>54</v>
      </c>
      <c r="G134" s="78">
        <v>487.98</v>
      </c>
      <c r="H134" s="20">
        <f t="shared" si="2"/>
        <v>678.29</v>
      </c>
      <c r="K134" s="96"/>
    </row>
    <row r="135" spans="1:11" ht="20.100000000000001" customHeight="1" x14ac:dyDescent="0.25">
      <c r="A135" s="59" t="s">
        <v>234</v>
      </c>
      <c r="B135" s="3" t="s">
        <v>17</v>
      </c>
      <c r="C135" s="43" t="s">
        <v>235</v>
      </c>
      <c r="D135" s="43" t="s">
        <v>1129</v>
      </c>
      <c r="E135" s="78">
        <v>0.87</v>
      </c>
      <c r="F135" s="3" t="s">
        <v>54</v>
      </c>
      <c r="G135" s="78">
        <v>581.79999999999995</v>
      </c>
      <c r="H135" s="20">
        <f t="shared" si="2"/>
        <v>506.17</v>
      </c>
      <c r="K135" s="96"/>
    </row>
    <row r="136" spans="1:11" ht="20.100000000000001" customHeight="1" x14ac:dyDescent="0.25">
      <c r="A136" s="59" t="s">
        <v>236</v>
      </c>
      <c r="B136" s="3" t="s">
        <v>17</v>
      </c>
      <c r="C136" s="43" t="s">
        <v>237</v>
      </c>
      <c r="D136" s="43" t="s">
        <v>1130</v>
      </c>
      <c r="E136" s="78">
        <v>0.96</v>
      </c>
      <c r="F136" s="3" t="s">
        <v>54</v>
      </c>
      <c r="G136" s="78">
        <v>603.12</v>
      </c>
      <c r="H136" s="20">
        <f t="shared" si="2"/>
        <v>579</v>
      </c>
      <c r="K136" s="96"/>
    </row>
    <row r="137" spans="1:11" ht="20.100000000000001" customHeight="1" x14ac:dyDescent="0.25">
      <c r="A137" s="59" t="s">
        <v>238</v>
      </c>
      <c r="B137" s="3" t="s">
        <v>17</v>
      </c>
      <c r="C137" s="43" t="s">
        <v>239</v>
      </c>
      <c r="D137" s="43" t="s">
        <v>1131</v>
      </c>
      <c r="E137" s="78">
        <v>0.87</v>
      </c>
      <c r="F137" s="3" t="s">
        <v>54</v>
      </c>
      <c r="G137" s="78">
        <v>591.54</v>
      </c>
      <c r="H137" s="20">
        <f t="shared" si="2"/>
        <v>514.64</v>
      </c>
      <c r="K137" s="96"/>
    </row>
    <row r="138" spans="1:11" ht="20.100000000000001" customHeight="1" x14ac:dyDescent="0.25">
      <c r="A138" s="59" t="s">
        <v>240</v>
      </c>
      <c r="B138" s="3" t="s">
        <v>17</v>
      </c>
      <c r="C138" s="43" t="s">
        <v>241</v>
      </c>
      <c r="D138" s="43" t="s">
        <v>1132</v>
      </c>
      <c r="E138" s="78">
        <v>0.87</v>
      </c>
      <c r="F138" s="3" t="s">
        <v>54</v>
      </c>
      <c r="G138" s="78">
        <v>603.12</v>
      </c>
      <c r="H138" s="20">
        <f t="shared" si="2"/>
        <v>524.71</v>
      </c>
      <c r="K138" s="96"/>
    </row>
    <row r="139" spans="1:11" ht="20.100000000000001" customHeight="1" x14ac:dyDescent="0.25">
      <c r="A139" s="59" t="s">
        <v>242</v>
      </c>
      <c r="B139" s="3" t="s">
        <v>17</v>
      </c>
      <c r="C139" s="43" t="s">
        <v>243</v>
      </c>
      <c r="D139" s="43" t="s">
        <v>1133</v>
      </c>
      <c r="E139" s="78">
        <v>1.23</v>
      </c>
      <c r="F139" s="3" t="s">
        <v>54</v>
      </c>
      <c r="G139" s="78">
        <v>615.22</v>
      </c>
      <c r="H139" s="20">
        <f t="shared" si="2"/>
        <v>756.72</v>
      </c>
      <c r="K139" s="96"/>
    </row>
    <row r="140" spans="1:11" ht="20.100000000000001" customHeight="1" x14ac:dyDescent="0.25">
      <c r="A140" s="59" t="s">
        <v>244</v>
      </c>
      <c r="B140" s="3" t="s">
        <v>17</v>
      </c>
      <c r="C140" s="43" t="s">
        <v>245</v>
      </c>
      <c r="D140" s="43" t="s">
        <v>1134</v>
      </c>
      <c r="E140" s="78">
        <v>3.02</v>
      </c>
      <c r="F140" s="3" t="s">
        <v>54</v>
      </c>
      <c r="G140" s="78">
        <v>581.79999999999995</v>
      </c>
      <c r="H140" s="20">
        <f t="shared" si="2"/>
        <v>1757.04</v>
      </c>
      <c r="K140" s="96"/>
    </row>
    <row r="141" spans="1:11" ht="20.100000000000001" customHeight="1" x14ac:dyDescent="0.25">
      <c r="A141" s="59" t="s">
        <v>246</v>
      </c>
      <c r="B141" s="3" t="s">
        <v>17</v>
      </c>
      <c r="C141" s="43" t="s">
        <v>247</v>
      </c>
      <c r="D141" s="43" t="s">
        <v>1135</v>
      </c>
      <c r="E141" s="78">
        <v>2.97</v>
      </c>
      <c r="F141" s="3" t="s">
        <v>54</v>
      </c>
      <c r="G141" s="78">
        <v>594.64</v>
      </c>
      <c r="H141" s="20">
        <f t="shared" si="2"/>
        <v>1766.08</v>
      </c>
      <c r="K141" s="96"/>
    </row>
    <row r="142" spans="1:11" ht="20.100000000000001" customHeight="1" x14ac:dyDescent="0.25">
      <c r="A142" s="59" t="s">
        <v>248</v>
      </c>
      <c r="B142" s="3" t="s">
        <v>17</v>
      </c>
      <c r="C142" s="43" t="s">
        <v>249</v>
      </c>
      <c r="D142" s="43" t="s">
        <v>1136</v>
      </c>
      <c r="E142" s="78">
        <v>2.97</v>
      </c>
      <c r="F142" s="3" t="s">
        <v>54</v>
      </c>
      <c r="G142" s="78">
        <v>581.79999999999995</v>
      </c>
      <c r="H142" s="20">
        <f t="shared" si="2"/>
        <v>1727.95</v>
      </c>
      <c r="K142" s="96"/>
    </row>
    <row r="143" spans="1:11" ht="20.100000000000001" customHeight="1" x14ac:dyDescent="0.25">
      <c r="A143" s="59" t="s">
        <v>250</v>
      </c>
      <c r="B143" s="3" t="s">
        <v>17</v>
      </c>
      <c r="C143" s="43" t="s">
        <v>251</v>
      </c>
      <c r="D143" s="43" t="s">
        <v>1139</v>
      </c>
      <c r="E143" s="78">
        <v>11.33</v>
      </c>
      <c r="F143" s="3" t="s">
        <v>54</v>
      </c>
      <c r="G143" s="78">
        <v>549.4</v>
      </c>
      <c r="H143" s="20">
        <f t="shared" si="2"/>
        <v>6224.7</v>
      </c>
      <c r="K143" s="96"/>
    </row>
    <row r="144" spans="1:11" ht="20.100000000000001" customHeight="1" x14ac:dyDescent="0.25">
      <c r="A144" s="59" t="s">
        <v>252</v>
      </c>
      <c r="B144" s="3" t="s">
        <v>17</v>
      </c>
      <c r="C144" s="43" t="s">
        <v>253</v>
      </c>
      <c r="D144" s="43" t="s">
        <v>1140</v>
      </c>
      <c r="E144" s="78">
        <v>2.12</v>
      </c>
      <c r="F144" s="3" t="s">
        <v>54</v>
      </c>
      <c r="G144" s="78">
        <v>656.11</v>
      </c>
      <c r="H144" s="20">
        <f t="shared" si="2"/>
        <v>1390.95</v>
      </c>
      <c r="K144" s="96"/>
    </row>
    <row r="145" spans="1:13" ht="20.100000000000001" customHeight="1" x14ac:dyDescent="0.25">
      <c r="A145" s="59" t="s">
        <v>254</v>
      </c>
      <c r="B145" s="3" t="s">
        <v>17</v>
      </c>
      <c r="C145" s="43" t="s">
        <v>255</v>
      </c>
      <c r="D145" s="43" t="s">
        <v>1138</v>
      </c>
      <c r="E145" s="78">
        <v>0.49</v>
      </c>
      <c r="F145" s="3" t="s">
        <v>54</v>
      </c>
      <c r="G145" s="78">
        <v>556.51</v>
      </c>
      <c r="H145" s="20">
        <f t="shared" si="2"/>
        <v>272.69</v>
      </c>
      <c r="K145" s="96"/>
    </row>
    <row r="146" spans="1:13" ht="20.100000000000001" customHeight="1" x14ac:dyDescent="0.25">
      <c r="A146" s="59" t="s">
        <v>256</v>
      </c>
      <c r="B146" s="3" t="s">
        <v>17</v>
      </c>
      <c r="C146" s="43" t="s">
        <v>257</v>
      </c>
      <c r="D146" s="43" t="s">
        <v>1137</v>
      </c>
      <c r="E146" s="78">
        <v>1.18</v>
      </c>
      <c r="F146" s="3" t="s">
        <v>54</v>
      </c>
      <c r="G146" s="78">
        <v>665.58</v>
      </c>
      <c r="H146" s="20">
        <f t="shared" si="2"/>
        <v>785.38</v>
      </c>
      <c r="K146" s="96"/>
    </row>
    <row r="147" spans="1:13" ht="20.100000000000001" customHeight="1" x14ac:dyDescent="0.25">
      <c r="A147" s="59" t="s">
        <v>258</v>
      </c>
      <c r="B147" s="3" t="s">
        <v>17</v>
      </c>
      <c r="C147" s="43" t="s">
        <v>259</v>
      </c>
      <c r="D147" s="43" t="s">
        <v>1141</v>
      </c>
      <c r="E147" s="78">
        <v>4.72</v>
      </c>
      <c r="F147" s="3" t="s">
        <v>54</v>
      </c>
      <c r="G147" s="78">
        <v>582.67999999999995</v>
      </c>
      <c r="H147" s="20">
        <f t="shared" si="2"/>
        <v>2750.25</v>
      </c>
      <c r="K147" s="96"/>
    </row>
    <row r="148" spans="1:13" ht="20.100000000000001" customHeight="1" x14ac:dyDescent="0.25">
      <c r="A148" s="59" t="s">
        <v>260</v>
      </c>
      <c r="B148" s="3" t="s">
        <v>17</v>
      </c>
      <c r="C148" s="43" t="s">
        <v>261</v>
      </c>
      <c r="D148" s="43" t="s">
        <v>1142</v>
      </c>
      <c r="E148" s="78">
        <v>0.79</v>
      </c>
      <c r="F148" s="3" t="s">
        <v>54</v>
      </c>
      <c r="G148" s="78">
        <v>679.06</v>
      </c>
      <c r="H148" s="20">
        <f t="shared" si="2"/>
        <v>536.46</v>
      </c>
      <c r="K148" s="96"/>
    </row>
    <row r="149" spans="1:13" ht="20.100000000000001" customHeight="1" x14ac:dyDescent="0.25">
      <c r="A149" s="59" t="s">
        <v>262</v>
      </c>
      <c r="B149" s="3" t="s">
        <v>17</v>
      </c>
      <c r="C149" s="43" t="s">
        <v>263</v>
      </c>
      <c r="D149" s="43" t="s">
        <v>1143</v>
      </c>
      <c r="E149" s="78">
        <v>43.39</v>
      </c>
      <c r="F149" s="3" t="s">
        <v>54</v>
      </c>
      <c r="G149" s="78">
        <v>394.96</v>
      </c>
      <c r="H149" s="20">
        <f t="shared" si="2"/>
        <v>17137.310000000001</v>
      </c>
      <c r="K149" s="96"/>
    </row>
    <row r="150" spans="1:13" ht="20.100000000000001" customHeight="1" x14ac:dyDescent="0.25">
      <c r="A150" s="59" t="s">
        <v>264</v>
      </c>
      <c r="B150" s="3" t="s">
        <v>17</v>
      </c>
      <c r="C150" s="43" t="s">
        <v>265</v>
      </c>
      <c r="D150" s="43" t="s">
        <v>1144</v>
      </c>
      <c r="E150" s="78">
        <v>32.35</v>
      </c>
      <c r="F150" s="3" t="s">
        <v>54</v>
      </c>
      <c r="G150" s="78">
        <v>482.63</v>
      </c>
      <c r="H150" s="20">
        <f t="shared" si="2"/>
        <v>15613.08</v>
      </c>
      <c r="K150" s="96"/>
    </row>
    <row r="151" spans="1:13" ht="20.100000000000001" customHeight="1" x14ac:dyDescent="0.25">
      <c r="A151" s="59" t="s">
        <v>266</v>
      </c>
      <c r="B151" s="3" t="s">
        <v>17</v>
      </c>
      <c r="C151" s="43" t="s">
        <v>267</v>
      </c>
      <c r="D151" s="43" t="s">
        <v>1145</v>
      </c>
      <c r="E151" s="78">
        <v>140.03</v>
      </c>
      <c r="F151" s="3" t="s">
        <v>35</v>
      </c>
      <c r="G151" s="78">
        <v>104.18</v>
      </c>
      <c r="H151" s="20">
        <f t="shared" si="2"/>
        <v>14588.33</v>
      </c>
      <c r="K151" s="96"/>
    </row>
    <row r="152" spans="1:13" ht="39.950000000000003" customHeight="1" x14ac:dyDescent="0.25">
      <c r="A152" s="59" t="s">
        <v>268</v>
      </c>
      <c r="B152" s="3" t="s">
        <v>17</v>
      </c>
      <c r="C152" s="43" t="s">
        <v>269</v>
      </c>
      <c r="D152" s="43" t="s">
        <v>1146</v>
      </c>
      <c r="E152" s="78">
        <v>2.35</v>
      </c>
      <c r="F152" s="3" t="s">
        <v>48</v>
      </c>
      <c r="G152" s="78">
        <v>1188.1600000000001</v>
      </c>
      <c r="H152" s="20">
        <f t="shared" si="2"/>
        <v>2792.18</v>
      </c>
      <c r="K152" s="96"/>
    </row>
    <row r="153" spans="1:13" s="4" customFormat="1" ht="20.100000000000001" customHeight="1" x14ac:dyDescent="0.25">
      <c r="A153" s="59" t="s">
        <v>270</v>
      </c>
      <c r="B153" s="3" t="s">
        <v>17</v>
      </c>
      <c r="C153" s="43" t="s">
        <v>271</v>
      </c>
      <c r="D153" s="43" t="s">
        <v>1147</v>
      </c>
      <c r="E153" s="78">
        <v>26.7</v>
      </c>
      <c r="F153" s="3" t="s">
        <v>29</v>
      </c>
      <c r="G153" s="78">
        <v>26.55</v>
      </c>
      <c r="H153" s="20">
        <f t="shared" si="2"/>
        <v>708.89</v>
      </c>
      <c r="K153" s="96"/>
      <c r="M153" s="96"/>
    </row>
    <row r="154" spans="1:13" s="4" customFormat="1" ht="20.100000000000001" customHeight="1" x14ac:dyDescent="0.25">
      <c r="A154" s="59" t="s">
        <v>272</v>
      </c>
      <c r="B154" s="3" t="s">
        <v>17</v>
      </c>
      <c r="C154" s="43" t="s">
        <v>273</v>
      </c>
      <c r="D154" s="43" t="s">
        <v>1148</v>
      </c>
      <c r="E154" s="78">
        <v>15.5</v>
      </c>
      <c r="F154" s="3" t="s">
        <v>29</v>
      </c>
      <c r="G154" s="78">
        <v>47.52</v>
      </c>
      <c r="H154" s="20">
        <f t="shared" si="2"/>
        <v>736.56</v>
      </c>
      <c r="K154" s="96"/>
      <c r="M154" s="96"/>
    </row>
    <row r="155" spans="1:13" s="4" customFormat="1" ht="20.100000000000001" customHeight="1" x14ac:dyDescent="0.25">
      <c r="A155" s="59" t="s">
        <v>274</v>
      </c>
      <c r="B155" s="3" t="s">
        <v>17</v>
      </c>
      <c r="C155" s="43" t="s">
        <v>275</v>
      </c>
      <c r="D155" s="43" t="s">
        <v>1458</v>
      </c>
      <c r="E155" s="78">
        <v>2.88</v>
      </c>
      <c r="F155" s="3" t="s">
        <v>54</v>
      </c>
      <c r="G155" s="78">
        <v>863.07</v>
      </c>
      <c r="H155" s="20">
        <f t="shared" si="2"/>
        <v>2485.64</v>
      </c>
      <c r="K155" s="96"/>
      <c r="M155" s="96"/>
    </row>
    <row r="156" spans="1:13" s="4" customFormat="1" ht="39.950000000000003" customHeight="1" x14ac:dyDescent="0.25">
      <c r="A156" s="59" t="s">
        <v>276</v>
      </c>
      <c r="B156" s="3" t="s">
        <v>17</v>
      </c>
      <c r="C156" s="43" t="s">
        <v>278</v>
      </c>
      <c r="D156" s="43" t="s">
        <v>1149</v>
      </c>
      <c r="E156" s="78">
        <v>23.4</v>
      </c>
      <c r="F156" s="3" t="s">
        <v>277</v>
      </c>
      <c r="G156" s="78">
        <v>276.77999999999997</v>
      </c>
      <c r="H156" s="20">
        <f t="shared" si="2"/>
        <v>6476.65</v>
      </c>
      <c r="K156" s="96"/>
      <c r="M156" s="96"/>
    </row>
    <row r="157" spans="1:13" ht="20.100000000000001" customHeight="1" x14ac:dyDescent="0.25">
      <c r="A157" s="52"/>
      <c r="B157" s="9"/>
      <c r="C157" s="44" t="s">
        <v>279</v>
      </c>
      <c r="D157" s="44" t="s">
        <v>279</v>
      </c>
      <c r="E157" s="78">
        <v>1</v>
      </c>
      <c r="F157" s="9"/>
      <c r="G157" s="79">
        <f>SUM(H98:H156)</f>
        <v>129656.55</v>
      </c>
      <c r="H157" s="29">
        <f t="shared" si="2"/>
        <v>129656.55</v>
      </c>
      <c r="K157" s="96"/>
    </row>
    <row r="158" spans="1:13" ht="20.100000000000001" customHeight="1" x14ac:dyDescent="0.25">
      <c r="A158" s="60"/>
      <c r="B158" s="12"/>
      <c r="C158" s="45"/>
      <c r="D158" s="45"/>
      <c r="E158" s="34"/>
      <c r="F158" s="12"/>
      <c r="G158" s="34"/>
      <c r="H158" s="30"/>
      <c r="K158" s="96"/>
    </row>
    <row r="159" spans="1:13" ht="20.100000000000001" customHeight="1" x14ac:dyDescent="0.25">
      <c r="A159" s="62" t="s">
        <v>280</v>
      </c>
      <c r="B159" s="7" t="s">
        <v>9</v>
      </c>
      <c r="C159" s="47" t="s">
        <v>164</v>
      </c>
      <c r="D159" s="47" t="s">
        <v>1151</v>
      </c>
      <c r="E159" s="81">
        <f>E164</f>
        <v>1</v>
      </c>
      <c r="F159" s="7" t="s">
        <v>10</v>
      </c>
      <c r="G159" s="81">
        <f>G164</f>
        <v>35088.480000000003</v>
      </c>
      <c r="H159" s="21">
        <f>H164</f>
        <v>35088.480000000003</v>
      </c>
      <c r="K159" s="96"/>
    </row>
    <row r="160" spans="1:13" ht="20.100000000000001" customHeight="1" x14ac:dyDescent="0.25">
      <c r="A160" s="59" t="s">
        <v>281</v>
      </c>
      <c r="B160" s="3" t="s">
        <v>17</v>
      </c>
      <c r="C160" s="43" t="s">
        <v>282</v>
      </c>
      <c r="D160" s="43" t="s">
        <v>1153</v>
      </c>
      <c r="E160" s="78">
        <v>570.39</v>
      </c>
      <c r="F160" s="3" t="s">
        <v>18</v>
      </c>
      <c r="G160" s="78">
        <v>48.24</v>
      </c>
      <c r="H160" s="20">
        <f>ROUND(E160*G160,2)</f>
        <v>27515.61</v>
      </c>
      <c r="K160" s="96"/>
    </row>
    <row r="161" spans="1:11" ht="20.100000000000001" customHeight="1" x14ac:dyDescent="0.25">
      <c r="A161" s="59" t="s">
        <v>283</v>
      </c>
      <c r="B161" s="3" t="s">
        <v>17</v>
      </c>
      <c r="C161" s="43" t="s">
        <v>284</v>
      </c>
      <c r="D161" s="43" t="s">
        <v>1154</v>
      </c>
      <c r="E161" s="78">
        <v>96.57</v>
      </c>
      <c r="F161" s="3" t="s">
        <v>18</v>
      </c>
      <c r="G161" s="78">
        <v>42.51</v>
      </c>
      <c r="H161" s="20">
        <f>ROUND(E161*G161,2)</f>
        <v>4105.1899999999996</v>
      </c>
      <c r="K161" s="96"/>
    </row>
    <row r="162" spans="1:11" ht="20.100000000000001" customHeight="1" x14ac:dyDescent="0.25">
      <c r="A162" s="59" t="s">
        <v>285</v>
      </c>
      <c r="B162" s="3" t="s">
        <v>17</v>
      </c>
      <c r="C162" s="43" t="s">
        <v>286</v>
      </c>
      <c r="D162" s="43" t="s">
        <v>1155</v>
      </c>
      <c r="E162" s="78">
        <v>64.3</v>
      </c>
      <c r="F162" s="3" t="s">
        <v>18</v>
      </c>
      <c r="G162" s="78">
        <v>49.61</v>
      </c>
      <c r="H162" s="20">
        <f>ROUND(E162*G162,2)</f>
        <v>3189.92</v>
      </c>
      <c r="K162" s="96"/>
    </row>
    <row r="163" spans="1:11" ht="20.100000000000001" customHeight="1" x14ac:dyDescent="0.25">
      <c r="A163" s="59" t="s">
        <v>287</v>
      </c>
      <c r="B163" s="3" t="s">
        <v>17</v>
      </c>
      <c r="C163" s="43" t="s">
        <v>288</v>
      </c>
      <c r="D163" s="43" t="s">
        <v>1156</v>
      </c>
      <c r="E163" s="78">
        <v>6.33</v>
      </c>
      <c r="F163" s="3" t="s">
        <v>18</v>
      </c>
      <c r="G163" s="78">
        <v>43.88</v>
      </c>
      <c r="H163" s="20">
        <f>ROUND(E163*G163,2)</f>
        <v>277.76</v>
      </c>
      <c r="K163" s="96"/>
    </row>
    <row r="164" spans="1:11" ht="20.100000000000001" customHeight="1" x14ac:dyDescent="0.25">
      <c r="A164" s="52"/>
      <c r="B164" s="9"/>
      <c r="C164" s="44" t="s">
        <v>289</v>
      </c>
      <c r="D164" s="44" t="s">
        <v>289</v>
      </c>
      <c r="E164" s="78">
        <v>1</v>
      </c>
      <c r="F164" s="9"/>
      <c r="G164" s="79">
        <f>SUM(H160:H163)</f>
        <v>35088.480000000003</v>
      </c>
      <c r="H164" s="29">
        <f>ROUND(E164*G164,2)</f>
        <v>35088.480000000003</v>
      </c>
      <c r="K164" s="96"/>
    </row>
    <row r="165" spans="1:11" ht="20.100000000000001" customHeight="1" x14ac:dyDescent="0.25">
      <c r="A165" s="60"/>
      <c r="B165" s="12"/>
      <c r="C165" s="45"/>
      <c r="D165" s="45"/>
      <c r="E165" s="34"/>
      <c r="F165" s="12"/>
      <c r="G165" s="34"/>
      <c r="H165" s="30"/>
      <c r="K165" s="96"/>
    </row>
    <row r="166" spans="1:11" ht="20.100000000000001" customHeight="1" x14ac:dyDescent="0.25">
      <c r="A166" s="52"/>
      <c r="B166" s="9"/>
      <c r="C166" s="44" t="s">
        <v>290</v>
      </c>
      <c r="D166" s="44" t="s">
        <v>290</v>
      </c>
      <c r="E166" s="78">
        <v>1</v>
      </c>
      <c r="F166" s="9"/>
      <c r="G166" s="79">
        <f>H97+H159</f>
        <v>164745.03</v>
      </c>
      <c r="H166" s="29">
        <f>ROUND(E166*G166,2)</f>
        <v>164745.03</v>
      </c>
      <c r="K166" s="96"/>
    </row>
    <row r="167" spans="1:11" ht="20.100000000000001" customHeight="1" x14ac:dyDescent="0.25">
      <c r="A167" s="60"/>
      <c r="B167" s="12"/>
      <c r="C167" s="45"/>
      <c r="D167" s="45"/>
      <c r="E167" s="34"/>
      <c r="F167" s="12"/>
      <c r="G167" s="34"/>
      <c r="H167" s="30"/>
      <c r="K167" s="96"/>
    </row>
    <row r="168" spans="1:11" ht="20.100000000000001" customHeight="1" x14ac:dyDescent="0.25">
      <c r="A168" s="61" t="s">
        <v>291</v>
      </c>
      <c r="B168" s="17" t="s">
        <v>9</v>
      </c>
      <c r="C168" s="46" t="s">
        <v>292</v>
      </c>
      <c r="D168" s="46" t="s">
        <v>1157</v>
      </c>
      <c r="E168" s="80">
        <f>E219</f>
        <v>1</v>
      </c>
      <c r="F168" s="17" t="s">
        <v>65</v>
      </c>
      <c r="G168" s="80">
        <f>G219</f>
        <v>128450.47</v>
      </c>
      <c r="H168" s="31">
        <f>H219</f>
        <v>128450.47</v>
      </c>
      <c r="K168" s="96"/>
    </row>
    <row r="169" spans="1:11" ht="20.100000000000001" customHeight="1" x14ac:dyDescent="0.25">
      <c r="A169" s="62" t="s">
        <v>293</v>
      </c>
      <c r="B169" s="7" t="s">
        <v>9</v>
      </c>
      <c r="C169" s="47" t="s">
        <v>88</v>
      </c>
      <c r="D169" s="47" t="s">
        <v>1150</v>
      </c>
      <c r="E169" s="81">
        <f>E209</f>
        <v>1</v>
      </c>
      <c r="F169" s="7" t="s">
        <v>10</v>
      </c>
      <c r="G169" s="81">
        <f>G209</f>
        <v>101672.6</v>
      </c>
      <c r="H169" s="21">
        <f>H209</f>
        <v>101672.6</v>
      </c>
      <c r="K169" s="96"/>
    </row>
    <row r="170" spans="1:11" ht="20.100000000000001" customHeight="1" x14ac:dyDescent="0.25">
      <c r="A170" s="59" t="s">
        <v>294</v>
      </c>
      <c r="B170" s="3" t="s">
        <v>17</v>
      </c>
      <c r="C170" s="43" t="s">
        <v>128</v>
      </c>
      <c r="D170" s="43" t="s">
        <v>1087</v>
      </c>
      <c r="E170" s="78">
        <v>1.81</v>
      </c>
      <c r="F170" s="3" t="s">
        <v>54</v>
      </c>
      <c r="G170" s="78">
        <v>811.65</v>
      </c>
      <c r="H170" s="20">
        <f t="shared" ref="H170:H209" si="3">ROUND(E170*G170,2)</f>
        <v>1469.09</v>
      </c>
      <c r="K170" s="96"/>
    </row>
    <row r="171" spans="1:11" ht="20.100000000000001" customHeight="1" x14ac:dyDescent="0.25">
      <c r="A171" s="59" t="s">
        <v>295</v>
      </c>
      <c r="B171" s="3" t="s">
        <v>17</v>
      </c>
      <c r="C171" s="43" t="s">
        <v>134</v>
      </c>
      <c r="D171" s="43" t="s">
        <v>1090</v>
      </c>
      <c r="E171" s="78">
        <v>1.1100000000000001</v>
      </c>
      <c r="F171" s="3" t="s">
        <v>54</v>
      </c>
      <c r="G171" s="78">
        <v>680.33</v>
      </c>
      <c r="H171" s="20">
        <f t="shared" si="3"/>
        <v>755.17</v>
      </c>
      <c r="K171" s="96"/>
    </row>
    <row r="172" spans="1:11" ht="20.100000000000001" customHeight="1" x14ac:dyDescent="0.25">
      <c r="A172" s="59" t="s">
        <v>296</v>
      </c>
      <c r="B172" s="3" t="s">
        <v>17</v>
      </c>
      <c r="C172" s="43" t="s">
        <v>136</v>
      </c>
      <c r="D172" s="43" t="s">
        <v>1091</v>
      </c>
      <c r="E172" s="78">
        <v>1.62</v>
      </c>
      <c r="F172" s="3" t="s">
        <v>54</v>
      </c>
      <c r="G172" s="78">
        <v>839.55</v>
      </c>
      <c r="H172" s="20">
        <f t="shared" si="3"/>
        <v>1360.07</v>
      </c>
      <c r="K172" s="96"/>
    </row>
    <row r="173" spans="1:11" ht="20.100000000000001" customHeight="1" x14ac:dyDescent="0.25">
      <c r="A173" s="59" t="s">
        <v>297</v>
      </c>
      <c r="B173" s="3" t="s">
        <v>17</v>
      </c>
      <c r="C173" s="43" t="s">
        <v>138</v>
      </c>
      <c r="D173" s="43" t="s">
        <v>1092</v>
      </c>
      <c r="E173" s="78">
        <v>0.56000000000000005</v>
      </c>
      <c r="F173" s="3" t="s">
        <v>54</v>
      </c>
      <c r="G173" s="78">
        <v>720.62</v>
      </c>
      <c r="H173" s="20">
        <f t="shared" si="3"/>
        <v>403.55</v>
      </c>
      <c r="K173" s="96"/>
    </row>
    <row r="174" spans="1:11" ht="20.100000000000001" customHeight="1" x14ac:dyDescent="0.25">
      <c r="A174" s="59" t="s">
        <v>298</v>
      </c>
      <c r="B174" s="3" t="s">
        <v>17</v>
      </c>
      <c r="C174" s="43" t="s">
        <v>140</v>
      </c>
      <c r="D174" s="43" t="s">
        <v>1093</v>
      </c>
      <c r="E174" s="78">
        <v>1.1100000000000001</v>
      </c>
      <c r="F174" s="3" t="s">
        <v>54</v>
      </c>
      <c r="G174" s="78">
        <v>680.33</v>
      </c>
      <c r="H174" s="20">
        <f t="shared" si="3"/>
        <v>755.17</v>
      </c>
      <c r="K174" s="96"/>
    </row>
    <row r="175" spans="1:11" ht="20.100000000000001" customHeight="1" x14ac:dyDescent="0.25">
      <c r="A175" s="59" t="s">
        <v>299</v>
      </c>
      <c r="B175" s="3" t="s">
        <v>17</v>
      </c>
      <c r="C175" s="43" t="s">
        <v>142</v>
      </c>
      <c r="D175" s="43" t="s">
        <v>1094</v>
      </c>
      <c r="E175" s="78">
        <v>3.7</v>
      </c>
      <c r="F175" s="3" t="s">
        <v>54</v>
      </c>
      <c r="G175" s="78">
        <v>743.37</v>
      </c>
      <c r="H175" s="20">
        <f t="shared" si="3"/>
        <v>2750.47</v>
      </c>
      <c r="K175" s="96"/>
    </row>
    <row r="176" spans="1:11" ht="20.100000000000001" customHeight="1" x14ac:dyDescent="0.25">
      <c r="A176" s="59" t="s">
        <v>300</v>
      </c>
      <c r="B176" s="3" t="s">
        <v>17</v>
      </c>
      <c r="C176" s="43" t="s">
        <v>144</v>
      </c>
      <c r="D176" s="43" t="s">
        <v>1095</v>
      </c>
      <c r="E176" s="78">
        <v>5.33</v>
      </c>
      <c r="F176" s="3" t="s">
        <v>54</v>
      </c>
      <c r="G176" s="78">
        <v>629.16999999999996</v>
      </c>
      <c r="H176" s="20">
        <f t="shared" si="3"/>
        <v>3353.48</v>
      </c>
      <c r="K176" s="96"/>
    </row>
    <row r="177" spans="1:11" ht="20.100000000000001" customHeight="1" x14ac:dyDescent="0.25">
      <c r="A177" s="59" t="s">
        <v>301</v>
      </c>
      <c r="B177" s="3" t="s">
        <v>17</v>
      </c>
      <c r="C177" s="43" t="s">
        <v>146</v>
      </c>
      <c r="D177" s="43" t="s">
        <v>1096</v>
      </c>
      <c r="E177" s="78">
        <v>2.2200000000000002</v>
      </c>
      <c r="F177" s="3" t="s">
        <v>54</v>
      </c>
      <c r="G177" s="78">
        <v>660.49</v>
      </c>
      <c r="H177" s="20">
        <f t="shared" si="3"/>
        <v>1466.29</v>
      </c>
      <c r="K177" s="96"/>
    </row>
    <row r="178" spans="1:11" ht="39.950000000000003" customHeight="1" x14ac:dyDescent="0.25">
      <c r="A178" s="59" t="s">
        <v>302</v>
      </c>
      <c r="B178" s="3" t="s">
        <v>17</v>
      </c>
      <c r="C178" s="43" t="s">
        <v>148</v>
      </c>
      <c r="D178" s="43" t="s">
        <v>1097</v>
      </c>
      <c r="E178" s="78">
        <v>7.02</v>
      </c>
      <c r="F178" s="3" t="s">
        <v>54</v>
      </c>
      <c r="G178" s="78">
        <v>886.26</v>
      </c>
      <c r="H178" s="20">
        <f t="shared" si="3"/>
        <v>6221.55</v>
      </c>
      <c r="K178" s="96"/>
    </row>
    <row r="179" spans="1:11" ht="20.100000000000001" customHeight="1" x14ac:dyDescent="0.25">
      <c r="A179" s="59" t="s">
        <v>303</v>
      </c>
      <c r="B179" s="3" t="s">
        <v>17</v>
      </c>
      <c r="C179" s="43" t="s">
        <v>150</v>
      </c>
      <c r="D179" s="43" t="s">
        <v>1098</v>
      </c>
      <c r="E179" s="78">
        <v>3.26</v>
      </c>
      <c r="F179" s="3" t="s">
        <v>54</v>
      </c>
      <c r="G179" s="78">
        <v>571.54</v>
      </c>
      <c r="H179" s="20">
        <f t="shared" si="3"/>
        <v>1863.22</v>
      </c>
      <c r="K179" s="96"/>
    </row>
    <row r="180" spans="1:11" ht="20.100000000000001" customHeight="1" x14ac:dyDescent="0.25">
      <c r="A180" s="59" t="s">
        <v>304</v>
      </c>
      <c r="B180" s="3" t="s">
        <v>17</v>
      </c>
      <c r="C180" s="43" t="s">
        <v>152</v>
      </c>
      <c r="D180" s="43" t="s">
        <v>1099</v>
      </c>
      <c r="E180" s="78">
        <v>1.81</v>
      </c>
      <c r="F180" s="3" t="s">
        <v>54</v>
      </c>
      <c r="G180" s="78">
        <v>547.96</v>
      </c>
      <c r="H180" s="20">
        <f t="shared" si="3"/>
        <v>991.81</v>
      </c>
      <c r="K180" s="96"/>
    </row>
    <row r="181" spans="1:11" ht="20.100000000000001" customHeight="1" x14ac:dyDescent="0.25">
      <c r="A181" s="59" t="s">
        <v>305</v>
      </c>
      <c r="B181" s="3" t="s">
        <v>17</v>
      </c>
      <c r="C181" s="43" t="s">
        <v>155</v>
      </c>
      <c r="D181" s="43" t="s">
        <v>1100</v>
      </c>
      <c r="E181" s="78">
        <v>31.89</v>
      </c>
      <c r="F181" s="3" t="s">
        <v>154</v>
      </c>
      <c r="G181" s="78">
        <v>74.78</v>
      </c>
      <c r="H181" s="20">
        <f t="shared" si="3"/>
        <v>2384.73</v>
      </c>
      <c r="K181" s="96"/>
    </row>
    <row r="182" spans="1:11" ht="20.100000000000001" customHeight="1" x14ac:dyDescent="0.25">
      <c r="A182" s="59" t="s">
        <v>306</v>
      </c>
      <c r="B182" s="3" t="s">
        <v>17</v>
      </c>
      <c r="C182" s="43" t="s">
        <v>307</v>
      </c>
      <c r="D182" s="43" t="s">
        <v>1158</v>
      </c>
      <c r="E182" s="78">
        <v>0.98</v>
      </c>
      <c r="F182" s="3" t="s">
        <v>54</v>
      </c>
      <c r="G182" s="78">
        <v>572.21</v>
      </c>
      <c r="H182" s="20">
        <f t="shared" si="3"/>
        <v>560.77</v>
      </c>
      <c r="K182" s="96"/>
    </row>
    <row r="183" spans="1:11" ht="20.100000000000001" customHeight="1" x14ac:dyDescent="0.25">
      <c r="A183" s="59" t="s">
        <v>308</v>
      </c>
      <c r="B183" s="3" t="s">
        <v>17</v>
      </c>
      <c r="C183" s="43" t="s">
        <v>309</v>
      </c>
      <c r="D183" s="43" t="s">
        <v>1162</v>
      </c>
      <c r="E183" s="78">
        <v>4.2</v>
      </c>
      <c r="F183" s="3" t="s">
        <v>54</v>
      </c>
      <c r="G183" s="78">
        <v>551.5</v>
      </c>
      <c r="H183" s="20">
        <f t="shared" si="3"/>
        <v>2316.3000000000002</v>
      </c>
      <c r="K183" s="96"/>
    </row>
    <row r="184" spans="1:11" ht="20.100000000000001" customHeight="1" x14ac:dyDescent="0.25">
      <c r="A184" s="59" t="s">
        <v>310</v>
      </c>
      <c r="B184" s="3" t="s">
        <v>17</v>
      </c>
      <c r="C184" s="43" t="s">
        <v>221</v>
      </c>
      <c r="D184" s="43" t="s">
        <v>1122</v>
      </c>
      <c r="E184" s="78">
        <v>1.67</v>
      </c>
      <c r="F184" s="3" t="s">
        <v>54</v>
      </c>
      <c r="G184" s="78">
        <v>602.71</v>
      </c>
      <c r="H184" s="20">
        <f t="shared" si="3"/>
        <v>1006.53</v>
      </c>
      <c r="K184" s="96"/>
    </row>
    <row r="185" spans="1:11" ht="20.100000000000001" customHeight="1" x14ac:dyDescent="0.25">
      <c r="A185" s="59" t="s">
        <v>311</v>
      </c>
      <c r="B185" s="3" t="s">
        <v>17</v>
      </c>
      <c r="C185" s="43" t="s">
        <v>312</v>
      </c>
      <c r="D185" s="43" t="s">
        <v>1163</v>
      </c>
      <c r="E185" s="78">
        <v>1.87</v>
      </c>
      <c r="F185" s="3" t="s">
        <v>54</v>
      </c>
      <c r="G185" s="78">
        <v>629.30999999999995</v>
      </c>
      <c r="H185" s="20">
        <f t="shared" si="3"/>
        <v>1176.81</v>
      </c>
      <c r="K185" s="96"/>
    </row>
    <row r="186" spans="1:11" ht="20.100000000000001" customHeight="1" x14ac:dyDescent="0.25">
      <c r="A186" s="59" t="s">
        <v>313</v>
      </c>
      <c r="B186" s="3" t="s">
        <v>17</v>
      </c>
      <c r="C186" s="43" t="s">
        <v>314</v>
      </c>
      <c r="D186" s="43" t="s">
        <v>1159</v>
      </c>
      <c r="E186" s="78">
        <v>2.79</v>
      </c>
      <c r="F186" s="3" t="s">
        <v>54</v>
      </c>
      <c r="G186" s="78">
        <v>555.99</v>
      </c>
      <c r="H186" s="20">
        <f t="shared" si="3"/>
        <v>1551.21</v>
      </c>
      <c r="K186" s="96"/>
    </row>
    <row r="187" spans="1:11" ht="20.100000000000001" customHeight="1" x14ac:dyDescent="0.25">
      <c r="A187" s="59" t="s">
        <v>315</v>
      </c>
      <c r="B187" s="3" t="s">
        <v>17</v>
      </c>
      <c r="C187" s="43" t="s">
        <v>225</v>
      </c>
      <c r="D187" s="43" t="s">
        <v>1164</v>
      </c>
      <c r="E187" s="78">
        <v>1.32</v>
      </c>
      <c r="F187" s="3" t="s">
        <v>54</v>
      </c>
      <c r="G187" s="78">
        <v>619.39</v>
      </c>
      <c r="H187" s="20">
        <f t="shared" si="3"/>
        <v>817.59</v>
      </c>
      <c r="K187" s="96"/>
    </row>
    <row r="188" spans="1:11" ht="20.100000000000001" customHeight="1" x14ac:dyDescent="0.25">
      <c r="A188" s="59" t="s">
        <v>316</v>
      </c>
      <c r="B188" s="3" t="s">
        <v>17</v>
      </c>
      <c r="C188" s="43" t="s">
        <v>227</v>
      </c>
      <c r="D188" s="43" t="s">
        <v>1125</v>
      </c>
      <c r="E188" s="78">
        <v>2.88</v>
      </c>
      <c r="F188" s="3" t="s">
        <v>54</v>
      </c>
      <c r="G188" s="78">
        <v>619.38</v>
      </c>
      <c r="H188" s="20">
        <f t="shared" si="3"/>
        <v>1783.81</v>
      </c>
      <c r="K188" s="96"/>
    </row>
    <row r="189" spans="1:11" ht="20.100000000000001" customHeight="1" x14ac:dyDescent="0.25">
      <c r="A189" s="59" t="s">
        <v>317</v>
      </c>
      <c r="B189" s="3" t="s">
        <v>17</v>
      </c>
      <c r="C189" s="43" t="s">
        <v>318</v>
      </c>
      <c r="D189" s="43" t="s">
        <v>1160</v>
      </c>
      <c r="E189" s="78">
        <v>1.87</v>
      </c>
      <c r="F189" s="3" t="s">
        <v>54</v>
      </c>
      <c r="G189" s="78">
        <v>642.79999999999995</v>
      </c>
      <c r="H189" s="20">
        <f t="shared" si="3"/>
        <v>1202.04</v>
      </c>
      <c r="K189" s="96"/>
    </row>
    <row r="190" spans="1:11" ht="20.100000000000001" customHeight="1" x14ac:dyDescent="0.25">
      <c r="A190" s="59" t="s">
        <v>319</v>
      </c>
      <c r="B190" s="3" t="s">
        <v>17</v>
      </c>
      <c r="C190" s="43" t="s">
        <v>320</v>
      </c>
      <c r="D190" s="43" t="s">
        <v>1161</v>
      </c>
      <c r="E190" s="78">
        <v>1.43</v>
      </c>
      <c r="F190" s="3" t="s">
        <v>54</v>
      </c>
      <c r="G190" s="78">
        <v>560.48</v>
      </c>
      <c r="H190" s="20">
        <f t="shared" si="3"/>
        <v>801.49</v>
      </c>
      <c r="K190" s="96"/>
    </row>
    <row r="191" spans="1:11" ht="20.100000000000001" customHeight="1" x14ac:dyDescent="0.25">
      <c r="A191" s="59" t="s">
        <v>321</v>
      </c>
      <c r="B191" s="3" t="s">
        <v>17</v>
      </c>
      <c r="C191" s="43" t="s">
        <v>322</v>
      </c>
      <c r="D191" s="43" t="s">
        <v>1165</v>
      </c>
      <c r="E191" s="78">
        <v>1.18</v>
      </c>
      <c r="F191" s="3" t="s">
        <v>54</v>
      </c>
      <c r="G191" s="78">
        <v>507.77</v>
      </c>
      <c r="H191" s="20">
        <f t="shared" si="3"/>
        <v>599.16999999999996</v>
      </c>
      <c r="K191" s="96"/>
    </row>
    <row r="192" spans="1:11" ht="20.100000000000001" customHeight="1" x14ac:dyDescent="0.25">
      <c r="A192" s="59" t="s">
        <v>323</v>
      </c>
      <c r="B192" s="3" t="s">
        <v>17</v>
      </c>
      <c r="C192" s="43" t="s">
        <v>324</v>
      </c>
      <c r="D192" s="43" t="s">
        <v>1166</v>
      </c>
      <c r="E192" s="78">
        <v>4.6399999999999997</v>
      </c>
      <c r="F192" s="3" t="s">
        <v>54</v>
      </c>
      <c r="G192" s="78">
        <v>523.27</v>
      </c>
      <c r="H192" s="20">
        <f t="shared" si="3"/>
        <v>2427.9699999999998</v>
      </c>
      <c r="K192" s="96"/>
    </row>
    <row r="193" spans="1:13" ht="20.100000000000001" customHeight="1" x14ac:dyDescent="0.25">
      <c r="A193" s="59" t="s">
        <v>325</v>
      </c>
      <c r="B193" s="3" t="s">
        <v>17</v>
      </c>
      <c r="C193" s="43" t="s">
        <v>235</v>
      </c>
      <c r="D193" s="43" t="s">
        <v>1129</v>
      </c>
      <c r="E193" s="78">
        <v>0.87</v>
      </c>
      <c r="F193" s="3" t="s">
        <v>54</v>
      </c>
      <c r="G193" s="78">
        <v>602.89</v>
      </c>
      <c r="H193" s="20">
        <f t="shared" si="3"/>
        <v>524.51</v>
      </c>
      <c r="K193" s="96"/>
    </row>
    <row r="194" spans="1:13" ht="20.100000000000001" customHeight="1" x14ac:dyDescent="0.25">
      <c r="A194" s="59" t="s">
        <v>326</v>
      </c>
      <c r="B194" s="3" t="s">
        <v>17</v>
      </c>
      <c r="C194" s="43" t="s">
        <v>237</v>
      </c>
      <c r="D194" s="43" t="s">
        <v>1130</v>
      </c>
      <c r="E194" s="78">
        <v>1.23</v>
      </c>
      <c r="F194" s="3" t="s">
        <v>54</v>
      </c>
      <c r="G194" s="78">
        <v>624.05999999999995</v>
      </c>
      <c r="H194" s="20">
        <f t="shared" si="3"/>
        <v>767.59</v>
      </c>
      <c r="K194" s="96"/>
    </row>
    <row r="195" spans="1:13" ht="20.100000000000001" customHeight="1" x14ac:dyDescent="0.25">
      <c r="A195" s="59" t="s">
        <v>327</v>
      </c>
      <c r="B195" s="3" t="s">
        <v>17</v>
      </c>
      <c r="C195" s="43" t="s">
        <v>239</v>
      </c>
      <c r="D195" s="43" t="s">
        <v>1131</v>
      </c>
      <c r="E195" s="78">
        <v>0.87</v>
      </c>
      <c r="F195" s="3" t="s">
        <v>54</v>
      </c>
      <c r="G195" s="78">
        <v>610.39</v>
      </c>
      <c r="H195" s="20">
        <f t="shared" si="3"/>
        <v>531.04</v>
      </c>
      <c r="K195" s="96"/>
    </row>
    <row r="196" spans="1:13" ht="20.100000000000001" customHeight="1" x14ac:dyDescent="0.25">
      <c r="A196" s="59" t="s">
        <v>328</v>
      </c>
      <c r="B196" s="3" t="s">
        <v>17</v>
      </c>
      <c r="C196" s="43" t="s">
        <v>243</v>
      </c>
      <c r="D196" s="43" t="s">
        <v>1133</v>
      </c>
      <c r="E196" s="78">
        <v>1.23</v>
      </c>
      <c r="F196" s="3" t="s">
        <v>54</v>
      </c>
      <c r="G196" s="78">
        <v>636.79999999999995</v>
      </c>
      <c r="H196" s="20">
        <f t="shared" si="3"/>
        <v>783.26</v>
      </c>
      <c r="K196" s="96"/>
    </row>
    <row r="197" spans="1:13" ht="20.100000000000001" customHeight="1" x14ac:dyDescent="0.25">
      <c r="A197" s="59" t="s">
        <v>329</v>
      </c>
      <c r="B197" s="3" t="s">
        <v>17</v>
      </c>
      <c r="C197" s="43" t="s">
        <v>245</v>
      </c>
      <c r="D197" s="43" t="s">
        <v>1134</v>
      </c>
      <c r="E197" s="78">
        <v>3.02</v>
      </c>
      <c r="F197" s="3" t="s">
        <v>54</v>
      </c>
      <c r="G197" s="78">
        <v>618.82000000000005</v>
      </c>
      <c r="H197" s="20">
        <f t="shared" si="3"/>
        <v>1868.84</v>
      </c>
      <c r="K197" s="96"/>
    </row>
    <row r="198" spans="1:13" ht="20.100000000000001" customHeight="1" x14ac:dyDescent="0.25">
      <c r="A198" s="59" t="s">
        <v>330</v>
      </c>
      <c r="B198" s="3" t="s">
        <v>17</v>
      </c>
      <c r="C198" s="43" t="s">
        <v>331</v>
      </c>
      <c r="D198" s="43" t="s">
        <v>1167</v>
      </c>
      <c r="E198" s="78">
        <v>9</v>
      </c>
      <c r="F198" s="3" t="s">
        <v>54</v>
      </c>
      <c r="G198" s="78">
        <v>523.27</v>
      </c>
      <c r="H198" s="20">
        <f t="shared" si="3"/>
        <v>4709.43</v>
      </c>
      <c r="K198" s="96"/>
    </row>
    <row r="199" spans="1:13" ht="20.100000000000001" customHeight="1" x14ac:dyDescent="0.25">
      <c r="A199" s="59" t="s">
        <v>332</v>
      </c>
      <c r="B199" s="3" t="s">
        <v>17</v>
      </c>
      <c r="C199" s="43" t="s">
        <v>333</v>
      </c>
      <c r="D199" s="43" t="s">
        <v>1168</v>
      </c>
      <c r="E199" s="78">
        <v>4.75</v>
      </c>
      <c r="F199" s="3" t="s">
        <v>54</v>
      </c>
      <c r="G199" s="78">
        <v>507.77</v>
      </c>
      <c r="H199" s="20">
        <f t="shared" si="3"/>
        <v>2411.91</v>
      </c>
      <c r="K199" s="96"/>
    </row>
    <row r="200" spans="1:13" ht="20.100000000000001" customHeight="1" x14ac:dyDescent="0.25">
      <c r="A200" s="59" t="s">
        <v>334</v>
      </c>
      <c r="B200" s="3" t="s">
        <v>17</v>
      </c>
      <c r="C200" s="43" t="s">
        <v>251</v>
      </c>
      <c r="D200" s="43" t="s">
        <v>1139</v>
      </c>
      <c r="E200" s="78">
        <v>1.9</v>
      </c>
      <c r="F200" s="3" t="s">
        <v>54</v>
      </c>
      <c r="G200" s="78">
        <v>575.25</v>
      </c>
      <c r="H200" s="20">
        <f t="shared" si="3"/>
        <v>1092.98</v>
      </c>
      <c r="K200" s="96"/>
    </row>
    <row r="201" spans="1:13" ht="20.100000000000001" customHeight="1" x14ac:dyDescent="0.25">
      <c r="A201" s="59" t="s">
        <v>335</v>
      </c>
      <c r="B201" s="3" t="s">
        <v>17</v>
      </c>
      <c r="C201" s="43" t="s">
        <v>253</v>
      </c>
      <c r="D201" s="43" t="s">
        <v>1140</v>
      </c>
      <c r="E201" s="78">
        <v>2.39</v>
      </c>
      <c r="F201" s="3" t="s">
        <v>54</v>
      </c>
      <c r="G201" s="78">
        <v>685.58</v>
      </c>
      <c r="H201" s="20">
        <f t="shared" si="3"/>
        <v>1638.54</v>
      </c>
      <c r="K201" s="96"/>
    </row>
    <row r="202" spans="1:13" ht="20.100000000000001" customHeight="1" x14ac:dyDescent="0.25">
      <c r="A202" s="59" t="s">
        <v>336</v>
      </c>
      <c r="B202" s="3" t="s">
        <v>17</v>
      </c>
      <c r="C202" s="43" t="s">
        <v>255</v>
      </c>
      <c r="D202" s="43" t="s">
        <v>1138</v>
      </c>
      <c r="E202" s="78">
        <v>4.5199999999999996</v>
      </c>
      <c r="F202" s="3" t="s">
        <v>54</v>
      </c>
      <c r="G202" s="78">
        <v>582.36</v>
      </c>
      <c r="H202" s="20">
        <f t="shared" si="3"/>
        <v>2632.27</v>
      </c>
      <c r="K202" s="96"/>
    </row>
    <row r="203" spans="1:13" ht="20.100000000000001" customHeight="1" x14ac:dyDescent="0.25">
      <c r="A203" s="59" t="s">
        <v>337</v>
      </c>
      <c r="B203" s="3" t="s">
        <v>17</v>
      </c>
      <c r="C203" s="43" t="s">
        <v>257</v>
      </c>
      <c r="D203" s="43" t="s">
        <v>1137</v>
      </c>
      <c r="E203" s="78">
        <v>3.16</v>
      </c>
      <c r="F203" s="3" t="s">
        <v>54</v>
      </c>
      <c r="G203" s="78">
        <v>695.05</v>
      </c>
      <c r="H203" s="20">
        <f t="shared" si="3"/>
        <v>2196.36</v>
      </c>
      <c r="K203" s="96"/>
    </row>
    <row r="204" spans="1:13" ht="20.100000000000001" customHeight="1" x14ac:dyDescent="0.25">
      <c r="A204" s="59" t="s">
        <v>338</v>
      </c>
      <c r="B204" s="3" t="s">
        <v>17</v>
      </c>
      <c r="C204" s="43" t="s">
        <v>259</v>
      </c>
      <c r="D204" s="43" t="s">
        <v>1141</v>
      </c>
      <c r="E204" s="78">
        <v>0.77</v>
      </c>
      <c r="F204" s="3" t="s">
        <v>54</v>
      </c>
      <c r="G204" s="78">
        <v>610.88</v>
      </c>
      <c r="H204" s="20">
        <f t="shared" si="3"/>
        <v>470.38</v>
      </c>
      <c r="K204" s="96"/>
    </row>
    <row r="205" spans="1:13" ht="20.100000000000001" customHeight="1" x14ac:dyDescent="0.25">
      <c r="A205" s="59" t="s">
        <v>339</v>
      </c>
      <c r="B205" s="3" t="s">
        <v>17</v>
      </c>
      <c r="C205" s="43" t="s">
        <v>261</v>
      </c>
      <c r="D205" s="43" t="s">
        <v>1142</v>
      </c>
      <c r="E205" s="78">
        <v>0.59</v>
      </c>
      <c r="F205" s="3" t="s">
        <v>54</v>
      </c>
      <c r="G205" s="78">
        <v>714.3</v>
      </c>
      <c r="H205" s="20">
        <f t="shared" si="3"/>
        <v>421.44</v>
      </c>
      <c r="K205" s="96"/>
    </row>
    <row r="206" spans="1:13" ht="20.100000000000001" customHeight="1" x14ac:dyDescent="0.25">
      <c r="A206" s="59" t="s">
        <v>340</v>
      </c>
      <c r="B206" s="3" t="s">
        <v>17</v>
      </c>
      <c r="C206" s="43" t="s">
        <v>263</v>
      </c>
      <c r="D206" s="43" t="s">
        <v>1143</v>
      </c>
      <c r="E206" s="78">
        <v>7.85</v>
      </c>
      <c r="F206" s="3" t="s">
        <v>54</v>
      </c>
      <c r="G206" s="78">
        <v>378.25</v>
      </c>
      <c r="H206" s="20">
        <f t="shared" si="3"/>
        <v>2969.26</v>
      </c>
      <c r="K206" s="96"/>
    </row>
    <row r="207" spans="1:13" s="4" customFormat="1" ht="39.950000000000003" customHeight="1" x14ac:dyDescent="0.25">
      <c r="A207" s="59" t="s">
        <v>341</v>
      </c>
      <c r="B207" s="3" t="s">
        <v>17</v>
      </c>
      <c r="C207" s="43" t="s">
        <v>342</v>
      </c>
      <c r="D207" s="43" t="s">
        <v>1169</v>
      </c>
      <c r="E207" s="78">
        <v>6.03</v>
      </c>
      <c r="F207" s="3" t="s">
        <v>54</v>
      </c>
      <c r="G207" s="78">
        <v>471.68</v>
      </c>
      <c r="H207" s="20">
        <f t="shared" si="3"/>
        <v>2844.23</v>
      </c>
      <c r="K207" s="96"/>
      <c r="M207" s="96"/>
    </row>
    <row r="208" spans="1:13" ht="39.950000000000003" customHeight="1" x14ac:dyDescent="0.25">
      <c r="A208" s="59" t="s">
        <v>343</v>
      </c>
      <c r="B208" s="3" t="s">
        <v>17</v>
      </c>
      <c r="C208" s="43" t="s">
        <v>265</v>
      </c>
      <c r="D208" s="43" t="s">
        <v>1144</v>
      </c>
      <c r="E208" s="78">
        <v>78.58</v>
      </c>
      <c r="F208" s="3" t="s">
        <v>54</v>
      </c>
      <c r="G208" s="78">
        <v>480.94</v>
      </c>
      <c r="H208" s="20">
        <f t="shared" si="3"/>
        <v>37792.269999999997</v>
      </c>
      <c r="K208" s="96"/>
    </row>
    <row r="209" spans="1:11" ht="20.100000000000001" customHeight="1" x14ac:dyDescent="0.25">
      <c r="A209" s="52"/>
      <c r="B209" s="9"/>
      <c r="C209" s="44" t="s">
        <v>344</v>
      </c>
      <c r="D209" s="44" t="s">
        <v>344</v>
      </c>
      <c r="E209" s="78">
        <v>1</v>
      </c>
      <c r="F209" s="9"/>
      <c r="G209" s="79">
        <f>SUM(H170:H208)</f>
        <v>101672.6</v>
      </c>
      <c r="H209" s="29">
        <f t="shared" si="3"/>
        <v>101672.6</v>
      </c>
      <c r="K209" s="96"/>
    </row>
    <row r="210" spans="1:11" ht="20.100000000000001" customHeight="1" x14ac:dyDescent="0.25">
      <c r="A210" s="60"/>
      <c r="B210" s="12"/>
      <c r="C210" s="45"/>
      <c r="D210" s="45"/>
      <c r="E210" s="34"/>
      <c r="F210" s="12"/>
      <c r="G210" s="34"/>
      <c r="H210" s="30"/>
      <c r="K210" s="96"/>
    </row>
    <row r="211" spans="1:11" ht="20.100000000000001" customHeight="1" x14ac:dyDescent="0.25">
      <c r="A211" s="62" t="s">
        <v>345</v>
      </c>
      <c r="B211" s="7" t="s">
        <v>9</v>
      </c>
      <c r="C211" s="47" t="s">
        <v>164</v>
      </c>
      <c r="D211" s="47" t="s">
        <v>1151</v>
      </c>
      <c r="E211" s="81">
        <f>E217</f>
        <v>1</v>
      </c>
      <c r="F211" s="7" t="s">
        <v>10</v>
      </c>
      <c r="G211" s="81">
        <f>G217</f>
        <v>26777.87</v>
      </c>
      <c r="H211" s="21">
        <f>H217</f>
        <v>26777.87</v>
      </c>
      <c r="K211" s="96"/>
    </row>
    <row r="212" spans="1:11" ht="20.100000000000001" customHeight="1" x14ac:dyDescent="0.25">
      <c r="A212" s="59" t="s">
        <v>346</v>
      </c>
      <c r="B212" s="3" t="s">
        <v>17</v>
      </c>
      <c r="C212" s="43" t="s">
        <v>284</v>
      </c>
      <c r="D212" s="43" t="s">
        <v>1153</v>
      </c>
      <c r="E212" s="78">
        <v>108.78</v>
      </c>
      <c r="F212" s="3" t="s">
        <v>18</v>
      </c>
      <c r="G212" s="78">
        <v>43.65</v>
      </c>
      <c r="H212" s="20">
        <f t="shared" ref="H212:H217" si="4">ROUND(E212*G212,2)</f>
        <v>4748.25</v>
      </c>
      <c r="K212" s="96"/>
    </row>
    <row r="213" spans="1:11" ht="20.100000000000001" customHeight="1" x14ac:dyDescent="0.25">
      <c r="A213" s="59" t="s">
        <v>347</v>
      </c>
      <c r="B213" s="3" t="s">
        <v>17</v>
      </c>
      <c r="C213" s="43" t="s">
        <v>282</v>
      </c>
      <c r="D213" s="43" t="s">
        <v>1154</v>
      </c>
      <c r="E213" s="78">
        <v>298.82</v>
      </c>
      <c r="F213" s="3" t="s">
        <v>18</v>
      </c>
      <c r="G213" s="78">
        <v>49.36</v>
      </c>
      <c r="H213" s="20">
        <f t="shared" si="4"/>
        <v>14749.76</v>
      </c>
      <c r="K213" s="96"/>
    </row>
    <row r="214" spans="1:11" ht="20.100000000000001" customHeight="1" x14ac:dyDescent="0.25">
      <c r="A214" s="59" t="s">
        <v>348</v>
      </c>
      <c r="B214" s="3" t="s">
        <v>17</v>
      </c>
      <c r="C214" s="43" t="s">
        <v>288</v>
      </c>
      <c r="D214" s="43" t="s">
        <v>1155</v>
      </c>
      <c r="E214" s="78">
        <v>10.8</v>
      </c>
      <c r="F214" s="3" t="s">
        <v>18</v>
      </c>
      <c r="G214" s="78">
        <v>45.02</v>
      </c>
      <c r="H214" s="20">
        <f t="shared" si="4"/>
        <v>486.22</v>
      </c>
      <c r="K214" s="96"/>
    </row>
    <row r="215" spans="1:11" ht="20.100000000000001" customHeight="1" x14ac:dyDescent="0.25">
      <c r="A215" s="59" t="s">
        <v>349</v>
      </c>
      <c r="B215" s="3" t="s">
        <v>17</v>
      </c>
      <c r="C215" s="43" t="s">
        <v>286</v>
      </c>
      <c r="D215" s="43" t="s">
        <v>1156</v>
      </c>
      <c r="E215" s="78">
        <v>122.33</v>
      </c>
      <c r="F215" s="3" t="s">
        <v>18</v>
      </c>
      <c r="G215" s="78">
        <v>50.73</v>
      </c>
      <c r="H215" s="20">
        <f t="shared" si="4"/>
        <v>6205.8</v>
      </c>
      <c r="K215" s="96"/>
    </row>
    <row r="216" spans="1:11" ht="20.100000000000001" customHeight="1" x14ac:dyDescent="0.25">
      <c r="A216" s="59" t="s">
        <v>350</v>
      </c>
      <c r="B216" s="3" t="s">
        <v>17</v>
      </c>
      <c r="C216" s="43" t="s">
        <v>351</v>
      </c>
      <c r="D216" s="43" t="s">
        <v>1170</v>
      </c>
      <c r="E216" s="78">
        <v>13.92</v>
      </c>
      <c r="F216" s="3" t="s">
        <v>18</v>
      </c>
      <c r="G216" s="78">
        <v>42.23</v>
      </c>
      <c r="H216" s="20">
        <f t="shared" si="4"/>
        <v>587.84</v>
      </c>
      <c r="K216" s="96"/>
    </row>
    <row r="217" spans="1:11" ht="20.100000000000001" customHeight="1" x14ac:dyDescent="0.25">
      <c r="A217" s="52"/>
      <c r="B217" s="9"/>
      <c r="C217" s="44" t="s">
        <v>352</v>
      </c>
      <c r="D217" s="44" t="s">
        <v>352</v>
      </c>
      <c r="E217" s="78">
        <v>1</v>
      </c>
      <c r="F217" s="9"/>
      <c r="G217" s="79">
        <f>SUM(H212:H216)</f>
        <v>26777.87</v>
      </c>
      <c r="H217" s="29">
        <f t="shared" si="4"/>
        <v>26777.87</v>
      </c>
      <c r="K217" s="96"/>
    </row>
    <row r="218" spans="1:11" ht="20.100000000000001" customHeight="1" x14ac:dyDescent="0.25">
      <c r="A218" s="60"/>
      <c r="B218" s="12"/>
      <c r="C218" s="45"/>
      <c r="D218" s="45"/>
      <c r="E218" s="34"/>
      <c r="F218" s="12"/>
      <c r="G218" s="34"/>
      <c r="H218" s="30"/>
      <c r="K218" s="96"/>
    </row>
    <row r="219" spans="1:11" ht="20.100000000000001" customHeight="1" x14ac:dyDescent="0.25">
      <c r="A219" s="52"/>
      <c r="B219" s="9"/>
      <c r="C219" s="44" t="s">
        <v>353</v>
      </c>
      <c r="D219" s="44" t="s">
        <v>353</v>
      </c>
      <c r="E219" s="78">
        <v>1</v>
      </c>
      <c r="F219" s="9"/>
      <c r="G219" s="79">
        <f>H169+H211</f>
        <v>128450.47</v>
      </c>
      <c r="H219" s="29">
        <f>ROUND(E219*G219,2)</f>
        <v>128450.47</v>
      </c>
      <c r="K219" s="96"/>
    </row>
    <row r="220" spans="1:11" ht="20.100000000000001" customHeight="1" x14ac:dyDescent="0.25">
      <c r="A220" s="60"/>
      <c r="B220" s="12"/>
      <c r="C220" s="45"/>
      <c r="D220" s="45"/>
      <c r="E220" s="34"/>
      <c r="F220" s="12"/>
      <c r="G220" s="34"/>
      <c r="H220" s="30"/>
      <c r="K220" s="96"/>
    </row>
    <row r="221" spans="1:11" ht="20.100000000000001" customHeight="1" x14ac:dyDescent="0.25">
      <c r="A221" s="52"/>
      <c r="B221" s="9"/>
      <c r="C221" s="44" t="s">
        <v>354</v>
      </c>
      <c r="D221" s="44" t="s">
        <v>354</v>
      </c>
      <c r="E221" s="78">
        <v>1</v>
      </c>
      <c r="F221" s="9"/>
      <c r="G221" s="79">
        <f>H39+H96+H168</f>
        <v>424351.74</v>
      </c>
      <c r="H221" s="29">
        <f>ROUND(E221*G221,2)</f>
        <v>424351.74</v>
      </c>
      <c r="K221" s="96"/>
    </row>
    <row r="222" spans="1:11" ht="20.100000000000001" customHeight="1" x14ac:dyDescent="0.25">
      <c r="A222" s="60"/>
      <c r="B222" s="12"/>
      <c r="C222" s="45"/>
      <c r="D222" s="45"/>
      <c r="E222" s="34"/>
      <c r="F222" s="12"/>
      <c r="G222" s="34"/>
      <c r="H222" s="30"/>
      <c r="K222" s="96"/>
    </row>
    <row r="223" spans="1:11" ht="20.100000000000001" customHeight="1" x14ac:dyDescent="0.25">
      <c r="A223" s="58" t="s">
        <v>355</v>
      </c>
      <c r="B223" s="5" t="s">
        <v>9</v>
      </c>
      <c r="C223" s="42" t="s">
        <v>356</v>
      </c>
      <c r="D223" s="42" t="s">
        <v>1182</v>
      </c>
      <c r="E223" s="77">
        <f>E603</f>
        <v>1</v>
      </c>
      <c r="F223" s="5" t="s">
        <v>10</v>
      </c>
      <c r="G223" s="77">
        <f>G603</f>
        <v>155151.44</v>
      </c>
      <c r="H223" s="28">
        <f>H603</f>
        <v>155151.44</v>
      </c>
      <c r="K223" s="96"/>
    </row>
    <row r="224" spans="1:11" ht="20.100000000000001" customHeight="1" x14ac:dyDescent="0.25">
      <c r="A224" s="61" t="s">
        <v>357</v>
      </c>
      <c r="B224" s="17" t="s">
        <v>9</v>
      </c>
      <c r="C224" s="46" t="s">
        <v>172</v>
      </c>
      <c r="D224" s="46" t="s">
        <v>1152</v>
      </c>
      <c r="E224" s="80">
        <f>E430</f>
        <v>1</v>
      </c>
      <c r="F224" s="17" t="s">
        <v>10</v>
      </c>
      <c r="G224" s="80">
        <f>G430</f>
        <v>75770.58</v>
      </c>
      <c r="H224" s="31">
        <f>H430</f>
        <v>75770.58</v>
      </c>
      <c r="K224" s="96"/>
    </row>
    <row r="225" spans="1:11" ht="20.100000000000001" customHeight="1" x14ac:dyDescent="0.25">
      <c r="A225" s="62" t="s">
        <v>358</v>
      </c>
      <c r="B225" s="7" t="s">
        <v>9</v>
      </c>
      <c r="C225" s="47" t="s">
        <v>359</v>
      </c>
      <c r="D225" s="47" t="s">
        <v>1183</v>
      </c>
      <c r="E225" s="81">
        <f>E237</f>
        <v>1</v>
      </c>
      <c r="F225" s="7" t="s">
        <v>10</v>
      </c>
      <c r="G225" s="81">
        <f>G237</f>
        <v>59065.919999999998</v>
      </c>
      <c r="H225" s="21">
        <f>H237</f>
        <v>59065.919999999998</v>
      </c>
      <c r="K225" s="96"/>
    </row>
    <row r="226" spans="1:11" ht="39.950000000000003" customHeight="1" x14ac:dyDescent="0.25">
      <c r="A226" s="59" t="s">
        <v>360</v>
      </c>
      <c r="B226" s="3" t="s">
        <v>17</v>
      </c>
      <c r="C226" s="43" t="s">
        <v>361</v>
      </c>
      <c r="D226" s="43" t="s">
        <v>1171</v>
      </c>
      <c r="E226" s="78">
        <v>1931.18</v>
      </c>
      <c r="F226" s="3" t="s">
        <v>277</v>
      </c>
      <c r="G226" s="78">
        <v>4.3</v>
      </c>
      <c r="H226" s="20">
        <f t="shared" ref="H226:H237" si="5">ROUND(E226*G226,2)</f>
        <v>8304.07</v>
      </c>
      <c r="K226" s="96"/>
    </row>
    <row r="227" spans="1:11" ht="20.100000000000001" customHeight="1" x14ac:dyDescent="0.25">
      <c r="A227" s="59" t="s">
        <v>362</v>
      </c>
      <c r="B227" s="3" t="s">
        <v>17</v>
      </c>
      <c r="C227" s="43" t="s">
        <v>363</v>
      </c>
      <c r="D227" s="43" t="s">
        <v>1172</v>
      </c>
      <c r="E227" s="78">
        <v>148.80000000000001</v>
      </c>
      <c r="F227" s="3" t="s">
        <v>35</v>
      </c>
      <c r="G227" s="78">
        <v>4.7699999999999996</v>
      </c>
      <c r="H227" s="20">
        <f t="shared" si="5"/>
        <v>709.78</v>
      </c>
      <c r="K227" s="96"/>
    </row>
    <row r="228" spans="1:11" ht="20.100000000000001" customHeight="1" x14ac:dyDescent="0.25">
      <c r="A228" s="59" t="s">
        <v>364</v>
      </c>
      <c r="B228" s="3" t="s">
        <v>17</v>
      </c>
      <c r="C228" s="43" t="s">
        <v>365</v>
      </c>
      <c r="D228" s="43" t="s">
        <v>1173</v>
      </c>
      <c r="E228" s="78">
        <v>424.19</v>
      </c>
      <c r="F228" s="3" t="s">
        <v>277</v>
      </c>
      <c r="G228" s="78">
        <v>11.97</v>
      </c>
      <c r="H228" s="20">
        <f t="shared" si="5"/>
        <v>5077.55</v>
      </c>
      <c r="K228" s="96"/>
    </row>
    <row r="229" spans="1:11" ht="20.100000000000001" customHeight="1" x14ac:dyDescent="0.25">
      <c r="A229" s="59" t="s">
        <v>366</v>
      </c>
      <c r="B229" s="3" t="s">
        <v>17</v>
      </c>
      <c r="C229" s="43" t="s">
        <v>367</v>
      </c>
      <c r="D229" s="43" t="s">
        <v>1174</v>
      </c>
      <c r="E229" s="78">
        <v>148.80000000000001</v>
      </c>
      <c r="F229" s="3" t="s">
        <v>35</v>
      </c>
      <c r="G229" s="78">
        <v>13</v>
      </c>
      <c r="H229" s="20">
        <f t="shared" si="5"/>
        <v>1934.4</v>
      </c>
      <c r="K229" s="96"/>
    </row>
    <row r="230" spans="1:11" ht="20.100000000000001" customHeight="1" x14ac:dyDescent="0.25">
      <c r="A230" s="59" t="s">
        <v>368</v>
      </c>
      <c r="B230" s="3" t="s">
        <v>17</v>
      </c>
      <c r="C230" s="43" t="s">
        <v>369</v>
      </c>
      <c r="D230" s="43" t="s">
        <v>1175</v>
      </c>
      <c r="E230" s="78">
        <v>1156.26</v>
      </c>
      <c r="F230" s="3" t="s">
        <v>35</v>
      </c>
      <c r="G230" s="78">
        <v>11.59</v>
      </c>
      <c r="H230" s="20">
        <f t="shared" si="5"/>
        <v>13401.05</v>
      </c>
      <c r="K230" s="96"/>
    </row>
    <row r="231" spans="1:11" ht="20.100000000000001" customHeight="1" x14ac:dyDescent="0.25">
      <c r="A231" s="59" t="s">
        <v>370</v>
      </c>
      <c r="B231" s="3" t="s">
        <v>17</v>
      </c>
      <c r="C231" s="43" t="s">
        <v>371</v>
      </c>
      <c r="D231" s="43" t="s">
        <v>1176</v>
      </c>
      <c r="E231" s="78">
        <v>424.59</v>
      </c>
      <c r="F231" s="3" t="s">
        <v>35</v>
      </c>
      <c r="G231" s="78">
        <v>12.31</v>
      </c>
      <c r="H231" s="20">
        <f t="shared" si="5"/>
        <v>5226.7</v>
      </c>
      <c r="K231" s="96"/>
    </row>
    <row r="232" spans="1:11" ht="20.100000000000001" customHeight="1" x14ac:dyDescent="0.25">
      <c r="A232" s="59" t="s">
        <v>372</v>
      </c>
      <c r="B232" s="3" t="s">
        <v>17</v>
      </c>
      <c r="C232" s="43" t="s">
        <v>373</v>
      </c>
      <c r="D232" s="43" t="s">
        <v>1177</v>
      </c>
      <c r="E232" s="78">
        <v>167.84</v>
      </c>
      <c r="F232" s="3" t="s">
        <v>35</v>
      </c>
      <c r="G232" s="78">
        <v>9.18</v>
      </c>
      <c r="H232" s="20">
        <f t="shared" si="5"/>
        <v>1540.77</v>
      </c>
      <c r="K232" s="96"/>
    </row>
    <row r="233" spans="1:11" ht="20.100000000000001" customHeight="1" x14ac:dyDescent="0.25">
      <c r="A233" s="59" t="s">
        <v>374</v>
      </c>
      <c r="B233" s="3" t="s">
        <v>17</v>
      </c>
      <c r="C233" s="43" t="s">
        <v>375</v>
      </c>
      <c r="D233" s="43" t="s">
        <v>1178</v>
      </c>
      <c r="E233" s="78">
        <v>15.64</v>
      </c>
      <c r="F233" s="3" t="s">
        <v>35</v>
      </c>
      <c r="G233" s="78">
        <v>12.31</v>
      </c>
      <c r="H233" s="20">
        <f t="shared" si="5"/>
        <v>192.53</v>
      </c>
      <c r="K233" s="96"/>
    </row>
    <row r="234" spans="1:11" ht="20.100000000000001" customHeight="1" x14ac:dyDescent="0.25">
      <c r="A234" s="59" t="s">
        <v>376</v>
      </c>
      <c r="B234" s="3" t="s">
        <v>17</v>
      </c>
      <c r="C234" s="43" t="s">
        <v>377</v>
      </c>
      <c r="D234" s="43" t="s">
        <v>1179</v>
      </c>
      <c r="E234" s="78">
        <v>1097.1199999999999</v>
      </c>
      <c r="F234" s="3" t="s">
        <v>277</v>
      </c>
      <c r="G234" s="78">
        <v>7.25</v>
      </c>
      <c r="H234" s="20">
        <f t="shared" si="5"/>
        <v>7954.12</v>
      </c>
      <c r="K234" s="96"/>
    </row>
    <row r="235" spans="1:11" ht="20.100000000000001" customHeight="1" x14ac:dyDescent="0.25">
      <c r="A235" s="59" t="s">
        <v>378</v>
      </c>
      <c r="B235" s="3" t="s">
        <v>17</v>
      </c>
      <c r="C235" s="43" t="s">
        <v>379</v>
      </c>
      <c r="D235" s="43" t="s">
        <v>1180</v>
      </c>
      <c r="E235" s="78">
        <v>534.69000000000005</v>
      </c>
      <c r="F235" s="3" t="s">
        <v>277</v>
      </c>
      <c r="G235" s="78">
        <v>8.5</v>
      </c>
      <c r="H235" s="20">
        <f t="shared" si="5"/>
        <v>4544.87</v>
      </c>
      <c r="K235" s="96"/>
    </row>
    <row r="236" spans="1:11" ht="20.100000000000001" customHeight="1" x14ac:dyDescent="0.25">
      <c r="A236" s="59" t="s">
        <v>380</v>
      </c>
      <c r="B236" s="3" t="s">
        <v>17</v>
      </c>
      <c r="C236" s="43" t="s">
        <v>381</v>
      </c>
      <c r="D236" s="43" t="s">
        <v>1181</v>
      </c>
      <c r="E236" s="78">
        <v>417.73</v>
      </c>
      <c r="F236" s="3" t="s">
        <v>35</v>
      </c>
      <c r="G236" s="78">
        <v>24.37</v>
      </c>
      <c r="H236" s="20">
        <f t="shared" si="5"/>
        <v>10180.08</v>
      </c>
      <c r="K236" s="96"/>
    </row>
    <row r="237" spans="1:11" ht="20.100000000000001" customHeight="1" x14ac:dyDescent="0.25">
      <c r="A237" s="52"/>
      <c r="B237" s="9"/>
      <c r="C237" s="44" t="s">
        <v>382</v>
      </c>
      <c r="D237" s="44" t="s">
        <v>382</v>
      </c>
      <c r="E237" s="78">
        <v>1</v>
      </c>
      <c r="F237" s="9"/>
      <c r="G237" s="79">
        <f>SUM(H226:H236)</f>
        <v>59065.919999999998</v>
      </c>
      <c r="H237" s="29">
        <f t="shared" si="5"/>
        <v>59065.919999999998</v>
      </c>
      <c r="K237" s="96"/>
    </row>
    <row r="238" spans="1:11" ht="20.100000000000001" customHeight="1" x14ac:dyDescent="0.25">
      <c r="A238" s="60"/>
      <c r="B238" s="12"/>
      <c r="C238" s="45"/>
      <c r="D238" s="45"/>
      <c r="E238" s="34"/>
      <c r="F238" s="12"/>
      <c r="G238" s="34"/>
      <c r="H238" s="30"/>
      <c r="K238" s="96"/>
    </row>
    <row r="239" spans="1:11" ht="20.100000000000001" customHeight="1" x14ac:dyDescent="0.25">
      <c r="A239" s="62" t="s">
        <v>383</v>
      </c>
      <c r="B239" s="7" t="s">
        <v>9</v>
      </c>
      <c r="C239" s="47" t="s">
        <v>384</v>
      </c>
      <c r="D239" s="47" t="s">
        <v>1184</v>
      </c>
      <c r="E239" s="81">
        <f>E250</f>
        <v>1</v>
      </c>
      <c r="F239" s="7" t="s">
        <v>10</v>
      </c>
      <c r="G239" s="81">
        <f>G250</f>
        <v>16704.66</v>
      </c>
      <c r="H239" s="21">
        <f>H250</f>
        <v>16704.66</v>
      </c>
      <c r="K239" s="96"/>
    </row>
    <row r="240" spans="1:11" ht="20.100000000000001" customHeight="1" x14ac:dyDescent="0.25">
      <c r="A240" s="59" t="s">
        <v>385</v>
      </c>
      <c r="B240" s="3" t="s">
        <v>17</v>
      </c>
      <c r="C240" s="43" t="s">
        <v>386</v>
      </c>
      <c r="D240" s="43" t="s">
        <v>1185</v>
      </c>
      <c r="E240" s="78">
        <v>644.92999999999995</v>
      </c>
      <c r="F240" s="3" t="s">
        <v>18</v>
      </c>
      <c r="G240" s="78">
        <v>4.7699999999999996</v>
      </c>
      <c r="H240" s="20">
        <f t="shared" ref="H240:H250" si="6">ROUND(E240*G240,2)</f>
        <v>3076.32</v>
      </c>
      <c r="K240" s="96"/>
    </row>
    <row r="241" spans="1:11" ht="20.100000000000001" customHeight="1" x14ac:dyDescent="0.25">
      <c r="A241" s="59" t="s">
        <v>387</v>
      </c>
      <c r="B241" s="3" t="s">
        <v>17</v>
      </c>
      <c r="C241" s="43" t="s">
        <v>388</v>
      </c>
      <c r="D241" s="43" t="s">
        <v>1194</v>
      </c>
      <c r="E241" s="78">
        <v>100.2</v>
      </c>
      <c r="F241" s="3" t="s">
        <v>18</v>
      </c>
      <c r="G241" s="78">
        <v>13</v>
      </c>
      <c r="H241" s="20">
        <f t="shared" si="6"/>
        <v>1302.5999999999999</v>
      </c>
      <c r="K241" s="96"/>
    </row>
    <row r="242" spans="1:11" ht="20.100000000000001" customHeight="1" x14ac:dyDescent="0.25">
      <c r="A242" s="59" t="s">
        <v>389</v>
      </c>
      <c r="B242" s="3" t="s">
        <v>17</v>
      </c>
      <c r="C242" s="43" t="s">
        <v>390</v>
      </c>
      <c r="D242" s="43" t="s">
        <v>1186</v>
      </c>
      <c r="E242" s="78">
        <v>70.150000000000006</v>
      </c>
      <c r="F242" s="3" t="s">
        <v>29</v>
      </c>
      <c r="G242" s="78">
        <v>15.36</v>
      </c>
      <c r="H242" s="20">
        <f t="shared" si="6"/>
        <v>1077.5</v>
      </c>
      <c r="K242" s="96"/>
    </row>
    <row r="243" spans="1:11" ht="20.100000000000001" customHeight="1" x14ac:dyDescent="0.25">
      <c r="A243" s="59" t="s">
        <v>391</v>
      </c>
      <c r="B243" s="3" t="s">
        <v>17</v>
      </c>
      <c r="C243" s="43" t="s">
        <v>392</v>
      </c>
      <c r="D243" s="43" t="s">
        <v>1190</v>
      </c>
      <c r="E243" s="78">
        <v>14.4</v>
      </c>
      <c r="F243" s="3" t="s">
        <v>29</v>
      </c>
      <c r="G243" s="78">
        <v>33.28</v>
      </c>
      <c r="H243" s="20">
        <f t="shared" si="6"/>
        <v>479.23</v>
      </c>
      <c r="K243" s="96"/>
    </row>
    <row r="244" spans="1:11" ht="20.100000000000001" customHeight="1" x14ac:dyDescent="0.25">
      <c r="A244" s="59" t="s">
        <v>393</v>
      </c>
      <c r="B244" s="3" t="s">
        <v>17</v>
      </c>
      <c r="C244" s="43" t="s">
        <v>394</v>
      </c>
      <c r="D244" s="43" t="s">
        <v>1189</v>
      </c>
      <c r="E244" s="78">
        <v>42.16</v>
      </c>
      <c r="F244" s="3" t="s">
        <v>18</v>
      </c>
      <c r="G244" s="78">
        <v>17.93</v>
      </c>
      <c r="H244" s="20">
        <f t="shared" si="6"/>
        <v>755.93</v>
      </c>
      <c r="K244" s="96"/>
    </row>
    <row r="245" spans="1:11" ht="20.100000000000001" customHeight="1" x14ac:dyDescent="0.25">
      <c r="A245" s="59" t="s">
        <v>395</v>
      </c>
      <c r="B245" s="3" t="s">
        <v>17</v>
      </c>
      <c r="C245" s="43" t="s">
        <v>396</v>
      </c>
      <c r="D245" s="43" t="s">
        <v>1188</v>
      </c>
      <c r="E245" s="78">
        <v>215.64</v>
      </c>
      <c r="F245" s="3" t="s">
        <v>18</v>
      </c>
      <c r="G245" s="78">
        <v>19.059999999999999</v>
      </c>
      <c r="H245" s="20">
        <f t="shared" si="6"/>
        <v>4110.1000000000004</v>
      </c>
      <c r="K245" s="96"/>
    </row>
    <row r="246" spans="1:11" ht="20.100000000000001" customHeight="1" x14ac:dyDescent="0.25">
      <c r="A246" s="59" t="s">
        <v>397</v>
      </c>
      <c r="B246" s="3" t="s">
        <v>17</v>
      </c>
      <c r="C246" s="43" t="s">
        <v>398</v>
      </c>
      <c r="D246" s="43" t="s">
        <v>1191</v>
      </c>
      <c r="E246" s="78">
        <v>58.83</v>
      </c>
      <c r="F246" s="3" t="s">
        <v>29</v>
      </c>
      <c r="G246" s="78">
        <v>3.84</v>
      </c>
      <c r="H246" s="20">
        <f t="shared" si="6"/>
        <v>225.91</v>
      </c>
      <c r="K246" s="96"/>
    </row>
    <row r="247" spans="1:11" ht="20.100000000000001" customHeight="1" x14ac:dyDescent="0.25">
      <c r="A247" s="59" t="s">
        <v>399</v>
      </c>
      <c r="B247" s="3" t="s">
        <v>17</v>
      </c>
      <c r="C247" s="43" t="s">
        <v>400</v>
      </c>
      <c r="D247" s="43" t="s">
        <v>1192</v>
      </c>
      <c r="E247" s="78">
        <v>42.16</v>
      </c>
      <c r="F247" s="3" t="s">
        <v>18</v>
      </c>
      <c r="G247" s="78">
        <v>41.27</v>
      </c>
      <c r="H247" s="20">
        <f t="shared" si="6"/>
        <v>1739.94</v>
      </c>
      <c r="K247" s="96"/>
    </row>
    <row r="248" spans="1:11" ht="20.100000000000001" customHeight="1" x14ac:dyDescent="0.25">
      <c r="A248" s="59" t="s">
        <v>401</v>
      </c>
      <c r="B248" s="3" t="s">
        <v>17</v>
      </c>
      <c r="C248" s="43" t="s">
        <v>402</v>
      </c>
      <c r="D248" s="43" t="s">
        <v>1193</v>
      </c>
      <c r="E248" s="78">
        <v>215.16</v>
      </c>
      <c r="F248" s="3" t="s">
        <v>35</v>
      </c>
      <c r="G248" s="78">
        <v>16.52</v>
      </c>
      <c r="H248" s="20">
        <f t="shared" si="6"/>
        <v>3554.44</v>
      </c>
      <c r="K248" s="96"/>
    </row>
    <row r="249" spans="1:11" ht="20.100000000000001" customHeight="1" x14ac:dyDescent="0.25">
      <c r="A249" s="59" t="s">
        <v>403</v>
      </c>
      <c r="B249" s="3" t="s">
        <v>17</v>
      </c>
      <c r="C249" s="43" t="s">
        <v>404</v>
      </c>
      <c r="D249" s="43" t="s">
        <v>1463</v>
      </c>
      <c r="E249" s="78">
        <v>48.32</v>
      </c>
      <c r="F249" s="3" t="s">
        <v>277</v>
      </c>
      <c r="G249" s="78">
        <v>7.92</v>
      </c>
      <c r="H249" s="20">
        <f t="shared" si="6"/>
        <v>382.69</v>
      </c>
      <c r="K249" s="96"/>
    </row>
    <row r="250" spans="1:11" ht="20.100000000000001" customHeight="1" x14ac:dyDescent="0.25">
      <c r="A250" s="52"/>
      <c r="B250" s="9"/>
      <c r="C250" s="44" t="s">
        <v>405</v>
      </c>
      <c r="D250" s="44" t="s">
        <v>405</v>
      </c>
      <c r="E250" s="78">
        <v>1</v>
      </c>
      <c r="F250" s="9"/>
      <c r="G250" s="79">
        <f>SUM(H240:H249)</f>
        <v>16704.66</v>
      </c>
      <c r="H250" s="29">
        <f t="shared" si="6"/>
        <v>16704.66</v>
      </c>
      <c r="K250" s="96"/>
    </row>
    <row r="251" spans="1:11" ht="20.100000000000001" hidden="1" customHeight="1" outlineLevel="1" x14ac:dyDescent="0.25">
      <c r="A251" s="60"/>
      <c r="B251" s="12"/>
      <c r="C251" s="45"/>
      <c r="D251" s="45"/>
      <c r="E251" s="34"/>
      <c r="F251" s="12"/>
      <c r="G251" s="34"/>
      <c r="H251" s="30"/>
      <c r="K251" s="96"/>
    </row>
    <row r="252" spans="1:11" ht="20.100000000000001" hidden="1" customHeight="1" outlineLevel="1" x14ac:dyDescent="0.25">
      <c r="A252" s="62" t="s">
        <v>406</v>
      </c>
      <c r="B252" s="7" t="s">
        <v>9</v>
      </c>
      <c r="C252" s="47" t="s">
        <v>407</v>
      </c>
      <c r="D252" s="47" t="s">
        <v>1195</v>
      </c>
      <c r="E252" s="81">
        <f>E268</f>
        <v>1</v>
      </c>
      <c r="F252" s="7" t="s">
        <v>65</v>
      </c>
      <c r="G252" s="81">
        <f>G268</f>
        <v>0</v>
      </c>
      <c r="H252" s="21">
        <f>H268</f>
        <v>0</v>
      </c>
      <c r="K252" s="96"/>
    </row>
    <row r="253" spans="1:11" ht="20.100000000000001" hidden="1" customHeight="1" outlineLevel="1" x14ac:dyDescent="0.25">
      <c r="A253" s="63"/>
      <c r="B253" s="18" t="s">
        <v>9</v>
      </c>
      <c r="C253" s="48" t="s">
        <v>408</v>
      </c>
      <c r="D253" s="48" t="s">
        <v>1196</v>
      </c>
      <c r="E253" s="82">
        <f>E256</f>
        <v>1</v>
      </c>
      <c r="F253" s="18" t="s">
        <v>65</v>
      </c>
      <c r="G253" s="82">
        <f>G256</f>
        <v>0</v>
      </c>
      <c r="H253" s="32">
        <f>H256</f>
        <v>0</v>
      </c>
      <c r="K253" s="96"/>
    </row>
    <row r="254" spans="1:11" ht="20.100000000000001" hidden="1" customHeight="1" outlineLevel="1" x14ac:dyDescent="0.25">
      <c r="A254" s="59" t="s">
        <v>409</v>
      </c>
      <c r="B254" s="3" t="s">
        <v>17</v>
      </c>
      <c r="C254" s="43" t="s">
        <v>410</v>
      </c>
      <c r="D254" s="43" t="s">
        <v>1198</v>
      </c>
      <c r="E254" s="78">
        <v>7.12</v>
      </c>
      <c r="F254" s="3" t="s">
        <v>18</v>
      </c>
      <c r="G254" s="78"/>
      <c r="H254" s="20"/>
      <c r="K254" s="96"/>
    </row>
    <row r="255" spans="1:11" ht="20.100000000000001" hidden="1" customHeight="1" outlineLevel="1" x14ac:dyDescent="0.25">
      <c r="A255" s="59" t="s">
        <v>411</v>
      </c>
      <c r="B255" s="3" t="s">
        <v>17</v>
      </c>
      <c r="C255" s="43" t="s">
        <v>1199</v>
      </c>
      <c r="D255" s="91" t="s">
        <v>1200</v>
      </c>
      <c r="E255" s="78">
        <v>12.4</v>
      </c>
      <c r="F255" s="3" t="s">
        <v>29</v>
      </c>
      <c r="G255" s="78"/>
      <c r="H255" s="20"/>
      <c r="K255" s="96"/>
    </row>
    <row r="256" spans="1:11" ht="20.100000000000001" hidden="1" customHeight="1" outlineLevel="1" x14ac:dyDescent="0.25">
      <c r="A256" s="52"/>
      <c r="B256" s="9"/>
      <c r="C256" s="44" t="s">
        <v>1201</v>
      </c>
      <c r="D256" s="44" t="s">
        <v>1209</v>
      </c>
      <c r="E256" s="78">
        <v>1</v>
      </c>
      <c r="F256" s="9"/>
      <c r="G256" s="79">
        <f>SUM(H254:H255)</f>
        <v>0</v>
      </c>
      <c r="H256" s="29">
        <f>ROUND(E256*G256,2)</f>
        <v>0</v>
      </c>
      <c r="K256" s="96"/>
    </row>
    <row r="257" spans="1:11" ht="20.100000000000001" hidden="1" customHeight="1" outlineLevel="1" x14ac:dyDescent="0.25">
      <c r="A257" s="60"/>
      <c r="B257" s="12"/>
      <c r="C257" s="45"/>
      <c r="D257" s="45"/>
      <c r="E257" s="34"/>
      <c r="F257" s="12"/>
      <c r="G257" s="34"/>
      <c r="H257" s="30"/>
      <c r="K257" s="96"/>
    </row>
    <row r="258" spans="1:11" ht="20.100000000000001" hidden="1" customHeight="1" outlineLevel="1" x14ac:dyDescent="0.25">
      <c r="A258" s="63"/>
      <c r="B258" s="18" t="s">
        <v>9</v>
      </c>
      <c r="C258" s="48" t="s">
        <v>413</v>
      </c>
      <c r="D258" s="48" t="s">
        <v>1197</v>
      </c>
      <c r="E258" s="82">
        <f>E266</f>
        <v>1</v>
      </c>
      <c r="F258" s="18" t="s">
        <v>65</v>
      </c>
      <c r="G258" s="82">
        <f>G266</f>
        <v>0</v>
      </c>
      <c r="H258" s="32">
        <f>H266</f>
        <v>0</v>
      </c>
      <c r="K258" s="96"/>
    </row>
    <row r="259" spans="1:11" ht="20.100000000000001" hidden="1" customHeight="1" outlineLevel="1" x14ac:dyDescent="0.25">
      <c r="A259" s="59" t="s">
        <v>414</v>
      </c>
      <c r="B259" s="3" t="s">
        <v>17</v>
      </c>
      <c r="C259" s="43" t="s">
        <v>415</v>
      </c>
      <c r="D259" s="43" t="s">
        <v>1205</v>
      </c>
      <c r="E259" s="78">
        <v>136.68</v>
      </c>
      <c r="F259" s="3" t="s">
        <v>18</v>
      </c>
      <c r="G259" s="78"/>
      <c r="H259" s="20"/>
      <c r="K259" s="96"/>
    </row>
    <row r="260" spans="1:11" ht="20.100000000000001" hidden="1" customHeight="1" outlineLevel="1" x14ac:dyDescent="0.25">
      <c r="A260" s="59" t="s">
        <v>416</v>
      </c>
      <c r="B260" s="3" t="s">
        <v>17</v>
      </c>
      <c r="C260" s="43" t="s">
        <v>417</v>
      </c>
      <c r="D260" s="43" t="s">
        <v>1202</v>
      </c>
      <c r="E260" s="78">
        <v>161.25</v>
      </c>
      <c r="F260" s="3" t="s">
        <v>18</v>
      </c>
      <c r="G260" s="78"/>
      <c r="H260" s="20"/>
      <c r="K260" s="96"/>
    </row>
    <row r="261" spans="1:11" ht="20.100000000000001" hidden="1" customHeight="1" outlineLevel="1" x14ac:dyDescent="0.25">
      <c r="A261" s="59" t="s">
        <v>418</v>
      </c>
      <c r="B261" s="3" t="s">
        <v>17</v>
      </c>
      <c r="C261" s="43" t="s">
        <v>419</v>
      </c>
      <c r="D261" s="43" t="s">
        <v>1204</v>
      </c>
      <c r="E261" s="78">
        <v>25.92</v>
      </c>
      <c r="F261" s="3" t="s">
        <v>29</v>
      </c>
      <c r="G261" s="78"/>
      <c r="H261" s="20"/>
      <c r="K261" s="96"/>
    </row>
    <row r="262" spans="1:11" ht="20.100000000000001" hidden="1" customHeight="1" outlineLevel="1" x14ac:dyDescent="0.25">
      <c r="A262" s="59" t="s">
        <v>420</v>
      </c>
      <c r="B262" s="3" t="s">
        <v>17</v>
      </c>
      <c r="C262" s="43" t="s">
        <v>421</v>
      </c>
      <c r="D262" s="43" t="s">
        <v>1203</v>
      </c>
      <c r="E262" s="78">
        <v>29.7</v>
      </c>
      <c r="F262" s="3" t="s">
        <v>29</v>
      </c>
      <c r="G262" s="78"/>
      <c r="H262" s="20"/>
      <c r="K262" s="96"/>
    </row>
    <row r="263" spans="1:11" ht="20.100000000000001" hidden="1" customHeight="1" outlineLevel="1" x14ac:dyDescent="0.25">
      <c r="A263" s="59" t="s">
        <v>422</v>
      </c>
      <c r="B263" s="3" t="s">
        <v>17</v>
      </c>
      <c r="C263" s="43" t="s">
        <v>423</v>
      </c>
      <c r="D263" s="43" t="s">
        <v>1206</v>
      </c>
      <c r="E263" s="78">
        <v>76.510000000000005</v>
      </c>
      <c r="F263" s="3" t="s">
        <v>18</v>
      </c>
      <c r="G263" s="78"/>
      <c r="H263" s="20"/>
      <c r="K263" s="96"/>
    </row>
    <row r="264" spans="1:11" ht="20.100000000000001" hidden="1" customHeight="1" outlineLevel="1" x14ac:dyDescent="0.25">
      <c r="A264" s="59" t="s">
        <v>424</v>
      </c>
      <c r="B264" s="3" t="s">
        <v>17</v>
      </c>
      <c r="C264" s="43" t="s">
        <v>425</v>
      </c>
      <c r="D264" s="43" t="s">
        <v>1207</v>
      </c>
      <c r="E264" s="78">
        <v>175.11</v>
      </c>
      <c r="F264" s="3" t="s">
        <v>18</v>
      </c>
      <c r="G264" s="78"/>
      <c r="H264" s="20"/>
      <c r="K264" s="96"/>
    </row>
    <row r="265" spans="1:11" ht="20.100000000000001" hidden="1" customHeight="1" outlineLevel="1" x14ac:dyDescent="0.25">
      <c r="A265" s="59" t="s">
        <v>426</v>
      </c>
      <c r="B265" s="3" t="s">
        <v>17</v>
      </c>
      <c r="C265" s="43" t="s">
        <v>427</v>
      </c>
      <c r="D265" s="43" t="s">
        <v>1208</v>
      </c>
      <c r="E265" s="78">
        <v>91.2</v>
      </c>
      <c r="F265" s="3" t="s">
        <v>18</v>
      </c>
      <c r="G265" s="78"/>
      <c r="H265" s="20"/>
      <c r="K265" s="96"/>
    </row>
    <row r="266" spans="1:11" ht="20.100000000000001" hidden="1" customHeight="1" outlineLevel="1" x14ac:dyDescent="0.25">
      <c r="A266" s="52"/>
      <c r="B266" s="9"/>
      <c r="C266" s="44" t="s">
        <v>1210</v>
      </c>
      <c r="D266" s="44" t="s">
        <v>1210</v>
      </c>
      <c r="E266" s="78">
        <v>1</v>
      </c>
      <c r="F266" s="9"/>
      <c r="G266" s="79">
        <f>SUM(H259:H265)</f>
        <v>0</v>
      </c>
      <c r="H266" s="29">
        <f>ROUND(E266*G266,2)</f>
        <v>0</v>
      </c>
      <c r="K266" s="96"/>
    </row>
    <row r="267" spans="1:11" ht="20.100000000000001" hidden="1" customHeight="1" outlineLevel="1" x14ac:dyDescent="0.25">
      <c r="A267" s="60"/>
      <c r="B267" s="12"/>
      <c r="C267" s="45"/>
      <c r="D267" s="45"/>
      <c r="E267" s="34"/>
      <c r="F267" s="12"/>
      <c r="G267" s="34"/>
      <c r="H267" s="30"/>
      <c r="K267" s="96"/>
    </row>
    <row r="268" spans="1:11" ht="20.100000000000001" hidden="1" customHeight="1" outlineLevel="1" x14ac:dyDescent="0.25">
      <c r="A268" s="52"/>
      <c r="B268" s="9"/>
      <c r="C268" s="44" t="s">
        <v>428</v>
      </c>
      <c r="D268" s="44"/>
      <c r="E268" s="78">
        <v>1</v>
      </c>
      <c r="F268" s="9"/>
      <c r="G268" s="79">
        <f>H253+H258</f>
        <v>0</v>
      </c>
      <c r="H268" s="29">
        <f>ROUND(E268*G268,2)</f>
        <v>0</v>
      </c>
      <c r="K268" s="96"/>
    </row>
    <row r="269" spans="1:11" ht="20.100000000000001" hidden="1" customHeight="1" outlineLevel="1" x14ac:dyDescent="0.25">
      <c r="A269" s="60"/>
      <c r="B269" s="12"/>
      <c r="C269" s="45"/>
      <c r="D269" s="45"/>
      <c r="E269" s="34"/>
      <c r="F269" s="12"/>
      <c r="G269" s="34"/>
      <c r="H269" s="30"/>
      <c r="K269" s="96"/>
    </row>
    <row r="270" spans="1:11" ht="20.100000000000001" hidden="1" customHeight="1" outlineLevel="1" x14ac:dyDescent="0.25">
      <c r="A270" s="62" t="s">
        <v>429</v>
      </c>
      <c r="B270" s="7" t="s">
        <v>9</v>
      </c>
      <c r="C270" s="47" t="s">
        <v>430</v>
      </c>
      <c r="D270" s="47" t="s">
        <v>1211</v>
      </c>
      <c r="E270" s="81">
        <f>E282</f>
        <v>1</v>
      </c>
      <c r="F270" s="7" t="s">
        <v>65</v>
      </c>
      <c r="G270" s="81">
        <f>G282</f>
        <v>0</v>
      </c>
      <c r="H270" s="21">
        <f>H282</f>
        <v>0</v>
      </c>
      <c r="K270" s="96"/>
    </row>
    <row r="271" spans="1:11" ht="20.100000000000001" hidden="1" customHeight="1" outlineLevel="1" x14ac:dyDescent="0.25">
      <c r="A271" s="63"/>
      <c r="B271" s="18" t="s">
        <v>9</v>
      </c>
      <c r="C271" s="48" t="s">
        <v>431</v>
      </c>
      <c r="D271" s="48" t="s">
        <v>1212</v>
      </c>
      <c r="E271" s="82">
        <f>E276</f>
        <v>1</v>
      </c>
      <c r="F271" s="18" t="s">
        <v>65</v>
      </c>
      <c r="G271" s="82">
        <f>G276</f>
        <v>0</v>
      </c>
      <c r="H271" s="32">
        <f>H276</f>
        <v>0</v>
      </c>
      <c r="K271" s="96"/>
    </row>
    <row r="272" spans="1:11" ht="20.100000000000001" hidden="1" customHeight="1" outlineLevel="1" x14ac:dyDescent="0.25">
      <c r="A272" s="59" t="s">
        <v>432</v>
      </c>
      <c r="B272" s="3" t="s">
        <v>17</v>
      </c>
      <c r="C272" s="43" t="s">
        <v>434</v>
      </c>
      <c r="D272" s="43" t="s">
        <v>434</v>
      </c>
      <c r="E272" s="78">
        <v>1</v>
      </c>
      <c r="F272" s="3" t="s">
        <v>433</v>
      </c>
      <c r="G272" s="78"/>
      <c r="H272" s="20"/>
      <c r="K272" s="96"/>
    </row>
    <row r="273" spans="1:11" ht="20.100000000000001" hidden="1" customHeight="1" outlineLevel="1" x14ac:dyDescent="0.25">
      <c r="A273" s="59" t="s">
        <v>435</v>
      </c>
      <c r="B273" s="3" t="s">
        <v>17</v>
      </c>
      <c r="C273" s="43" t="s">
        <v>436</v>
      </c>
      <c r="D273" s="43" t="s">
        <v>436</v>
      </c>
      <c r="E273" s="78">
        <v>1</v>
      </c>
      <c r="F273" s="3" t="s">
        <v>433</v>
      </c>
      <c r="G273" s="78"/>
      <c r="H273" s="20"/>
      <c r="K273" s="96"/>
    </row>
    <row r="274" spans="1:11" ht="20.100000000000001" hidden="1" customHeight="1" outlineLevel="1" x14ac:dyDescent="0.25">
      <c r="A274" s="59" t="s">
        <v>437</v>
      </c>
      <c r="B274" s="3" t="s">
        <v>17</v>
      </c>
      <c r="C274" s="43" t="s">
        <v>438</v>
      </c>
      <c r="D274" s="43" t="s">
        <v>438</v>
      </c>
      <c r="E274" s="78">
        <v>1</v>
      </c>
      <c r="F274" s="3" t="s">
        <v>433</v>
      </c>
      <c r="G274" s="78"/>
      <c r="H274" s="20"/>
      <c r="K274" s="96"/>
    </row>
    <row r="275" spans="1:11" ht="20.100000000000001" hidden="1" customHeight="1" outlineLevel="1" x14ac:dyDescent="0.25">
      <c r="A275" s="59" t="s">
        <v>439</v>
      </c>
      <c r="B275" s="3" t="s">
        <v>17</v>
      </c>
      <c r="C275" s="43" t="s">
        <v>440</v>
      </c>
      <c r="D275" s="43" t="s">
        <v>440</v>
      </c>
      <c r="E275" s="78">
        <v>1</v>
      </c>
      <c r="F275" s="3" t="s">
        <v>433</v>
      </c>
      <c r="G275" s="78"/>
      <c r="H275" s="20"/>
      <c r="K275" s="96"/>
    </row>
    <row r="276" spans="1:11" ht="20.100000000000001" hidden="1" customHeight="1" outlineLevel="1" x14ac:dyDescent="0.25">
      <c r="A276" s="52"/>
      <c r="B276" s="9"/>
      <c r="C276" s="44" t="s">
        <v>1213</v>
      </c>
      <c r="D276" s="44" t="s">
        <v>1213</v>
      </c>
      <c r="E276" s="78">
        <v>1</v>
      </c>
      <c r="F276" s="9"/>
      <c r="G276" s="79">
        <f>SUM(H272:H275)</f>
        <v>0</v>
      </c>
      <c r="H276" s="29">
        <f>ROUND(E276*G276,2)</f>
        <v>0</v>
      </c>
      <c r="K276" s="96"/>
    </row>
    <row r="277" spans="1:11" ht="20.100000000000001" hidden="1" customHeight="1" outlineLevel="1" x14ac:dyDescent="0.25">
      <c r="A277" s="60"/>
      <c r="B277" s="12"/>
      <c r="C277" s="45"/>
      <c r="D277" s="45"/>
      <c r="E277" s="34"/>
      <c r="F277" s="12"/>
      <c r="G277" s="34"/>
      <c r="H277" s="30"/>
      <c r="K277" s="96"/>
    </row>
    <row r="278" spans="1:11" ht="20.100000000000001" hidden="1" customHeight="1" outlineLevel="1" x14ac:dyDescent="0.25">
      <c r="A278" s="63" t="s">
        <v>441</v>
      </c>
      <c r="B278" s="18" t="s">
        <v>9</v>
      </c>
      <c r="C278" s="48" t="s">
        <v>442</v>
      </c>
      <c r="D278" s="48" t="s">
        <v>1215</v>
      </c>
      <c r="E278" s="82">
        <f>E280</f>
        <v>1</v>
      </c>
      <c r="F278" s="18" t="s">
        <v>65</v>
      </c>
      <c r="G278" s="82">
        <f>G280</f>
        <v>0</v>
      </c>
      <c r="H278" s="32">
        <f>H280</f>
        <v>0</v>
      </c>
      <c r="K278" s="96"/>
    </row>
    <row r="279" spans="1:11" ht="20.100000000000001" hidden="1" customHeight="1" outlineLevel="1" x14ac:dyDescent="0.25">
      <c r="A279" s="59" t="s">
        <v>443</v>
      </c>
      <c r="B279" s="3" t="s">
        <v>17</v>
      </c>
      <c r="C279" s="43" t="s">
        <v>444</v>
      </c>
      <c r="D279" s="43" t="s">
        <v>1214</v>
      </c>
      <c r="E279" s="78">
        <v>3.04</v>
      </c>
      <c r="F279" s="3" t="s">
        <v>35</v>
      </c>
      <c r="G279" s="78"/>
      <c r="H279" s="20"/>
      <c r="K279" s="96"/>
    </row>
    <row r="280" spans="1:11" ht="20.100000000000001" hidden="1" customHeight="1" outlineLevel="1" x14ac:dyDescent="0.25">
      <c r="A280" s="52"/>
      <c r="B280" s="9"/>
      <c r="C280" s="44" t="s">
        <v>1216</v>
      </c>
      <c r="D280" s="44" t="s">
        <v>1216</v>
      </c>
      <c r="E280" s="78">
        <v>1</v>
      </c>
      <c r="F280" s="9"/>
      <c r="G280" s="79">
        <f>H279</f>
        <v>0</v>
      </c>
      <c r="H280" s="29">
        <f>ROUND(E280*G280,2)</f>
        <v>0</v>
      </c>
      <c r="K280" s="96"/>
    </row>
    <row r="281" spans="1:11" ht="20.100000000000001" hidden="1" customHeight="1" outlineLevel="1" x14ac:dyDescent="0.25">
      <c r="A281" s="60"/>
      <c r="B281" s="12"/>
      <c r="C281" s="45"/>
      <c r="D281" s="45"/>
      <c r="E281" s="34"/>
      <c r="F281" s="12"/>
      <c r="G281" s="34"/>
      <c r="H281" s="30"/>
      <c r="K281" s="96"/>
    </row>
    <row r="282" spans="1:11" ht="20.100000000000001" hidden="1" customHeight="1" outlineLevel="1" x14ac:dyDescent="0.25">
      <c r="A282" s="52"/>
      <c r="B282" s="9"/>
      <c r="C282" s="44" t="s">
        <v>445</v>
      </c>
      <c r="D282" s="44" t="s">
        <v>445</v>
      </c>
      <c r="E282" s="78">
        <v>1</v>
      </c>
      <c r="F282" s="9"/>
      <c r="G282" s="79">
        <f>H271+H278</f>
        <v>0</v>
      </c>
      <c r="H282" s="29">
        <f>ROUND(E282*G282,2)</f>
        <v>0</v>
      </c>
      <c r="K282" s="96"/>
    </row>
    <row r="283" spans="1:11" ht="20.100000000000001" hidden="1" customHeight="1" outlineLevel="1" x14ac:dyDescent="0.25">
      <c r="A283" s="60"/>
      <c r="B283" s="12"/>
      <c r="C283" s="45"/>
      <c r="D283" s="45"/>
      <c r="E283" s="34"/>
      <c r="F283" s="12"/>
      <c r="G283" s="34"/>
      <c r="H283" s="30"/>
      <c r="K283" s="96"/>
    </row>
    <row r="284" spans="1:11" ht="20.100000000000001" hidden="1" customHeight="1" outlineLevel="1" x14ac:dyDescent="0.25">
      <c r="A284" s="62" t="s">
        <v>446</v>
      </c>
      <c r="B284" s="7" t="s">
        <v>9</v>
      </c>
      <c r="C284" s="47" t="s">
        <v>447</v>
      </c>
      <c r="D284" s="47" t="s">
        <v>1217</v>
      </c>
      <c r="E284" s="81">
        <f>E301</f>
        <v>1</v>
      </c>
      <c r="F284" s="7" t="s">
        <v>65</v>
      </c>
      <c r="G284" s="81">
        <f>G301</f>
        <v>0</v>
      </c>
      <c r="H284" s="21">
        <f>H301</f>
        <v>0</v>
      </c>
      <c r="K284" s="96"/>
    </row>
    <row r="285" spans="1:11" ht="20.100000000000001" hidden="1" customHeight="1" outlineLevel="1" x14ac:dyDescent="0.25">
      <c r="A285" s="63"/>
      <c r="B285" s="18" t="s">
        <v>9</v>
      </c>
      <c r="C285" s="48" t="s">
        <v>408</v>
      </c>
      <c r="D285" s="48" t="s">
        <v>1196</v>
      </c>
      <c r="E285" s="82">
        <f>E292</f>
        <v>1</v>
      </c>
      <c r="F285" s="18" t="s">
        <v>65</v>
      </c>
      <c r="G285" s="82">
        <f>G292</f>
        <v>0</v>
      </c>
      <c r="H285" s="32">
        <f>H292</f>
        <v>0</v>
      </c>
      <c r="K285" s="96"/>
    </row>
    <row r="286" spans="1:11" ht="20.100000000000001" hidden="1" customHeight="1" outlineLevel="1" x14ac:dyDescent="0.25">
      <c r="A286" s="59" t="s">
        <v>448</v>
      </c>
      <c r="B286" s="3" t="s">
        <v>17</v>
      </c>
      <c r="C286" s="43" t="s">
        <v>449</v>
      </c>
      <c r="D286" s="91" t="s">
        <v>1220</v>
      </c>
      <c r="E286" s="78">
        <v>1148.1300000000001</v>
      </c>
      <c r="F286" s="3" t="s">
        <v>35</v>
      </c>
      <c r="G286" s="78"/>
      <c r="H286" s="20"/>
      <c r="K286" s="96"/>
    </row>
    <row r="287" spans="1:11" ht="20.100000000000001" hidden="1" customHeight="1" outlineLevel="1" x14ac:dyDescent="0.25">
      <c r="A287" s="59" t="s">
        <v>450</v>
      </c>
      <c r="B287" s="3" t="s">
        <v>17</v>
      </c>
      <c r="C287" s="43" t="s">
        <v>451</v>
      </c>
      <c r="D287" s="91" t="s">
        <v>1219</v>
      </c>
      <c r="E287" s="78">
        <v>449.86</v>
      </c>
      <c r="F287" s="3" t="s">
        <v>35</v>
      </c>
      <c r="G287" s="78"/>
      <c r="H287" s="20"/>
      <c r="K287" s="96"/>
    </row>
    <row r="288" spans="1:11" ht="20.100000000000001" hidden="1" customHeight="1" outlineLevel="1" x14ac:dyDescent="0.25">
      <c r="A288" s="59" t="s">
        <v>452</v>
      </c>
      <c r="B288" s="3" t="s">
        <v>17</v>
      </c>
      <c r="C288" s="43" t="s">
        <v>453</v>
      </c>
      <c r="D288" s="43" t="s">
        <v>1218</v>
      </c>
      <c r="E288" s="78">
        <v>529.69000000000005</v>
      </c>
      <c r="F288" s="3" t="s">
        <v>277</v>
      </c>
      <c r="G288" s="78"/>
      <c r="H288" s="20"/>
      <c r="K288" s="96"/>
    </row>
    <row r="289" spans="1:11" ht="20.100000000000001" hidden="1" customHeight="1" outlineLevel="1" x14ac:dyDescent="0.25">
      <c r="A289" s="59" t="s">
        <v>454</v>
      </c>
      <c r="B289" s="3" t="s">
        <v>17</v>
      </c>
      <c r="C289" s="43" t="s">
        <v>455</v>
      </c>
      <c r="D289" s="43" t="s">
        <v>1223</v>
      </c>
      <c r="E289" s="78">
        <v>1087.1199999999999</v>
      </c>
      <c r="F289" s="3" t="s">
        <v>277</v>
      </c>
      <c r="G289" s="78"/>
      <c r="H289" s="20"/>
      <c r="K289" s="96"/>
    </row>
    <row r="290" spans="1:11" ht="20.100000000000001" hidden="1" customHeight="1" outlineLevel="1" x14ac:dyDescent="0.25">
      <c r="A290" s="59" t="s">
        <v>456</v>
      </c>
      <c r="B290" s="3" t="s">
        <v>17</v>
      </c>
      <c r="C290" s="43" t="s">
        <v>457</v>
      </c>
      <c r="D290" s="43" t="s">
        <v>1221</v>
      </c>
      <c r="E290" s="78">
        <v>10</v>
      </c>
      <c r="F290" s="3" t="s">
        <v>10</v>
      </c>
      <c r="G290" s="78"/>
      <c r="H290" s="20"/>
      <c r="K290" s="96"/>
    </row>
    <row r="291" spans="1:11" ht="20.100000000000001" hidden="1" customHeight="1" outlineLevel="1" x14ac:dyDescent="0.25">
      <c r="A291" s="59" t="s">
        <v>458</v>
      </c>
      <c r="B291" s="3" t="s">
        <v>17</v>
      </c>
      <c r="C291" s="43" t="s">
        <v>459</v>
      </c>
      <c r="D291" s="43" t="s">
        <v>1222</v>
      </c>
      <c r="E291" s="78">
        <v>248.19</v>
      </c>
      <c r="F291" s="3" t="s">
        <v>277</v>
      </c>
      <c r="G291" s="78"/>
      <c r="H291" s="20"/>
      <c r="K291" s="96"/>
    </row>
    <row r="292" spans="1:11" ht="20.100000000000001" hidden="1" customHeight="1" outlineLevel="1" x14ac:dyDescent="0.25">
      <c r="A292" s="52"/>
      <c r="B292" s="9"/>
      <c r="C292" s="44" t="s">
        <v>1224</v>
      </c>
      <c r="D292" s="44" t="s">
        <v>1224</v>
      </c>
      <c r="E292" s="78">
        <v>1</v>
      </c>
      <c r="F292" s="9"/>
      <c r="G292" s="79">
        <f>SUM(H286:H291)</f>
        <v>0</v>
      </c>
      <c r="H292" s="29">
        <f>ROUND(E292*G292,2)</f>
        <v>0</v>
      </c>
      <c r="K292" s="96"/>
    </row>
    <row r="293" spans="1:11" ht="20.100000000000001" hidden="1" customHeight="1" outlineLevel="1" x14ac:dyDescent="0.25">
      <c r="A293" s="60"/>
      <c r="B293" s="12"/>
      <c r="C293" s="45"/>
      <c r="D293" s="45"/>
      <c r="E293" s="34"/>
      <c r="F293" s="12"/>
      <c r="G293" s="34"/>
      <c r="H293" s="30"/>
      <c r="K293" s="96"/>
    </row>
    <row r="294" spans="1:11" ht="20.100000000000001" hidden="1" customHeight="1" outlineLevel="1" x14ac:dyDescent="0.25">
      <c r="A294" s="63" t="s">
        <v>460</v>
      </c>
      <c r="B294" s="18" t="s">
        <v>9</v>
      </c>
      <c r="C294" s="48" t="s">
        <v>413</v>
      </c>
      <c r="D294" s="48" t="s">
        <v>1197</v>
      </c>
      <c r="E294" s="82">
        <f>E299</f>
        <v>1</v>
      </c>
      <c r="F294" s="18" t="s">
        <v>65</v>
      </c>
      <c r="G294" s="82">
        <f>G299</f>
        <v>0</v>
      </c>
      <c r="H294" s="32">
        <f>H299</f>
        <v>0</v>
      </c>
      <c r="K294" s="96"/>
    </row>
    <row r="295" spans="1:11" ht="20.100000000000001" hidden="1" customHeight="1" outlineLevel="1" x14ac:dyDescent="0.25">
      <c r="A295" s="59" t="s">
        <v>461</v>
      </c>
      <c r="B295" s="3" t="s">
        <v>17</v>
      </c>
      <c r="C295" s="43" t="s">
        <v>462</v>
      </c>
      <c r="D295" s="43" t="s">
        <v>1226</v>
      </c>
      <c r="E295" s="78">
        <v>653.02</v>
      </c>
      <c r="F295" s="3" t="s">
        <v>35</v>
      </c>
      <c r="G295" s="78"/>
      <c r="H295" s="20"/>
      <c r="K295" s="96"/>
    </row>
    <row r="296" spans="1:11" ht="20.100000000000001" hidden="1" customHeight="1" outlineLevel="1" x14ac:dyDescent="0.25">
      <c r="A296" s="59" t="s">
        <v>463</v>
      </c>
      <c r="B296" s="3" t="s">
        <v>17</v>
      </c>
      <c r="C296" s="43" t="s">
        <v>464</v>
      </c>
      <c r="D296" s="43" t="s">
        <v>1236</v>
      </c>
      <c r="E296" s="78">
        <v>215.64</v>
      </c>
      <c r="F296" s="3" t="s">
        <v>35</v>
      </c>
      <c r="G296" s="78"/>
      <c r="H296" s="20"/>
      <c r="K296" s="96"/>
    </row>
    <row r="297" spans="1:11" ht="20.100000000000001" hidden="1" customHeight="1" outlineLevel="1" x14ac:dyDescent="0.25">
      <c r="A297" s="59" t="s">
        <v>465</v>
      </c>
      <c r="B297" s="3" t="s">
        <v>17</v>
      </c>
      <c r="C297" s="43" t="s">
        <v>466</v>
      </c>
      <c r="D297" s="91" t="s">
        <v>1228</v>
      </c>
      <c r="E297" s="78">
        <v>59.74</v>
      </c>
      <c r="F297" s="3" t="s">
        <v>277</v>
      </c>
      <c r="G297" s="78"/>
      <c r="H297" s="20"/>
      <c r="K297" s="96"/>
    </row>
    <row r="298" spans="1:11" ht="20.100000000000001" hidden="1" customHeight="1" outlineLevel="1" x14ac:dyDescent="0.25">
      <c r="A298" s="59" t="s">
        <v>467</v>
      </c>
      <c r="B298" s="3" t="s">
        <v>17</v>
      </c>
      <c r="C298" s="43" t="s">
        <v>469</v>
      </c>
      <c r="D298" s="43" t="s">
        <v>1227</v>
      </c>
      <c r="E298" s="78">
        <v>282.87</v>
      </c>
      <c r="F298" s="3" t="s">
        <v>468</v>
      </c>
      <c r="G298" s="78"/>
      <c r="H298" s="20"/>
      <c r="K298" s="96"/>
    </row>
    <row r="299" spans="1:11" ht="20.100000000000001" hidden="1" customHeight="1" outlineLevel="1" x14ac:dyDescent="0.25">
      <c r="A299" s="52"/>
      <c r="B299" s="9"/>
      <c r="C299" s="44" t="s">
        <v>1225</v>
      </c>
      <c r="D299" s="44" t="s">
        <v>1225</v>
      </c>
      <c r="E299" s="78">
        <v>1</v>
      </c>
      <c r="F299" s="9"/>
      <c r="G299" s="79">
        <f>SUM(H295:H298)</f>
        <v>0</v>
      </c>
      <c r="H299" s="29">
        <f>ROUND(E299*G299,2)</f>
        <v>0</v>
      </c>
      <c r="K299" s="96"/>
    </row>
    <row r="300" spans="1:11" ht="20.100000000000001" hidden="1" customHeight="1" outlineLevel="1" x14ac:dyDescent="0.25">
      <c r="A300" s="60"/>
      <c r="B300" s="12"/>
      <c r="C300" s="45"/>
      <c r="D300" s="45"/>
      <c r="E300" s="34"/>
      <c r="F300" s="12"/>
      <c r="G300" s="34"/>
      <c r="H300" s="30"/>
      <c r="K300" s="96"/>
    </row>
    <row r="301" spans="1:11" ht="20.100000000000001" hidden="1" customHeight="1" outlineLevel="1" x14ac:dyDescent="0.25">
      <c r="A301" s="52"/>
      <c r="B301" s="9"/>
      <c r="C301" s="44" t="s">
        <v>470</v>
      </c>
      <c r="D301" s="44" t="s">
        <v>470</v>
      </c>
      <c r="E301" s="78">
        <v>1</v>
      </c>
      <c r="F301" s="9"/>
      <c r="G301" s="79">
        <f>H285+H294</f>
        <v>0</v>
      </c>
      <c r="H301" s="29">
        <f>ROUND(E301*G301,2)</f>
        <v>0</v>
      </c>
      <c r="K301" s="96"/>
    </row>
    <row r="302" spans="1:11" ht="20.100000000000001" hidden="1" customHeight="1" outlineLevel="1" x14ac:dyDescent="0.25">
      <c r="A302" s="60"/>
      <c r="B302" s="12"/>
      <c r="C302" s="45"/>
      <c r="D302" s="45"/>
      <c r="E302" s="34"/>
      <c r="F302" s="12"/>
      <c r="G302" s="34"/>
      <c r="H302" s="30"/>
      <c r="K302" s="96"/>
    </row>
    <row r="303" spans="1:11" ht="20.100000000000001" hidden="1" customHeight="1" outlineLevel="1" x14ac:dyDescent="0.25">
      <c r="A303" s="62" t="s">
        <v>471</v>
      </c>
      <c r="B303" s="7" t="s">
        <v>9</v>
      </c>
      <c r="C303" s="47" t="s">
        <v>472</v>
      </c>
      <c r="D303" s="47" t="s">
        <v>1229</v>
      </c>
      <c r="E303" s="81">
        <f>E361</f>
        <v>1</v>
      </c>
      <c r="F303" s="7" t="s">
        <v>65</v>
      </c>
      <c r="G303" s="81">
        <f>G361</f>
        <v>0</v>
      </c>
      <c r="H303" s="21">
        <f>H361</f>
        <v>0</v>
      </c>
      <c r="K303" s="96"/>
    </row>
    <row r="304" spans="1:11" ht="20.100000000000001" hidden="1" customHeight="1" outlineLevel="1" x14ac:dyDescent="0.25">
      <c r="A304" s="63"/>
      <c r="B304" s="18" t="s">
        <v>9</v>
      </c>
      <c r="C304" s="48" t="s">
        <v>473</v>
      </c>
      <c r="D304" s="48" t="s">
        <v>1230</v>
      </c>
      <c r="E304" s="82">
        <f>E315</f>
        <v>1</v>
      </c>
      <c r="F304" s="18" t="s">
        <v>65</v>
      </c>
      <c r="G304" s="82">
        <f>G315</f>
        <v>0</v>
      </c>
      <c r="H304" s="32">
        <f>H315</f>
        <v>0</v>
      </c>
      <c r="K304" s="96"/>
    </row>
    <row r="305" spans="1:11" ht="20.100000000000001" hidden="1" customHeight="1" outlineLevel="1" x14ac:dyDescent="0.25">
      <c r="A305" s="59" t="s">
        <v>474</v>
      </c>
      <c r="B305" s="3" t="s">
        <v>17</v>
      </c>
      <c r="C305" s="43" t="s">
        <v>434</v>
      </c>
      <c r="D305" s="43" t="s">
        <v>1232</v>
      </c>
      <c r="E305" s="78">
        <v>22.32</v>
      </c>
      <c r="F305" s="3" t="s">
        <v>35</v>
      </c>
      <c r="G305" s="78"/>
      <c r="H305" s="20"/>
      <c r="K305" s="96"/>
    </row>
    <row r="306" spans="1:11" ht="20.100000000000001" hidden="1" customHeight="1" outlineLevel="1" x14ac:dyDescent="0.25">
      <c r="A306" s="59" t="s">
        <v>475</v>
      </c>
      <c r="B306" s="3" t="s">
        <v>17</v>
      </c>
      <c r="C306" s="43" t="s">
        <v>476</v>
      </c>
      <c r="D306" s="43" t="s">
        <v>476</v>
      </c>
      <c r="E306" s="78">
        <v>7.64</v>
      </c>
      <c r="F306" s="3" t="s">
        <v>35</v>
      </c>
      <c r="G306" s="78"/>
      <c r="H306" s="20"/>
      <c r="K306" s="96"/>
    </row>
    <row r="307" spans="1:11" ht="20.100000000000001" hidden="1" customHeight="1" outlineLevel="1" x14ac:dyDescent="0.25">
      <c r="A307" s="59" t="s">
        <v>477</v>
      </c>
      <c r="B307" s="3" t="s">
        <v>17</v>
      </c>
      <c r="C307" s="43" t="s">
        <v>438</v>
      </c>
      <c r="D307" s="43" t="s">
        <v>438</v>
      </c>
      <c r="E307" s="78">
        <v>27.83</v>
      </c>
      <c r="F307" s="3" t="s">
        <v>35</v>
      </c>
      <c r="G307" s="78"/>
      <c r="H307" s="20"/>
      <c r="K307" s="96"/>
    </row>
    <row r="308" spans="1:11" ht="20.100000000000001" hidden="1" customHeight="1" outlineLevel="1" x14ac:dyDescent="0.25">
      <c r="A308" s="59" t="s">
        <v>478</v>
      </c>
      <c r="B308" s="3" t="s">
        <v>17</v>
      </c>
      <c r="C308" s="43" t="s">
        <v>479</v>
      </c>
      <c r="D308" s="43" t="s">
        <v>479</v>
      </c>
      <c r="E308" s="78">
        <v>7.96</v>
      </c>
      <c r="F308" s="3" t="s">
        <v>35</v>
      </c>
      <c r="G308" s="78"/>
      <c r="H308" s="20"/>
      <c r="K308" s="96"/>
    </row>
    <row r="309" spans="1:11" ht="20.100000000000001" hidden="1" customHeight="1" outlineLevel="1" x14ac:dyDescent="0.25">
      <c r="A309" s="59" t="s">
        <v>480</v>
      </c>
      <c r="B309" s="3" t="s">
        <v>17</v>
      </c>
      <c r="C309" s="43" t="s">
        <v>481</v>
      </c>
      <c r="D309" s="43" t="s">
        <v>481</v>
      </c>
      <c r="E309" s="78">
        <v>6.4</v>
      </c>
      <c r="F309" s="3" t="s">
        <v>35</v>
      </c>
      <c r="G309" s="78"/>
      <c r="H309" s="20"/>
      <c r="K309" s="96"/>
    </row>
    <row r="310" spans="1:11" ht="20.100000000000001" hidden="1" customHeight="1" outlineLevel="1" x14ac:dyDescent="0.25">
      <c r="A310" s="59" t="s">
        <v>482</v>
      </c>
      <c r="B310" s="3" t="s">
        <v>17</v>
      </c>
      <c r="C310" s="43" t="s">
        <v>440</v>
      </c>
      <c r="D310" s="43" t="s">
        <v>440</v>
      </c>
      <c r="E310" s="78">
        <v>19.09</v>
      </c>
      <c r="F310" s="3" t="s">
        <v>35</v>
      </c>
      <c r="G310" s="78"/>
      <c r="H310" s="20"/>
      <c r="K310" s="96"/>
    </row>
    <row r="311" spans="1:11" ht="20.100000000000001" hidden="1" customHeight="1" outlineLevel="1" x14ac:dyDescent="0.25">
      <c r="A311" s="59" t="s">
        <v>483</v>
      </c>
      <c r="B311" s="3" t="s">
        <v>17</v>
      </c>
      <c r="C311" s="43" t="s">
        <v>484</v>
      </c>
      <c r="D311" s="43" t="s">
        <v>484</v>
      </c>
      <c r="E311" s="78">
        <v>7.25</v>
      </c>
      <c r="F311" s="3" t="s">
        <v>35</v>
      </c>
      <c r="G311" s="78"/>
      <c r="H311" s="20"/>
      <c r="K311" s="96"/>
    </row>
    <row r="312" spans="1:11" ht="20.100000000000001" hidden="1" customHeight="1" outlineLevel="1" x14ac:dyDescent="0.25">
      <c r="A312" s="59" t="s">
        <v>485</v>
      </c>
      <c r="B312" s="3" t="s">
        <v>17</v>
      </c>
      <c r="C312" s="43" t="s">
        <v>486</v>
      </c>
      <c r="D312" s="43" t="s">
        <v>486</v>
      </c>
      <c r="E312" s="78">
        <v>29.4</v>
      </c>
      <c r="F312" s="3" t="s">
        <v>35</v>
      </c>
      <c r="G312" s="78"/>
      <c r="H312" s="20"/>
      <c r="K312" s="96"/>
    </row>
    <row r="313" spans="1:11" ht="20.100000000000001" hidden="1" customHeight="1" outlineLevel="1" x14ac:dyDescent="0.25">
      <c r="A313" s="59" t="s">
        <v>487</v>
      </c>
      <c r="B313" s="3" t="s">
        <v>17</v>
      </c>
      <c r="C313" s="43" t="s">
        <v>488</v>
      </c>
      <c r="D313" s="43" t="s">
        <v>488</v>
      </c>
      <c r="E313" s="78">
        <v>48.57</v>
      </c>
      <c r="F313" s="3" t="s">
        <v>35</v>
      </c>
      <c r="G313" s="78"/>
      <c r="H313" s="20"/>
      <c r="K313" s="96"/>
    </row>
    <row r="314" spans="1:11" ht="20.100000000000001" hidden="1" customHeight="1" outlineLevel="1" x14ac:dyDescent="0.25">
      <c r="A314" s="59" t="s">
        <v>489</v>
      </c>
      <c r="B314" s="3" t="s">
        <v>17</v>
      </c>
      <c r="C314" s="43" t="s">
        <v>490</v>
      </c>
      <c r="D314" s="43" t="s">
        <v>490</v>
      </c>
      <c r="E314" s="78">
        <v>29.38</v>
      </c>
      <c r="F314" s="3" t="s">
        <v>35</v>
      </c>
      <c r="G314" s="78"/>
      <c r="H314" s="20"/>
      <c r="K314" s="96"/>
    </row>
    <row r="315" spans="1:11" ht="20.100000000000001" hidden="1" customHeight="1" outlineLevel="1" x14ac:dyDescent="0.25">
      <c r="A315" s="52"/>
      <c r="B315" s="9"/>
      <c r="C315" s="44" t="s">
        <v>1231</v>
      </c>
      <c r="D315" s="44" t="s">
        <v>1231</v>
      </c>
      <c r="E315" s="78">
        <v>1</v>
      </c>
      <c r="F315" s="9"/>
      <c r="G315" s="79">
        <f>SUM(H305:H314)</f>
        <v>0</v>
      </c>
      <c r="H315" s="29">
        <f>ROUND(E315*G315,2)</f>
        <v>0</v>
      </c>
      <c r="K315" s="96"/>
    </row>
    <row r="316" spans="1:11" ht="20.100000000000001" hidden="1" customHeight="1" outlineLevel="1" x14ac:dyDescent="0.25">
      <c r="A316" s="60"/>
      <c r="B316" s="12"/>
      <c r="C316" s="45"/>
      <c r="D316" s="45"/>
      <c r="E316" s="34"/>
      <c r="F316" s="12"/>
      <c r="G316" s="34"/>
      <c r="H316" s="30"/>
      <c r="K316" s="96"/>
    </row>
    <row r="317" spans="1:11" ht="20.100000000000001" hidden="1" customHeight="1" outlineLevel="1" x14ac:dyDescent="0.25">
      <c r="A317" s="63"/>
      <c r="B317" s="18" t="s">
        <v>9</v>
      </c>
      <c r="C317" s="48" t="s">
        <v>491</v>
      </c>
      <c r="D317" s="48" t="s">
        <v>1230</v>
      </c>
      <c r="E317" s="82">
        <f>E321</f>
        <v>1</v>
      </c>
      <c r="F317" s="18" t="s">
        <v>65</v>
      </c>
      <c r="G317" s="82">
        <f>G321</f>
        <v>0</v>
      </c>
      <c r="H317" s="32">
        <f>H321</f>
        <v>0</v>
      </c>
      <c r="K317" s="96"/>
    </row>
    <row r="318" spans="1:11" ht="20.100000000000001" hidden="1" customHeight="1" outlineLevel="1" x14ac:dyDescent="0.25">
      <c r="A318" s="59" t="s">
        <v>492</v>
      </c>
      <c r="B318" s="3" t="s">
        <v>17</v>
      </c>
      <c r="C318" s="43" t="s">
        <v>493</v>
      </c>
      <c r="D318" s="43" t="s">
        <v>493</v>
      </c>
      <c r="E318" s="78">
        <v>109.94</v>
      </c>
      <c r="F318" s="3" t="s">
        <v>35</v>
      </c>
      <c r="G318" s="78"/>
      <c r="H318" s="20"/>
      <c r="K318" s="96"/>
    </row>
    <row r="319" spans="1:11" ht="20.100000000000001" hidden="1" customHeight="1" outlineLevel="1" x14ac:dyDescent="0.25">
      <c r="A319" s="59" t="s">
        <v>494</v>
      </c>
      <c r="B319" s="3" t="s">
        <v>17</v>
      </c>
      <c r="C319" s="43" t="s">
        <v>495</v>
      </c>
      <c r="D319" s="43" t="s">
        <v>434</v>
      </c>
      <c r="E319" s="78">
        <v>24.11</v>
      </c>
      <c r="F319" s="3" t="s">
        <v>35</v>
      </c>
      <c r="G319" s="78"/>
      <c r="H319" s="20"/>
      <c r="K319" s="96"/>
    </row>
    <row r="320" spans="1:11" ht="20.100000000000001" hidden="1" customHeight="1" outlineLevel="1" x14ac:dyDescent="0.25">
      <c r="A320" s="59" t="s">
        <v>496</v>
      </c>
      <c r="B320" s="3" t="s">
        <v>17</v>
      </c>
      <c r="C320" s="43" t="s">
        <v>497</v>
      </c>
      <c r="D320" s="43" t="s">
        <v>1317</v>
      </c>
      <c r="E320" s="78">
        <v>69.739999999999995</v>
      </c>
      <c r="F320" s="3" t="s">
        <v>35</v>
      </c>
      <c r="G320" s="78"/>
      <c r="H320" s="20"/>
      <c r="K320" s="96"/>
    </row>
    <row r="321" spans="1:11" ht="20.100000000000001" hidden="1" customHeight="1" outlineLevel="1" x14ac:dyDescent="0.25">
      <c r="A321" s="52"/>
      <c r="B321" s="9"/>
      <c r="C321" s="44" t="s">
        <v>1239</v>
      </c>
      <c r="D321" s="44" t="s">
        <v>1239</v>
      </c>
      <c r="E321" s="78">
        <v>1</v>
      </c>
      <c r="F321" s="9"/>
      <c r="G321" s="79">
        <f>SUM(H318:H320)</f>
        <v>0</v>
      </c>
      <c r="H321" s="29">
        <f>ROUND(E321*G321,2)</f>
        <v>0</v>
      </c>
      <c r="K321" s="96"/>
    </row>
    <row r="322" spans="1:11" ht="20.100000000000001" hidden="1" customHeight="1" outlineLevel="1" x14ac:dyDescent="0.25">
      <c r="A322" s="60"/>
      <c r="B322" s="12"/>
      <c r="C322" s="45"/>
      <c r="D322" s="45"/>
      <c r="E322" s="34"/>
      <c r="F322" s="12"/>
      <c r="G322" s="34"/>
      <c r="H322" s="30"/>
      <c r="K322" s="96"/>
    </row>
    <row r="323" spans="1:11" ht="39.950000000000003" hidden="1" customHeight="1" outlineLevel="1" x14ac:dyDescent="0.25">
      <c r="A323" s="63"/>
      <c r="B323" s="18" t="s">
        <v>9</v>
      </c>
      <c r="C323" s="48" t="s">
        <v>498</v>
      </c>
      <c r="D323" s="48" t="s">
        <v>1238</v>
      </c>
      <c r="E323" s="82">
        <f>E326</f>
        <v>1</v>
      </c>
      <c r="F323" s="18" t="s">
        <v>65</v>
      </c>
      <c r="G323" s="82">
        <f>G326</f>
        <v>0</v>
      </c>
      <c r="H323" s="32">
        <f>H326</f>
        <v>0</v>
      </c>
      <c r="K323" s="96"/>
    </row>
    <row r="324" spans="1:11" ht="20.100000000000001" hidden="1" customHeight="1" outlineLevel="1" x14ac:dyDescent="0.25">
      <c r="A324" s="59" t="s">
        <v>499</v>
      </c>
      <c r="B324" s="3" t="s">
        <v>17</v>
      </c>
      <c r="C324" s="43" t="s">
        <v>500</v>
      </c>
      <c r="D324" s="43" t="s">
        <v>500</v>
      </c>
      <c r="E324" s="78">
        <v>25.76</v>
      </c>
      <c r="F324" s="3" t="s">
        <v>35</v>
      </c>
      <c r="G324" s="78"/>
      <c r="H324" s="20"/>
      <c r="K324" s="96"/>
    </row>
    <row r="325" spans="1:11" ht="20.100000000000001" hidden="1" customHeight="1" outlineLevel="1" x14ac:dyDescent="0.25">
      <c r="A325" s="59" t="s">
        <v>501</v>
      </c>
      <c r="B325" s="3" t="s">
        <v>17</v>
      </c>
      <c r="C325" s="43" t="s">
        <v>502</v>
      </c>
      <c r="D325" s="43" t="s">
        <v>502</v>
      </c>
      <c r="E325" s="78">
        <v>13.44</v>
      </c>
      <c r="F325" s="3" t="s">
        <v>35</v>
      </c>
      <c r="G325" s="78"/>
      <c r="H325" s="20"/>
      <c r="K325" s="96"/>
    </row>
    <row r="326" spans="1:11" ht="20.100000000000001" hidden="1" customHeight="1" outlineLevel="1" x14ac:dyDescent="0.25">
      <c r="A326" s="52"/>
      <c r="B326" s="9"/>
      <c r="C326" s="44" t="s">
        <v>1240</v>
      </c>
      <c r="D326" s="44" t="s">
        <v>1240</v>
      </c>
      <c r="E326" s="78">
        <v>1</v>
      </c>
      <c r="F326" s="9"/>
      <c r="G326" s="79">
        <f>SUM(H324:H325)</f>
        <v>0</v>
      </c>
      <c r="H326" s="29">
        <f>ROUND(E326*G326,2)</f>
        <v>0</v>
      </c>
      <c r="K326" s="96"/>
    </row>
    <row r="327" spans="1:11" ht="20.100000000000001" hidden="1" customHeight="1" outlineLevel="1" x14ac:dyDescent="0.25">
      <c r="A327" s="60"/>
      <c r="B327" s="12"/>
      <c r="C327" s="45"/>
      <c r="D327" s="45"/>
      <c r="E327" s="34"/>
      <c r="F327" s="12"/>
      <c r="G327" s="34"/>
      <c r="H327" s="30"/>
      <c r="K327" s="96"/>
    </row>
    <row r="328" spans="1:11" ht="20.100000000000001" hidden="1" customHeight="1" outlineLevel="1" x14ac:dyDescent="0.25">
      <c r="A328" s="63"/>
      <c r="B328" s="18" t="s">
        <v>9</v>
      </c>
      <c r="C328" s="48" t="s">
        <v>503</v>
      </c>
      <c r="D328" s="48" t="s">
        <v>1241</v>
      </c>
      <c r="E328" s="82">
        <f>E337</f>
        <v>1</v>
      </c>
      <c r="F328" s="18" t="s">
        <v>65</v>
      </c>
      <c r="G328" s="82">
        <f>G337</f>
        <v>0</v>
      </c>
      <c r="H328" s="32">
        <f>H337</f>
        <v>0</v>
      </c>
      <c r="K328" s="96"/>
    </row>
    <row r="329" spans="1:11" ht="20.100000000000001" hidden="1" customHeight="1" outlineLevel="1" x14ac:dyDescent="0.25">
      <c r="A329" s="59" t="s">
        <v>504</v>
      </c>
      <c r="B329" s="3" t="s">
        <v>17</v>
      </c>
      <c r="C329" s="43" t="s">
        <v>505</v>
      </c>
      <c r="D329" s="43" t="s">
        <v>505</v>
      </c>
      <c r="E329" s="78">
        <v>7.84</v>
      </c>
      <c r="F329" s="3" t="s">
        <v>35</v>
      </c>
      <c r="G329" s="78"/>
      <c r="H329" s="20"/>
      <c r="K329" s="96"/>
    </row>
    <row r="330" spans="1:11" ht="20.100000000000001" hidden="1" customHeight="1" outlineLevel="1" x14ac:dyDescent="0.25">
      <c r="A330" s="59" t="s">
        <v>506</v>
      </c>
      <c r="B330" s="3" t="s">
        <v>17</v>
      </c>
      <c r="C330" s="43" t="s">
        <v>507</v>
      </c>
      <c r="D330" s="43" t="s">
        <v>507</v>
      </c>
      <c r="E330" s="78">
        <v>3.56</v>
      </c>
      <c r="F330" s="3" t="s">
        <v>35</v>
      </c>
      <c r="G330" s="78"/>
      <c r="H330" s="20"/>
      <c r="K330" s="96"/>
    </row>
    <row r="331" spans="1:11" ht="20.100000000000001" hidden="1" customHeight="1" outlineLevel="1" x14ac:dyDescent="0.25">
      <c r="A331" s="59" t="s">
        <v>508</v>
      </c>
      <c r="B331" s="3" t="s">
        <v>17</v>
      </c>
      <c r="C331" s="43" t="s">
        <v>509</v>
      </c>
      <c r="D331" s="43" t="s">
        <v>509</v>
      </c>
      <c r="E331" s="78">
        <v>2.7</v>
      </c>
      <c r="F331" s="3" t="s">
        <v>35</v>
      </c>
      <c r="G331" s="78"/>
      <c r="H331" s="20"/>
      <c r="K331" s="96"/>
    </row>
    <row r="332" spans="1:11" ht="20.100000000000001" hidden="1" customHeight="1" outlineLevel="1" x14ac:dyDescent="0.25">
      <c r="A332" s="59" t="s">
        <v>510</v>
      </c>
      <c r="B332" s="3" t="s">
        <v>17</v>
      </c>
      <c r="C332" s="43" t="s">
        <v>511</v>
      </c>
      <c r="D332" s="43" t="s">
        <v>511</v>
      </c>
      <c r="E332" s="78">
        <v>16.850000000000001</v>
      </c>
      <c r="F332" s="3" t="s">
        <v>35</v>
      </c>
      <c r="G332" s="78"/>
      <c r="H332" s="20"/>
      <c r="K332" s="96"/>
    </row>
    <row r="333" spans="1:11" ht="20.100000000000001" hidden="1" customHeight="1" outlineLevel="1" x14ac:dyDescent="0.25">
      <c r="A333" s="59" t="s">
        <v>512</v>
      </c>
      <c r="B333" s="3" t="s">
        <v>17</v>
      </c>
      <c r="C333" s="43" t="s">
        <v>513</v>
      </c>
      <c r="D333" s="43" t="s">
        <v>513</v>
      </c>
      <c r="E333" s="78">
        <v>7.82</v>
      </c>
      <c r="F333" s="3" t="s">
        <v>35</v>
      </c>
      <c r="G333" s="78"/>
      <c r="H333" s="20"/>
      <c r="K333" s="96"/>
    </row>
    <row r="334" spans="1:11" ht="20.100000000000001" hidden="1" customHeight="1" outlineLevel="1" x14ac:dyDescent="0.25">
      <c r="A334" s="59" t="s">
        <v>514</v>
      </c>
      <c r="B334" s="3" t="s">
        <v>17</v>
      </c>
      <c r="C334" s="43" t="s">
        <v>515</v>
      </c>
      <c r="D334" s="43" t="s">
        <v>515</v>
      </c>
      <c r="E334" s="78">
        <v>3.55</v>
      </c>
      <c r="F334" s="3" t="s">
        <v>35</v>
      </c>
      <c r="G334" s="78"/>
      <c r="H334" s="20"/>
      <c r="K334" s="96"/>
    </row>
    <row r="335" spans="1:11" ht="20.100000000000001" hidden="1" customHeight="1" outlineLevel="1" x14ac:dyDescent="0.25">
      <c r="A335" s="59" t="s">
        <v>516</v>
      </c>
      <c r="B335" s="3" t="s">
        <v>17</v>
      </c>
      <c r="C335" s="43" t="s">
        <v>517</v>
      </c>
      <c r="D335" s="43" t="s">
        <v>517</v>
      </c>
      <c r="E335" s="78">
        <v>9.61</v>
      </c>
      <c r="F335" s="3" t="s">
        <v>35</v>
      </c>
      <c r="G335" s="78"/>
      <c r="H335" s="20"/>
      <c r="K335" s="96"/>
    </row>
    <row r="336" spans="1:11" ht="20.100000000000001" hidden="1" customHeight="1" outlineLevel="1" x14ac:dyDescent="0.25">
      <c r="A336" s="59" t="s">
        <v>518</v>
      </c>
      <c r="B336" s="3" t="s">
        <v>17</v>
      </c>
      <c r="C336" s="43" t="s">
        <v>519</v>
      </c>
      <c r="D336" s="43" t="s">
        <v>519</v>
      </c>
      <c r="E336" s="78">
        <v>13.87</v>
      </c>
      <c r="F336" s="3" t="s">
        <v>35</v>
      </c>
      <c r="G336" s="78"/>
      <c r="H336" s="20"/>
      <c r="K336" s="96"/>
    </row>
    <row r="337" spans="1:11" ht="20.100000000000001" hidden="1" customHeight="1" outlineLevel="1" x14ac:dyDescent="0.25">
      <c r="A337" s="52"/>
      <c r="B337" s="9"/>
      <c r="C337" s="44" t="s">
        <v>1242</v>
      </c>
      <c r="D337" s="44" t="s">
        <v>1242</v>
      </c>
      <c r="E337" s="78">
        <v>1</v>
      </c>
      <c r="F337" s="9"/>
      <c r="G337" s="79">
        <f>SUM(H329:H336)</f>
        <v>0</v>
      </c>
      <c r="H337" s="29">
        <f>ROUND(E337*G337,2)</f>
        <v>0</v>
      </c>
      <c r="K337" s="96"/>
    </row>
    <row r="338" spans="1:11" ht="20.100000000000001" hidden="1" customHeight="1" outlineLevel="1" x14ac:dyDescent="0.25">
      <c r="A338" s="60"/>
      <c r="B338" s="12"/>
      <c r="C338" s="45"/>
      <c r="D338" s="45"/>
      <c r="E338" s="34"/>
      <c r="F338" s="12"/>
      <c r="G338" s="34"/>
      <c r="H338" s="30"/>
      <c r="K338" s="96"/>
    </row>
    <row r="339" spans="1:11" ht="20.100000000000001" hidden="1" customHeight="1" outlineLevel="1" x14ac:dyDescent="0.25">
      <c r="A339" s="63"/>
      <c r="B339" s="18" t="s">
        <v>9</v>
      </c>
      <c r="C339" s="48" t="s">
        <v>520</v>
      </c>
      <c r="D339" s="48" t="s">
        <v>1244</v>
      </c>
      <c r="E339" s="82">
        <f>E341</f>
        <v>1</v>
      </c>
      <c r="F339" s="18" t="s">
        <v>65</v>
      </c>
      <c r="G339" s="82">
        <f>G341</f>
        <v>0</v>
      </c>
      <c r="H339" s="32">
        <f>H341</f>
        <v>0</v>
      </c>
      <c r="K339" s="96"/>
    </row>
    <row r="340" spans="1:11" ht="20.100000000000001" hidden="1" customHeight="1" outlineLevel="1" x14ac:dyDescent="0.25">
      <c r="A340" s="59" t="s">
        <v>521</v>
      </c>
      <c r="B340" s="3" t="s">
        <v>17</v>
      </c>
      <c r="C340" s="43" t="s">
        <v>436</v>
      </c>
      <c r="D340" s="43" t="s">
        <v>436</v>
      </c>
      <c r="E340" s="78">
        <v>46.94</v>
      </c>
      <c r="F340" s="3" t="s">
        <v>35</v>
      </c>
      <c r="G340" s="78"/>
      <c r="H340" s="20"/>
      <c r="K340" s="96"/>
    </row>
    <row r="341" spans="1:11" ht="20.100000000000001" hidden="1" customHeight="1" outlineLevel="1" x14ac:dyDescent="0.25">
      <c r="A341" s="52"/>
      <c r="B341" s="9"/>
      <c r="C341" s="44" t="s">
        <v>1243</v>
      </c>
      <c r="D341" s="44" t="s">
        <v>1243</v>
      </c>
      <c r="E341" s="78">
        <v>1</v>
      </c>
      <c r="F341" s="9"/>
      <c r="G341" s="79">
        <f>H340</f>
        <v>0</v>
      </c>
      <c r="H341" s="29">
        <f>ROUND(E341*G341,2)</f>
        <v>0</v>
      </c>
      <c r="K341" s="96"/>
    </row>
    <row r="342" spans="1:11" ht="20.100000000000001" hidden="1" customHeight="1" outlineLevel="1" x14ac:dyDescent="0.25">
      <c r="A342" s="60"/>
      <c r="B342" s="12"/>
      <c r="C342" s="45"/>
      <c r="D342" s="45"/>
      <c r="E342" s="34"/>
      <c r="F342" s="12"/>
      <c r="G342" s="34"/>
      <c r="H342" s="30"/>
      <c r="K342" s="96"/>
    </row>
    <row r="343" spans="1:11" ht="20.100000000000001" hidden="1" customHeight="1" outlineLevel="1" x14ac:dyDescent="0.25">
      <c r="A343" s="63" t="s">
        <v>522</v>
      </c>
      <c r="B343" s="18" t="s">
        <v>9</v>
      </c>
      <c r="C343" s="48" t="s">
        <v>523</v>
      </c>
      <c r="D343" s="48" t="s">
        <v>1245</v>
      </c>
      <c r="E343" s="82">
        <f>E345</f>
        <v>1</v>
      </c>
      <c r="F343" s="18" t="s">
        <v>65</v>
      </c>
      <c r="G343" s="82">
        <f>G345</f>
        <v>0</v>
      </c>
      <c r="H343" s="32">
        <f>H345</f>
        <v>0</v>
      </c>
      <c r="K343" s="96"/>
    </row>
    <row r="344" spans="1:11" ht="20.100000000000001" hidden="1" customHeight="1" outlineLevel="1" x14ac:dyDescent="0.25">
      <c r="A344" s="59" t="s">
        <v>524</v>
      </c>
      <c r="B344" s="3" t="s">
        <v>17</v>
      </c>
      <c r="C344" s="43" t="s">
        <v>525</v>
      </c>
      <c r="D344" s="43" t="s">
        <v>1246</v>
      </c>
      <c r="E344" s="78">
        <v>39.53</v>
      </c>
      <c r="F344" s="3" t="s">
        <v>18</v>
      </c>
      <c r="G344" s="78"/>
      <c r="H344" s="20"/>
      <c r="K344" s="96"/>
    </row>
    <row r="345" spans="1:11" ht="20.100000000000001" hidden="1" customHeight="1" outlineLevel="1" x14ac:dyDescent="0.25">
      <c r="A345" s="52"/>
      <c r="B345" s="9"/>
      <c r="C345" s="44" t="s">
        <v>1235</v>
      </c>
      <c r="D345" s="44" t="s">
        <v>1235</v>
      </c>
      <c r="E345" s="78">
        <v>1</v>
      </c>
      <c r="F345" s="9"/>
      <c r="G345" s="79">
        <f>H344</f>
        <v>0</v>
      </c>
      <c r="H345" s="29">
        <f>ROUND(E345*G345,2)</f>
        <v>0</v>
      </c>
      <c r="K345" s="96"/>
    </row>
    <row r="346" spans="1:11" ht="20.100000000000001" hidden="1" customHeight="1" outlineLevel="1" x14ac:dyDescent="0.25">
      <c r="A346" s="60"/>
      <c r="B346" s="12"/>
      <c r="C346" s="45"/>
      <c r="D346" s="45"/>
      <c r="E346" s="34"/>
      <c r="F346" s="12"/>
      <c r="G346" s="34"/>
      <c r="H346" s="30"/>
      <c r="K346" s="96"/>
    </row>
    <row r="347" spans="1:11" ht="20.100000000000001" hidden="1" customHeight="1" outlineLevel="1" x14ac:dyDescent="0.25">
      <c r="A347" s="63"/>
      <c r="B347" s="18" t="s">
        <v>9</v>
      </c>
      <c r="C347" s="48" t="s">
        <v>526</v>
      </c>
      <c r="D347" s="48" t="s">
        <v>1247</v>
      </c>
      <c r="E347" s="82">
        <f>E352</f>
        <v>1</v>
      </c>
      <c r="F347" s="18" t="s">
        <v>65</v>
      </c>
      <c r="G347" s="82">
        <f>G352</f>
        <v>0</v>
      </c>
      <c r="H347" s="32">
        <f>H352</f>
        <v>0</v>
      </c>
      <c r="K347" s="96"/>
    </row>
    <row r="348" spans="1:11" ht="20.100000000000001" hidden="1" customHeight="1" outlineLevel="1" x14ac:dyDescent="0.25">
      <c r="A348" s="59" t="s">
        <v>527</v>
      </c>
      <c r="B348" s="3" t="s">
        <v>17</v>
      </c>
      <c r="C348" s="43" t="s">
        <v>528</v>
      </c>
      <c r="D348" s="43" t="s">
        <v>1267</v>
      </c>
      <c r="E348" s="78">
        <v>19.739999999999998</v>
      </c>
      <c r="F348" s="3" t="s">
        <v>277</v>
      </c>
      <c r="G348" s="78"/>
      <c r="H348" s="20"/>
      <c r="K348" s="96"/>
    </row>
    <row r="349" spans="1:11" ht="20.100000000000001" hidden="1" customHeight="1" outlineLevel="1" x14ac:dyDescent="0.25">
      <c r="A349" s="59" t="s">
        <v>529</v>
      </c>
      <c r="B349" s="3" t="s">
        <v>17</v>
      </c>
      <c r="C349" s="43" t="s">
        <v>530</v>
      </c>
      <c r="D349" s="43" t="s">
        <v>1268</v>
      </c>
      <c r="E349" s="78">
        <v>141.07</v>
      </c>
      <c r="F349" s="3" t="s">
        <v>277</v>
      </c>
      <c r="G349" s="78"/>
      <c r="H349" s="20"/>
      <c r="K349" s="96"/>
    </row>
    <row r="350" spans="1:11" ht="20.100000000000001" hidden="1" customHeight="1" outlineLevel="1" x14ac:dyDescent="0.25">
      <c r="A350" s="59" t="s">
        <v>531</v>
      </c>
      <c r="B350" s="3" t="s">
        <v>17</v>
      </c>
      <c r="C350" s="43" t="s">
        <v>532</v>
      </c>
      <c r="D350" s="43" t="s">
        <v>1269</v>
      </c>
      <c r="E350" s="78">
        <v>50.37</v>
      </c>
      <c r="F350" s="3" t="s">
        <v>277</v>
      </c>
      <c r="G350" s="78"/>
      <c r="H350" s="20"/>
      <c r="K350" s="96"/>
    </row>
    <row r="351" spans="1:11" ht="20.100000000000001" hidden="1" customHeight="1" outlineLevel="1" x14ac:dyDescent="0.25">
      <c r="A351" s="59" t="s">
        <v>533</v>
      </c>
      <c r="B351" s="3" t="s">
        <v>17</v>
      </c>
      <c r="C351" s="43" t="s">
        <v>534</v>
      </c>
      <c r="D351" s="43" t="s">
        <v>1248</v>
      </c>
      <c r="E351" s="78">
        <v>63.28</v>
      </c>
      <c r="F351" s="3" t="s">
        <v>277</v>
      </c>
      <c r="G351" s="78"/>
      <c r="H351" s="20"/>
      <c r="K351" s="96"/>
    </row>
    <row r="352" spans="1:11" ht="20.100000000000001" hidden="1" customHeight="1" outlineLevel="1" x14ac:dyDescent="0.25">
      <c r="A352" s="52"/>
      <c r="B352" s="9"/>
      <c r="C352" s="44" t="s">
        <v>1234</v>
      </c>
      <c r="D352" s="44" t="s">
        <v>1234</v>
      </c>
      <c r="E352" s="78">
        <v>1</v>
      </c>
      <c r="F352" s="9"/>
      <c r="G352" s="79">
        <f>SUM(H348:H351)</f>
        <v>0</v>
      </c>
      <c r="H352" s="29">
        <f>ROUND(E352*G352,2)</f>
        <v>0</v>
      </c>
      <c r="K352" s="96"/>
    </row>
    <row r="353" spans="1:11" ht="20.100000000000001" hidden="1" customHeight="1" outlineLevel="1" x14ac:dyDescent="0.25">
      <c r="A353" s="60"/>
      <c r="B353" s="12"/>
      <c r="C353" s="45"/>
      <c r="D353" s="45"/>
      <c r="E353" s="34"/>
      <c r="F353" s="12"/>
      <c r="G353" s="34"/>
      <c r="H353" s="30"/>
      <c r="K353" s="96"/>
    </row>
    <row r="354" spans="1:11" ht="20.100000000000001" hidden="1" customHeight="1" outlineLevel="1" x14ac:dyDescent="0.25">
      <c r="A354" s="63" t="s">
        <v>535</v>
      </c>
      <c r="B354" s="18" t="s">
        <v>9</v>
      </c>
      <c r="C354" s="48" t="s">
        <v>536</v>
      </c>
      <c r="D354" s="48" t="s">
        <v>1249</v>
      </c>
      <c r="E354" s="82">
        <f>E359</f>
        <v>1</v>
      </c>
      <c r="F354" s="18" t="s">
        <v>65</v>
      </c>
      <c r="G354" s="82">
        <f>G359</f>
        <v>0</v>
      </c>
      <c r="H354" s="32">
        <f>H359</f>
        <v>0</v>
      </c>
      <c r="K354" s="96"/>
    </row>
    <row r="355" spans="1:11" ht="20.100000000000001" hidden="1" customHeight="1" outlineLevel="1" x14ac:dyDescent="0.25">
      <c r="A355" s="59" t="s">
        <v>537</v>
      </c>
      <c r="B355" s="3" t="s">
        <v>17</v>
      </c>
      <c r="C355" s="43" t="s">
        <v>538</v>
      </c>
      <c r="D355" s="43" t="s">
        <v>1250</v>
      </c>
      <c r="E355" s="78">
        <v>54.54</v>
      </c>
      <c r="F355" s="3" t="s">
        <v>277</v>
      </c>
      <c r="G355" s="78"/>
      <c r="H355" s="20"/>
      <c r="K355" s="96"/>
    </row>
    <row r="356" spans="1:11" ht="20.100000000000001" hidden="1" customHeight="1" outlineLevel="1" x14ac:dyDescent="0.25">
      <c r="A356" s="59" t="s">
        <v>539</v>
      </c>
      <c r="B356" s="3" t="s">
        <v>17</v>
      </c>
      <c r="C356" s="43" t="s">
        <v>540</v>
      </c>
      <c r="D356" s="43" t="s">
        <v>1251</v>
      </c>
      <c r="E356" s="78">
        <v>7.05</v>
      </c>
      <c r="F356" s="3" t="s">
        <v>277</v>
      </c>
      <c r="G356" s="78"/>
      <c r="H356" s="20"/>
      <c r="K356" s="96"/>
    </row>
    <row r="357" spans="1:11" ht="20.100000000000001" hidden="1" customHeight="1" outlineLevel="1" x14ac:dyDescent="0.25">
      <c r="A357" s="59" t="s">
        <v>541</v>
      </c>
      <c r="B357" s="3" t="s">
        <v>17</v>
      </c>
      <c r="C357" s="43" t="s">
        <v>542</v>
      </c>
      <c r="D357" s="43" t="s">
        <v>1252</v>
      </c>
      <c r="E357" s="78">
        <v>8.15</v>
      </c>
      <c r="F357" s="3" t="s">
        <v>277</v>
      </c>
      <c r="G357" s="78"/>
      <c r="H357" s="20"/>
      <c r="K357" s="96"/>
    </row>
    <row r="358" spans="1:11" ht="20.100000000000001" hidden="1" customHeight="1" outlineLevel="1" x14ac:dyDescent="0.25">
      <c r="A358" s="59" t="s">
        <v>543</v>
      </c>
      <c r="B358" s="3" t="s">
        <v>17</v>
      </c>
      <c r="C358" s="43" t="s">
        <v>544</v>
      </c>
      <c r="D358" s="43" t="s">
        <v>1253</v>
      </c>
      <c r="E358" s="78">
        <v>81.22</v>
      </c>
      <c r="F358" s="3" t="s">
        <v>277</v>
      </c>
      <c r="G358" s="78"/>
      <c r="H358" s="20"/>
      <c r="K358" s="96"/>
    </row>
    <row r="359" spans="1:11" ht="20.100000000000001" hidden="1" customHeight="1" outlineLevel="1" x14ac:dyDescent="0.25">
      <c r="A359" s="52"/>
      <c r="B359" s="9"/>
      <c r="C359" s="44" t="s">
        <v>1233</v>
      </c>
      <c r="D359" s="44" t="s">
        <v>1233</v>
      </c>
      <c r="E359" s="78">
        <v>1</v>
      </c>
      <c r="F359" s="9"/>
      <c r="G359" s="79">
        <f>SUM(H355:H358)</f>
        <v>0</v>
      </c>
      <c r="H359" s="29">
        <f>ROUND(E359*G359,2)</f>
        <v>0</v>
      </c>
      <c r="K359" s="96"/>
    </row>
    <row r="360" spans="1:11" ht="20.100000000000001" hidden="1" customHeight="1" outlineLevel="1" x14ac:dyDescent="0.25">
      <c r="A360" s="60"/>
      <c r="B360" s="12"/>
      <c r="C360" s="45"/>
      <c r="D360" s="45"/>
      <c r="E360" s="34"/>
      <c r="F360" s="12"/>
      <c r="G360" s="34"/>
      <c r="H360" s="30"/>
      <c r="K360" s="96"/>
    </row>
    <row r="361" spans="1:11" ht="20.100000000000001" hidden="1" customHeight="1" outlineLevel="1" x14ac:dyDescent="0.25">
      <c r="A361" s="52"/>
      <c r="B361" s="9"/>
      <c r="C361" s="44" t="s">
        <v>545</v>
      </c>
      <c r="D361" s="44" t="s">
        <v>545</v>
      </c>
      <c r="E361" s="78">
        <v>1</v>
      </c>
      <c r="F361" s="9"/>
      <c r="G361" s="79">
        <f>H304+H317+H323+H328+H339+H343+H347+H354</f>
        <v>0</v>
      </c>
      <c r="H361" s="29">
        <f>ROUND(E361*G361,2)</f>
        <v>0</v>
      </c>
      <c r="K361" s="96"/>
    </row>
    <row r="362" spans="1:11" ht="20.100000000000001" hidden="1" customHeight="1" outlineLevel="1" x14ac:dyDescent="0.25">
      <c r="A362" s="60"/>
      <c r="B362" s="12"/>
      <c r="C362" s="45"/>
      <c r="D362" s="45"/>
      <c r="E362" s="34"/>
      <c r="F362" s="12"/>
      <c r="G362" s="34"/>
      <c r="H362" s="30"/>
      <c r="K362" s="96"/>
    </row>
    <row r="363" spans="1:11" ht="20.100000000000001" hidden="1" customHeight="1" outlineLevel="1" x14ac:dyDescent="0.25">
      <c r="A363" s="62" t="s">
        <v>546</v>
      </c>
      <c r="B363" s="7" t="s">
        <v>9</v>
      </c>
      <c r="C363" s="47" t="s">
        <v>547</v>
      </c>
      <c r="D363" s="47" t="s">
        <v>1254</v>
      </c>
      <c r="E363" s="81">
        <f>E372</f>
        <v>1</v>
      </c>
      <c r="F363" s="7" t="s">
        <v>65</v>
      </c>
      <c r="G363" s="81">
        <f>G372</f>
        <v>0</v>
      </c>
      <c r="H363" s="21">
        <f>H372</f>
        <v>0</v>
      </c>
      <c r="K363" s="96"/>
    </row>
    <row r="364" spans="1:11" ht="20.100000000000001" hidden="1" customHeight="1" outlineLevel="1" x14ac:dyDescent="0.25">
      <c r="A364" s="63"/>
      <c r="B364" s="18" t="s">
        <v>9</v>
      </c>
      <c r="C364" s="48" t="s">
        <v>548</v>
      </c>
      <c r="D364" s="48" t="s">
        <v>1256</v>
      </c>
      <c r="E364" s="82">
        <f>E366</f>
        <v>1</v>
      </c>
      <c r="F364" s="18" t="s">
        <v>65</v>
      </c>
      <c r="G364" s="82">
        <f>G366</f>
        <v>0</v>
      </c>
      <c r="H364" s="32">
        <f>H366</f>
        <v>0</v>
      </c>
      <c r="K364" s="96"/>
    </row>
    <row r="365" spans="1:11" ht="20.100000000000001" hidden="1" customHeight="1" outlineLevel="1" x14ac:dyDescent="0.25">
      <c r="A365" s="59" t="s">
        <v>549</v>
      </c>
      <c r="B365" s="3" t="s">
        <v>17</v>
      </c>
      <c r="C365" s="43" t="s">
        <v>550</v>
      </c>
      <c r="D365" s="43" t="s">
        <v>1255</v>
      </c>
      <c r="E365" s="78">
        <v>1</v>
      </c>
      <c r="F365" s="3" t="s">
        <v>10</v>
      </c>
      <c r="G365" s="78"/>
      <c r="H365" s="20"/>
      <c r="K365" s="96"/>
    </row>
    <row r="366" spans="1:11" ht="20.100000000000001" hidden="1" customHeight="1" outlineLevel="1" x14ac:dyDescent="0.25">
      <c r="A366" s="52"/>
      <c r="B366" s="9"/>
      <c r="C366" s="44" t="s">
        <v>1257</v>
      </c>
      <c r="D366" s="44" t="s">
        <v>1257</v>
      </c>
      <c r="E366" s="78">
        <v>1</v>
      </c>
      <c r="F366" s="9"/>
      <c r="G366" s="79">
        <f>H365</f>
        <v>0</v>
      </c>
      <c r="H366" s="29">
        <f>ROUND(E366*G366,2)</f>
        <v>0</v>
      </c>
      <c r="K366" s="96"/>
    </row>
    <row r="367" spans="1:11" ht="20.100000000000001" hidden="1" customHeight="1" outlineLevel="1" x14ac:dyDescent="0.25">
      <c r="A367" s="60"/>
      <c r="B367" s="12"/>
      <c r="C367" s="45"/>
      <c r="D367" s="45"/>
      <c r="E367" s="34"/>
      <c r="F367" s="12"/>
      <c r="G367" s="34"/>
      <c r="H367" s="30"/>
      <c r="K367" s="96"/>
    </row>
    <row r="368" spans="1:11" ht="20.100000000000001" hidden="1" customHeight="1" outlineLevel="1" x14ac:dyDescent="0.25">
      <c r="A368" s="63"/>
      <c r="B368" s="18" t="s">
        <v>9</v>
      </c>
      <c r="C368" s="48" t="s">
        <v>551</v>
      </c>
      <c r="D368" s="48" t="s">
        <v>1259</v>
      </c>
      <c r="E368" s="82">
        <f>E370</f>
        <v>1</v>
      </c>
      <c r="F368" s="18" t="s">
        <v>65</v>
      </c>
      <c r="G368" s="82">
        <f>G370</f>
        <v>0</v>
      </c>
      <c r="H368" s="32">
        <f>H370</f>
        <v>0</v>
      </c>
      <c r="K368" s="96"/>
    </row>
    <row r="369" spans="1:13" ht="20.100000000000001" hidden="1" customHeight="1" outlineLevel="1" x14ac:dyDescent="0.25">
      <c r="A369" s="59" t="s">
        <v>552</v>
      </c>
      <c r="B369" s="3" t="s">
        <v>17</v>
      </c>
      <c r="C369" s="43" t="s">
        <v>553</v>
      </c>
      <c r="D369" s="43" t="s">
        <v>1259</v>
      </c>
      <c r="E369" s="78">
        <v>1</v>
      </c>
      <c r="F369" s="3" t="s">
        <v>433</v>
      </c>
      <c r="G369" s="78"/>
      <c r="H369" s="20"/>
      <c r="K369" s="96"/>
    </row>
    <row r="370" spans="1:13" ht="20.100000000000001" hidden="1" customHeight="1" outlineLevel="1" x14ac:dyDescent="0.25">
      <c r="A370" s="52"/>
      <c r="B370" s="9"/>
      <c r="C370" s="44" t="s">
        <v>1258</v>
      </c>
      <c r="D370" s="44" t="s">
        <v>1258</v>
      </c>
      <c r="E370" s="78">
        <v>1</v>
      </c>
      <c r="F370" s="9"/>
      <c r="G370" s="79">
        <f>H369</f>
        <v>0</v>
      </c>
      <c r="H370" s="29">
        <f>ROUND(E370*G370,2)</f>
        <v>0</v>
      </c>
      <c r="K370" s="96"/>
    </row>
    <row r="371" spans="1:13" ht="20.100000000000001" hidden="1" customHeight="1" outlineLevel="1" x14ac:dyDescent="0.25">
      <c r="A371" s="60"/>
      <c r="B371" s="12"/>
      <c r="C371" s="45"/>
      <c r="D371" s="45"/>
      <c r="E371" s="34"/>
      <c r="F371" s="12"/>
      <c r="G371" s="34"/>
      <c r="H371" s="30"/>
      <c r="K371" s="96"/>
    </row>
    <row r="372" spans="1:13" ht="20.100000000000001" hidden="1" customHeight="1" outlineLevel="1" x14ac:dyDescent="0.25">
      <c r="A372" s="52"/>
      <c r="B372" s="9"/>
      <c r="C372" s="44" t="s">
        <v>554</v>
      </c>
      <c r="D372" s="44" t="s">
        <v>554</v>
      </c>
      <c r="E372" s="78">
        <v>1</v>
      </c>
      <c r="F372" s="9"/>
      <c r="G372" s="79">
        <f>H364+H368</f>
        <v>0</v>
      </c>
      <c r="H372" s="29">
        <f>ROUND(E372*G372,2)</f>
        <v>0</v>
      </c>
      <c r="K372" s="96"/>
    </row>
    <row r="373" spans="1:13" ht="20.100000000000001" hidden="1" customHeight="1" outlineLevel="1" x14ac:dyDescent="0.25">
      <c r="A373" s="60"/>
      <c r="B373" s="12"/>
      <c r="C373" s="45"/>
      <c r="D373" s="45"/>
      <c r="E373" s="34"/>
      <c r="F373" s="12"/>
      <c r="G373" s="34"/>
      <c r="H373" s="30"/>
      <c r="K373" s="96"/>
    </row>
    <row r="374" spans="1:13" s="4" customFormat="1" ht="39.950000000000003" hidden="1" customHeight="1" outlineLevel="1" x14ac:dyDescent="0.25">
      <c r="A374" s="62" t="s">
        <v>555</v>
      </c>
      <c r="B374" s="7" t="s">
        <v>9</v>
      </c>
      <c r="C374" s="47" t="s">
        <v>556</v>
      </c>
      <c r="D374" s="47" t="s">
        <v>1260</v>
      </c>
      <c r="E374" s="81">
        <f>E379</f>
        <v>1</v>
      </c>
      <c r="F374" s="7" t="s">
        <v>65</v>
      </c>
      <c r="G374" s="81">
        <f>G379</f>
        <v>0</v>
      </c>
      <c r="H374" s="21">
        <f>H379</f>
        <v>0</v>
      </c>
      <c r="K374" s="96"/>
      <c r="M374" s="96"/>
    </row>
    <row r="375" spans="1:13" ht="20.100000000000001" hidden="1" customHeight="1" outlineLevel="1" x14ac:dyDescent="0.25">
      <c r="A375" s="59" t="s">
        <v>557</v>
      </c>
      <c r="B375" s="3" t="s">
        <v>17</v>
      </c>
      <c r="C375" s="43" t="s">
        <v>558</v>
      </c>
      <c r="D375" s="91" t="s">
        <v>1262</v>
      </c>
      <c r="E375" s="78">
        <v>5.48</v>
      </c>
      <c r="F375" s="3" t="s">
        <v>35</v>
      </c>
      <c r="G375" s="78"/>
      <c r="H375" s="20"/>
      <c r="K375" s="96"/>
    </row>
    <row r="376" spans="1:13" ht="20.100000000000001" hidden="1" customHeight="1" outlineLevel="1" x14ac:dyDescent="0.25">
      <c r="A376" s="59" t="s">
        <v>559</v>
      </c>
      <c r="B376" s="3" t="s">
        <v>17</v>
      </c>
      <c r="C376" s="43" t="s">
        <v>560</v>
      </c>
      <c r="D376" s="91" t="s">
        <v>1261</v>
      </c>
      <c r="E376" s="78">
        <v>78.7</v>
      </c>
      <c r="F376" s="3" t="s">
        <v>35</v>
      </c>
      <c r="G376" s="78"/>
      <c r="H376" s="20"/>
      <c r="K376" s="96"/>
    </row>
    <row r="377" spans="1:13" ht="20.100000000000001" hidden="1" customHeight="1" outlineLevel="1" x14ac:dyDescent="0.25">
      <c r="A377" s="59" t="s">
        <v>561</v>
      </c>
      <c r="B377" s="3" t="s">
        <v>17</v>
      </c>
      <c r="C377" s="43" t="s">
        <v>562</v>
      </c>
      <c r="D377" s="91" t="s">
        <v>1263</v>
      </c>
      <c r="E377" s="78">
        <v>66.56</v>
      </c>
      <c r="F377" s="3" t="s">
        <v>35</v>
      </c>
      <c r="G377" s="78"/>
      <c r="H377" s="20"/>
      <c r="K377" s="96"/>
    </row>
    <row r="378" spans="1:13" ht="20.100000000000001" hidden="1" customHeight="1" outlineLevel="1" x14ac:dyDescent="0.25">
      <c r="A378" s="59" t="s">
        <v>563</v>
      </c>
      <c r="B378" s="3" t="s">
        <v>17</v>
      </c>
      <c r="C378" s="43" t="s">
        <v>564</v>
      </c>
      <c r="D378" s="91" t="s">
        <v>1264</v>
      </c>
      <c r="E378" s="78">
        <v>30.32</v>
      </c>
      <c r="F378" s="3" t="s">
        <v>35</v>
      </c>
      <c r="G378" s="78"/>
      <c r="H378" s="20"/>
      <c r="K378" s="96"/>
    </row>
    <row r="379" spans="1:13" ht="20.100000000000001" hidden="1" customHeight="1" outlineLevel="1" x14ac:dyDescent="0.25">
      <c r="A379" s="52"/>
      <c r="B379" s="9"/>
      <c r="C379" s="44" t="s">
        <v>565</v>
      </c>
      <c r="D379" s="44" t="s">
        <v>565</v>
      </c>
      <c r="E379" s="78">
        <v>1</v>
      </c>
      <c r="F379" s="9"/>
      <c r="G379" s="79">
        <f>SUM(H375:H378)</f>
        <v>0</v>
      </c>
      <c r="H379" s="29">
        <f>ROUND(E379*G379,2)</f>
        <v>0</v>
      </c>
      <c r="K379" s="96"/>
    </row>
    <row r="380" spans="1:13" ht="20.100000000000001" hidden="1" customHeight="1" outlineLevel="1" x14ac:dyDescent="0.25">
      <c r="A380" s="60"/>
      <c r="B380" s="12"/>
      <c r="C380" s="45"/>
      <c r="D380" s="45"/>
      <c r="E380" s="34"/>
      <c r="F380" s="12"/>
      <c r="G380" s="34"/>
      <c r="H380" s="30"/>
      <c r="K380" s="96"/>
    </row>
    <row r="381" spans="1:13" ht="20.100000000000001" hidden="1" customHeight="1" outlineLevel="1" x14ac:dyDescent="0.25">
      <c r="A381" s="62" t="s">
        <v>566</v>
      </c>
      <c r="B381" s="7" t="s">
        <v>9</v>
      </c>
      <c r="C381" s="47" t="s">
        <v>567</v>
      </c>
      <c r="D381" s="47" t="s">
        <v>1270</v>
      </c>
      <c r="E381" s="81">
        <f>E394</f>
        <v>1</v>
      </c>
      <c r="F381" s="7" t="s">
        <v>65</v>
      </c>
      <c r="G381" s="81">
        <f>G394</f>
        <v>0</v>
      </c>
      <c r="H381" s="21">
        <f>H394</f>
        <v>0</v>
      </c>
      <c r="K381" s="96"/>
    </row>
    <row r="382" spans="1:13" ht="20.100000000000001" hidden="1" customHeight="1" outlineLevel="1" x14ac:dyDescent="0.25">
      <c r="A382" s="63"/>
      <c r="B382" s="18" t="s">
        <v>9</v>
      </c>
      <c r="C382" s="48" t="s">
        <v>568</v>
      </c>
      <c r="D382" s="48" t="s">
        <v>1271</v>
      </c>
      <c r="E382" s="82">
        <f>E384</f>
        <v>1</v>
      </c>
      <c r="F382" s="18" t="s">
        <v>65</v>
      </c>
      <c r="G382" s="82">
        <f>G384</f>
        <v>0</v>
      </c>
      <c r="H382" s="32">
        <f>H384</f>
        <v>0</v>
      </c>
      <c r="K382" s="96"/>
    </row>
    <row r="383" spans="1:13" ht="20.100000000000001" hidden="1" customHeight="1" outlineLevel="1" x14ac:dyDescent="0.25">
      <c r="A383" s="59" t="s">
        <v>569</v>
      </c>
      <c r="B383" s="3" t="s">
        <v>17</v>
      </c>
      <c r="C383" s="43" t="s">
        <v>570</v>
      </c>
      <c r="D383" s="43" t="s">
        <v>1272</v>
      </c>
      <c r="E383" s="78">
        <v>48.42</v>
      </c>
      <c r="F383" s="3" t="s">
        <v>18</v>
      </c>
      <c r="G383" s="78"/>
      <c r="H383" s="20"/>
      <c r="K383" s="96"/>
    </row>
    <row r="384" spans="1:13" ht="20.100000000000001" hidden="1" customHeight="1" outlineLevel="1" x14ac:dyDescent="0.25">
      <c r="A384" s="52"/>
      <c r="B384" s="9"/>
      <c r="C384" s="44" t="s">
        <v>1265</v>
      </c>
      <c r="D384" s="44" t="s">
        <v>1265</v>
      </c>
      <c r="E384" s="78">
        <v>1</v>
      </c>
      <c r="F384" s="9"/>
      <c r="G384" s="79">
        <f>H383</f>
        <v>0</v>
      </c>
      <c r="H384" s="29">
        <f>ROUND(E384*G384,2)</f>
        <v>0</v>
      </c>
      <c r="K384" s="96"/>
    </row>
    <row r="385" spans="1:11" ht="20.100000000000001" hidden="1" customHeight="1" outlineLevel="1" x14ac:dyDescent="0.25">
      <c r="A385" s="60"/>
      <c r="B385" s="12"/>
      <c r="C385" s="45"/>
      <c r="D385" s="45"/>
      <c r="E385" s="34"/>
      <c r="F385" s="12"/>
      <c r="G385" s="34"/>
      <c r="H385" s="30"/>
      <c r="K385" s="96"/>
    </row>
    <row r="386" spans="1:11" ht="20.100000000000001" hidden="1" customHeight="1" outlineLevel="1" x14ac:dyDescent="0.25">
      <c r="A386" s="63"/>
      <c r="B386" s="18" t="s">
        <v>9</v>
      </c>
      <c r="C386" s="48" t="s">
        <v>571</v>
      </c>
      <c r="D386" s="48" t="s">
        <v>1273</v>
      </c>
      <c r="E386" s="82">
        <f>E392</f>
        <v>1</v>
      </c>
      <c r="F386" s="18" t="s">
        <v>65</v>
      </c>
      <c r="G386" s="82">
        <f>G392</f>
        <v>0</v>
      </c>
      <c r="H386" s="32">
        <f>H392</f>
        <v>0</v>
      </c>
      <c r="K386" s="96"/>
    </row>
    <row r="387" spans="1:11" ht="20.100000000000001" hidden="1" customHeight="1" outlineLevel="1" x14ac:dyDescent="0.25">
      <c r="A387" s="59" t="s">
        <v>572</v>
      </c>
      <c r="B387" s="3" t="s">
        <v>17</v>
      </c>
      <c r="C387" s="43" t="s">
        <v>573</v>
      </c>
      <c r="D387" s="43" t="s">
        <v>1275</v>
      </c>
      <c r="E387" s="78">
        <v>21.46</v>
      </c>
      <c r="F387" s="3" t="s">
        <v>18</v>
      </c>
      <c r="G387" s="78"/>
      <c r="H387" s="20"/>
      <c r="K387" s="96"/>
    </row>
    <row r="388" spans="1:11" ht="20.100000000000001" hidden="1" customHeight="1" outlineLevel="1" x14ac:dyDescent="0.25">
      <c r="A388" s="59" t="s">
        <v>574</v>
      </c>
      <c r="B388" s="3" t="s">
        <v>17</v>
      </c>
      <c r="C388" s="43" t="s">
        <v>575</v>
      </c>
      <c r="D388" s="43" t="s">
        <v>1277</v>
      </c>
      <c r="E388" s="78">
        <v>51.28</v>
      </c>
      <c r="F388" s="3" t="s">
        <v>18</v>
      </c>
      <c r="G388" s="78"/>
      <c r="H388" s="20"/>
      <c r="K388" s="96"/>
    </row>
    <row r="389" spans="1:11" ht="20.100000000000001" hidden="1" customHeight="1" outlineLevel="1" x14ac:dyDescent="0.25">
      <c r="A389" s="59" t="s">
        <v>576</v>
      </c>
      <c r="B389" s="3" t="s">
        <v>17</v>
      </c>
      <c r="C389" s="43" t="s">
        <v>577</v>
      </c>
      <c r="D389" s="43" t="s">
        <v>1276</v>
      </c>
      <c r="E389" s="78">
        <v>63.98</v>
      </c>
      <c r="F389" s="3" t="s">
        <v>18</v>
      </c>
      <c r="G389" s="78"/>
      <c r="H389" s="20"/>
      <c r="K389" s="96"/>
    </row>
    <row r="390" spans="1:11" ht="20.100000000000001" hidden="1" customHeight="1" outlineLevel="1" x14ac:dyDescent="0.25">
      <c r="A390" s="59" t="s">
        <v>578</v>
      </c>
      <c r="B390" s="3" t="s">
        <v>17</v>
      </c>
      <c r="C390" s="43" t="s">
        <v>579</v>
      </c>
      <c r="D390" s="43" t="s">
        <v>1275</v>
      </c>
      <c r="E390" s="78">
        <v>33.36</v>
      </c>
      <c r="F390" s="3" t="s">
        <v>18</v>
      </c>
      <c r="G390" s="78"/>
      <c r="H390" s="20"/>
      <c r="K390" s="96"/>
    </row>
    <row r="391" spans="1:11" ht="20.100000000000001" hidden="1" customHeight="1" outlineLevel="1" x14ac:dyDescent="0.25">
      <c r="A391" s="59" t="s">
        <v>580</v>
      </c>
      <c r="B391" s="3" t="s">
        <v>17</v>
      </c>
      <c r="C391" s="43" t="s">
        <v>581</v>
      </c>
      <c r="D391" s="91" t="s">
        <v>1274</v>
      </c>
      <c r="E391" s="78">
        <v>2</v>
      </c>
      <c r="F391" s="3" t="s">
        <v>10</v>
      </c>
      <c r="G391" s="78"/>
      <c r="H391" s="20"/>
      <c r="K391" s="96"/>
    </row>
    <row r="392" spans="1:11" ht="20.100000000000001" hidden="1" customHeight="1" outlineLevel="1" x14ac:dyDescent="0.25">
      <c r="A392" s="52"/>
      <c r="B392" s="9"/>
      <c r="C392" s="44" t="s">
        <v>1266</v>
      </c>
      <c r="D392" s="44" t="s">
        <v>1266</v>
      </c>
      <c r="E392" s="78">
        <v>1</v>
      </c>
      <c r="F392" s="9"/>
      <c r="G392" s="79">
        <f>SUM(H387:H391)</f>
        <v>0</v>
      </c>
      <c r="H392" s="29">
        <f>ROUND(E392*G392,2)</f>
        <v>0</v>
      </c>
      <c r="K392" s="96"/>
    </row>
    <row r="393" spans="1:11" ht="20.100000000000001" hidden="1" customHeight="1" outlineLevel="1" x14ac:dyDescent="0.25">
      <c r="A393" s="60"/>
      <c r="B393" s="12"/>
      <c r="C393" s="45"/>
      <c r="D393" s="45"/>
      <c r="E393" s="34"/>
      <c r="F393" s="12"/>
      <c r="G393" s="34"/>
      <c r="H393" s="30"/>
      <c r="K393" s="96"/>
    </row>
    <row r="394" spans="1:11" ht="20.100000000000001" hidden="1" customHeight="1" outlineLevel="1" x14ac:dyDescent="0.25">
      <c r="A394" s="52"/>
      <c r="B394" s="9"/>
      <c r="C394" s="44" t="s">
        <v>582</v>
      </c>
      <c r="D394" s="44" t="s">
        <v>582</v>
      </c>
      <c r="E394" s="78">
        <v>1</v>
      </c>
      <c r="F394" s="9"/>
      <c r="G394" s="79">
        <f>H382+H386</f>
        <v>0</v>
      </c>
      <c r="H394" s="29">
        <f>ROUND(E394*G394,2)</f>
        <v>0</v>
      </c>
      <c r="K394" s="96"/>
    </row>
    <row r="395" spans="1:11" ht="20.100000000000001" hidden="1" customHeight="1" outlineLevel="1" x14ac:dyDescent="0.25">
      <c r="A395" s="60"/>
      <c r="B395" s="12"/>
      <c r="C395" s="45"/>
      <c r="D395" s="45"/>
      <c r="E395" s="34"/>
      <c r="F395" s="12"/>
      <c r="G395" s="34"/>
      <c r="H395" s="30"/>
      <c r="K395" s="96"/>
    </row>
    <row r="396" spans="1:11" ht="20.100000000000001" hidden="1" customHeight="1" outlineLevel="1" x14ac:dyDescent="0.25">
      <c r="A396" s="62" t="s">
        <v>583</v>
      </c>
      <c r="B396" s="7" t="s">
        <v>9</v>
      </c>
      <c r="C396" s="47" t="s">
        <v>584</v>
      </c>
      <c r="D396" s="47" t="s">
        <v>1278</v>
      </c>
      <c r="E396" s="81">
        <f>E428</f>
        <v>1</v>
      </c>
      <c r="F396" s="7" t="s">
        <v>65</v>
      </c>
      <c r="G396" s="81">
        <f>G428</f>
        <v>0</v>
      </c>
      <c r="H396" s="21">
        <f>H428</f>
        <v>0</v>
      </c>
      <c r="K396" s="96"/>
    </row>
    <row r="397" spans="1:11" ht="20.100000000000001" hidden="1" customHeight="1" outlineLevel="1" x14ac:dyDescent="0.25">
      <c r="A397" s="63"/>
      <c r="B397" s="18" t="s">
        <v>9</v>
      </c>
      <c r="C397" s="48" t="s">
        <v>1279</v>
      </c>
      <c r="D397" s="48" t="s">
        <v>1280</v>
      </c>
      <c r="E397" s="82">
        <f>E411</f>
        <v>1</v>
      </c>
      <c r="F397" s="18" t="s">
        <v>433</v>
      </c>
      <c r="G397" s="82">
        <f>G411</f>
        <v>0</v>
      </c>
      <c r="H397" s="32">
        <f>H411</f>
        <v>0</v>
      </c>
      <c r="K397" s="96"/>
    </row>
    <row r="398" spans="1:11" ht="20.100000000000001" hidden="1" customHeight="1" outlineLevel="1" x14ac:dyDescent="0.25">
      <c r="A398" s="59" t="s">
        <v>585</v>
      </c>
      <c r="B398" s="3" t="s">
        <v>17</v>
      </c>
      <c r="C398" s="43" t="s">
        <v>586</v>
      </c>
      <c r="D398" s="43" t="s">
        <v>1281</v>
      </c>
      <c r="E398" s="78">
        <v>3</v>
      </c>
      <c r="F398" s="3" t="s">
        <v>10</v>
      </c>
      <c r="G398" s="78"/>
      <c r="H398" s="20"/>
      <c r="K398" s="96"/>
    </row>
    <row r="399" spans="1:11" ht="20.100000000000001" hidden="1" customHeight="1" outlineLevel="1" x14ac:dyDescent="0.25">
      <c r="A399" s="59" t="s">
        <v>587</v>
      </c>
      <c r="B399" s="3" t="s">
        <v>17</v>
      </c>
      <c r="C399" s="43" t="s">
        <v>588</v>
      </c>
      <c r="D399" s="43" t="s">
        <v>1282</v>
      </c>
      <c r="E399" s="78">
        <v>4</v>
      </c>
      <c r="F399" s="3" t="s">
        <v>10</v>
      </c>
      <c r="G399" s="78"/>
      <c r="H399" s="20"/>
      <c r="K399" s="96"/>
    </row>
    <row r="400" spans="1:11" ht="20.100000000000001" hidden="1" customHeight="1" outlineLevel="1" x14ac:dyDescent="0.25">
      <c r="A400" s="59" t="s">
        <v>589</v>
      </c>
      <c r="B400" s="3" t="s">
        <v>17</v>
      </c>
      <c r="C400" s="43" t="s">
        <v>590</v>
      </c>
      <c r="D400" s="43" t="s">
        <v>1283</v>
      </c>
      <c r="E400" s="78">
        <v>4</v>
      </c>
      <c r="F400" s="3" t="s">
        <v>10</v>
      </c>
      <c r="G400" s="78"/>
      <c r="H400" s="20"/>
      <c r="K400" s="96"/>
    </row>
    <row r="401" spans="1:11" ht="20.100000000000001" hidden="1" customHeight="1" outlineLevel="1" x14ac:dyDescent="0.25">
      <c r="A401" s="59" t="s">
        <v>591</v>
      </c>
      <c r="B401" s="3" t="s">
        <v>17</v>
      </c>
      <c r="C401" s="43" t="s">
        <v>592</v>
      </c>
      <c r="D401" s="43" t="s">
        <v>1284</v>
      </c>
      <c r="E401" s="78">
        <v>2</v>
      </c>
      <c r="F401" s="3" t="s">
        <v>10</v>
      </c>
      <c r="G401" s="78"/>
      <c r="H401" s="20"/>
      <c r="K401" s="96"/>
    </row>
    <row r="402" spans="1:11" ht="20.100000000000001" hidden="1" customHeight="1" outlineLevel="1" x14ac:dyDescent="0.25">
      <c r="A402" s="59" t="s">
        <v>593</v>
      </c>
      <c r="B402" s="3" t="s">
        <v>17</v>
      </c>
      <c r="C402" s="43" t="s">
        <v>594</v>
      </c>
      <c r="D402" s="43" t="s">
        <v>1285</v>
      </c>
      <c r="E402" s="78">
        <v>2</v>
      </c>
      <c r="F402" s="3" t="s">
        <v>10</v>
      </c>
      <c r="G402" s="78"/>
      <c r="H402" s="20"/>
      <c r="K402" s="96"/>
    </row>
    <row r="403" spans="1:11" ht="20.100000000000001" hidden="1" customHeight="1" outlineLevel="1" x14ac:dyDescent="0.25">
      <c r="A403" s="59" t="s">
        <v>595</v>
      </c>
      <c r="B403" s="3" t="s">
        <v>17</v>
      </c>
      <c r="C403" s="43" t="s">
        <v>596</v>
      </c>
      <c r="D403" s="43" t="s">
        <v>1291</v>
      </c>
      <c r="E403" s="78">
        <v>2</v>
      </c>
      <c r="F403" s="3" t="s">
        <v>10</v>
      </c>
      <c r="G403" s="78"/>
      <c r="H403" s="20"/>
      <c r="K403" s="96"/>
    </row>
    <row r="404" spans="1:11" ht="20.100000000000001" hidden="1" customHeight="1" outlineLevel="1" x14ac:dyDescent="0.25">
      <c r="A404" s="59" t="s">
        <v>597</v>
      </c>
      <c r="B404" s="3" t="s">
        <v>17</v>
      </c>
      <c r="C404" s="43" t="s">
        <v>598</v>
      </c>
      <c r="D404" s="43" t="s">
        <v>1292</v>
      </c>
      <c r="E404" s="78">
        <v>8</v>
      </c>
      <c r="F404" s="3" t="s">
        <v>10</v>
      </c>
      <c r="G404" s="78"/>
      <c r="H404" s="20"/>
      <c r="K404" s="96"/>
    </row>
    <row r="405" spans="1:11" ht="20.100000000000001" hidden="1" customHeight="1" outlineLevel="1" x14ac:dyDescent="0.25">
      <c r="A405" s="59" t="s">
        <v>599</v>
      </c>
      <c r="B405" s="3" t="s">
        <v>17</v>
      </c>
      <c r="C405" s="43" t="s">
        <v>600</v>
      </c>
      <c r="D405" s="43" t="s">
        <v>1290</v>
      </c>
      <c r="E405" s="78">
        <v>3</v>
      </c>
      <c r="F405" s="3" t="s">
        <v>10</v>
      </c>
      <c r="G405" s="78"/>
      <c r="H405" s="20"/>
      <c r="K405" s="96"/>
    </row>
    <row r="406" spans="1:11" ht="20.100000000000001" hidden="1" customHeight="1" outlineLevel="1" x14ac:dyDescent="0.25">
      <c r="A406" s="59" t="s">
        <v>601</v>
      </c>
      <c r="B406" s="3" t="s">
        <v>17</v>
      </c>
      <c r="C406" s="43" t="s">
        <v>602</v>
      </c>
      <c r="D406" s="43" t="s">
        <v>1289</v>
      </c>
      <c r="E406" s="78">
        <v>2</v>
      </c>
      <c r="F406" s="3" t="s">
        <v>10</v>
      </c>
      <c r="G406" s="78"/>
      <c r="H406" s="20"/>
      <c r="K406" s="96"/>
    </row>
    <row r="407" spans="1:11" ht="20.100000000000001" hidden="1" customHeight="1" outlineLevel="1" x14ac:dyDescent="0.25">
      <c r="A407" s="59" t="s">
        <v>603</v>
      </c>
      <c r="B407" s="3" t="s">
        <v>17</v>
      </c>
      <c r="C407" s="43" t="s">
        <v>604</v>
      </c>
      <c r="D407" s="43" t="s">
        <v>1288</v>
      </c>
      <c r="E407" s="78">
        <v>2</v>
      </c>
      <c r="F407" s="3" t="s">
        <v>10</v>
      </c>
      <c r="G407" s="78"/>
      <c r="H407" s="20"/>
      <c r="K407" s="96"/>
    </row>
    <row r="408" spans="1:11" ht="20.100000000000001" hidden="1" customHeight="1" outlineLevel="1" x14ac:dyDescent="0.25">
      <c r="A408" s="59" t="s">
        <v>605</v>
      </c>
      <c r="B408" s="3" t="s">
        <v>17</v>
      </c>
      <c r="C408" s="43" t="s">
        <v>1295</v>
      </c>
      <c r="D408" s="43" t="s">
        <v>1294</v>
      </c>
      <c r="E408" s="78">
        <v>2</v>
      </c>
      <c r="F408" s="3" t="s">
        <v>10</v>
      </c>
      <c r="G408" s="92"/>
      <c r="H408" s="20"/>
      <c r="K408" s="96"/>
    </row>
    <row r="409" spans="1:11" ht="20.100000000000001" hidden="1" customHeight="1" outlineLevel="1" x14ac:dyDescent="0.25">
      <c r="A409" s="59" t="s">
        <v>607</v>
      </c>
      <c r="B409" s="3" t="s">
        <v>17</v>
      </c>
      <c r="C409" s="43" t="s">
        <v>606</v>
      </c>
      <c r="D409" s="43" t="s">
        <v>1286</v>
      </c>
      <c r="E409" s="78">
        <v>2</v>
      </c>
      <c r="F409" s="3" t="s">
        <v>10</v>
      </c>
      <c r="G409" s="78"/>
      <c r="H409" s="20"/>
      <c r="K409" s="96"/>
    </row>
    <row r="410" spans="1:11" ht="20.100000000000001" hidden="1" customHeight="1" outlineLevel="1" x14ac:dyDescent="0.25">
      <c r="A410" s="59" t="s">
        <v>610</v>
      </c>
      <c r="B410" s="3" t="s">
        <v>17</v>
      </c>
      <c r="C410" s="43" t="s">
        <v>608</v>
      </c>
      <c r="D410" s="43" t="s">
        <v>1287</v>
      </c>
      <c r="E410" s="78">
        <v>2</v>
      </c>
      <c r="F410" s="3" t="s">
        <v>10</v>
      </c>
      <c r="G410" s="78"/>
      <c r="H410" s="20"/>
      <c r="K410" s="96"/>
    </row>
    <row r="411" spans="1:11" ht="20.100000000000001" hidden="1" customHeight="1" outlineLevel="1" x14ac:dyDescent="0.25">
      <c r="A411" s="52"/>
      <c r="B411" s="9"/>
      <c r="C411" s="44" t="s">
        <v>1293</v>
      </c>
      <c r="D411" s="44" t="s">
        <v>1293</v>
      </c>
      <c r="E411" s="78">
        <v>1</v>
      </c>
      <c r="F411" s="9"/>
      <c r="G411" s="79">
        <f>SUM(H398:H410)</f>
        <v>0</v>
      </c>
      <c r="H411" s="29">
        <f>ROUND(E411*G411,2)</f>
        <v>0</v>
      </c>
      <c r="K411" s="96"/>
    </row>
    <row r="412" spans="1:11" ht="20.100000000000001" hidden="1" customHeight="1" outlineLevel="1" x14ac:dyDescent="0.25">
      <c r="A412" s="60"/>
      <c r="B412" s="12"/>
      <c r="C412" s="45"/>
      <c r="D412" s="45"/>
      <c r="E412" s="34"/>
      <c r="F412" s="12"/>
      <c r="G412" s="34"/>
      <c r="H412" s="30"/>
      <c r="K412" s="96"/>
    </row>
    <row r="413" spans="1:11" ht="20.100000000000001" hidden="1" customHeight="1" outlineLevel="1" x14ac:dyDescent="0.25">
      <c r="A413" s="63"/>
      <c r="B413" s="18" t="s">
        <v>9</v>
      </c>
      <c r="C413" s="48" t="s">
        <v>609</v>
      </c>
      <c r="D413" s="48" t="s">
        <v>1296</v>
      </c>
      <c r="E413" s="82">
        <f>E420</f>
        <v>1</v>
      </c>
      <c r="F413" s="18" t="s">
        <v>433</v>
      </c>
      <c r="G413" s="82">
        <f>G420</f>
        <v>0</v>
      </c>
      <c r="H413" s="32">
        <f>H420</f>
        <v>0</v>
      </c>
      <c r="K413" s="96"/>
    </row>
    <row r="414" spans="1:11" ht="20.100000000000001" hidden="1" customHeight="1" outlineLevel="1" x14ac:dyDescent="0.25">
      <c r="A414" s="59" t="s">
        <v>612</v>
      </c>
      <c r="B414" s="3" t="s">
        <v>17</v>
      </c>
      <c r="C414" s="43" t="s">
        <v>611</v>
      </c>
      <c r="D414" s="91" t="s">
        <v>1301</v>
      </c>
      <c r="E414" s="78">
        <v>1</v>
      </c>
      <c r="F414" s="3" t="s">
        <v>154</v>
      </c>
      <c r="G414" s="78"/>
      <c r="H414" s="20"/>
      <c r="K414" s="96"/>
    </row>
    <row r="415" spans="1:11" ht="20.100000000000001" hidden="1" customHeight="1" outlineLevel="1" x14ac:dyDescent="0.25">
      <c r="A415" s="59" t="s">
        <v>614</v>
      </c>
      <c r="B415" s="3" t="s">
        <v>17</v>
      </c>
      <c r="C415" s="43" t="s">
        <v>613</v>
      </c>
      <c r="D415" s="91" t="s">
        <v>1299</v>
      </c>
      <c r="E415" s="78">
        <v>2</v>
      </c>
      <c r="F415" s="3" t="s">
        <v>154</v>
      </c>
      <c r="G415" s="78"/>
      <c r="H415" s="20"/>
      <c r="K415" s="96"/>
    </row>
    <row r="416" spans="1:11" ht="20.100000000000001" hidden="1" customHeight="1" outlineLevel="1" x14ac:dyDescent="0.25">
      <c r="A416" s="59" t="s">
        <v>616</v>
      </c>
      <c r="B416" s="3" t="s">
        <v>17</v>
      </c>
      <c r="C416" s="43" t="s">
        <v>615</v>
      </c>
      <c r="D416" s="91" t="s">
        <v>1298</v>
      </c>
      <c r="E416" s="78">
        <v>1</v>
      </c>
      <c r="F416" s="3" t="s">
        <v>154</v>
      </c>
      <c r="G416" s="78"/>
      <c r="H416" s="20"/>
      <c r="K416" s="96"/>
    </row>
    <row r="417" spans="1:13" ht="20.100000000000001" hidden="1" customHeight="1" outlineLevel="1" x14ac:dyDescent="0.25">
      <c r="A417" s="59" t="s">
        <v>618</v>
      </c>
      <c r="B417" s="3" t="s">
        <v>17</v>
      </c>
      <c r="C417" s="43" t="s">
        <v>617</v>
      </c>
      <c r="D417" s="91" t="s">
        <v>1297</v>
      </c>
      <c r="E417" s="78">
        <v>1</v>
      </c>
      <c r="F417" s="3" t="s">
        <v>154</v>
      </c>
      <c r="G417" s="78"/>
      <c r="H417" s="20"/>
      <c r="K417" s="96"/>
    </row>
    <row r="418" spans="1:13" ht="20.100000000000001" hidden="1" customHeight="1" outlineLevel="1" x14ac:dyDescent="0.25">
      <c r="A418" s="59" t="s">
        <v>620</v>
      </c>
      <c r="B418" s="3" t="s">
        <v>17</v>
      </c>
      <c r="C418" s="43" t="s">
        <v>619</v>
      </c>
      <c r="D418" s="91" t="s">
        <v>1300</v>
      </c>
      <c r="E418" s="78">
        <v>2</v>
      </c>
      <c r="F418" s="3" t="s">
        <v>154</v>
      </c>
      <c r="G418" s="78"/>
      <c r="H418" s="20"/>
      <c r="K418" s="96"/>
    </row>
    <row r="419" spans="1:13" ht="20.100000000000001" hidden="1" customHeight="1" outlineLevel="1" x14ac:dyDescent="0.25">
      <c r="A419" s="59" t="s">
        <v>623</v>
      </c>
      <c r="B419" s="3" t="s">
        <v>17</v>
      </c>
      <c r="C419" s="43" t="s">
        <v>621</v>
      </c>
      <c r="D419" s="43" t="s">
        <v>1302</v>
      </c>
      <c r="E419" s="78">
        <v>1</v>
      </c>
      <c r="F419" s="3" t="s">
        <v>154</v>
      </c>
      <c r="G419" s="78"/>
      <c r="H419" s="20"/>
      <c r="K419" s="96"/>
    </row>
    <row r="420" spans="1:13" ht="20.100000000000001" hidden="1" customHeight="1" outlineLevel="1" x14ac:dyDescent="0.25">
      <c r="A420" s="52"/>
      <c r="B420" s="9"/>
      <c r="C420" s="44" t="s">
        <v>1303</v>
      </c>
      <c r="D420" s="44" t="s">
        <v>1303</v>
      </c>
      <c r="E420" s="78">
        <v>1</v>
      </c>
      <c r="F420" s="9"/>
      <c r="G420" s="79">
        <f>SUM(H414:H419)</f>
        <v>0</v>
      </c>
      <c r="H420" s="29">
        <f>ROUND(E420*G420,2)</f>
        <v>0</v>
      </c>
      <c r="K420" s="96"/>
    </row>
    <row r="421" spans="1:13" ht="20.100000000000001" hidden="1" customHeight="1" outlineLevel="1" x14ac:dyDescent="0.25">
      <c r="A421" s="60"/>
      <c r="B421" s="12"/>
      <c r="C421" s="45"/>
      <c r="D421" s="45"/>
      <c r="E421" s="34"/>
      <c r="F421" s="12"/>
      <c r="G421" s="34"/>
      <c r="H421" s="30"/>
      <c r="K421" s="96"/>
    </row>
    <row r="422" spans="1:13" ht="20.100000000000001" hidden="1" customHeight="1" outlineLevel="1" x14ac:dyDescent="0.25">
      <c r="A422" s="63"/>
      <c r="B422" s="18" t="s">
        <v>9</v>
      </c>
      <c r="C422" s="48" t="s">
        <v>622</v>
      </c>
      <c r="D422" s="48" t="s">
        <v>1308</v>
      </c>
      <c r="E422" s="82">
        <f>E426</f>
        <v>1</v>
      </c>
      <c r="F422" s="18" t="s">
        <v>433</v>
      </c>
      <c r="G422" s="82">
        <f>G426</f>
        <v>0</v>
      </c>
      <c r="H422" s="32">
        <f>H426</f>
        <v>0</v>
      </c>
      <c r="K422" s="96"/>
    </row>
    <row r="423" spans="1:13" ht="20.100000000000001" hidden="1" customHeight="1" outlineLevel="1" x14ac:dyDescent="0.25">
      <c r="A423" s="59" t="s">
        <v>623</v>
      </c>
      <c r="B423" s="3" t="s">
        <v>17</v>
      </c>
      <c r="C423" s="43" t="s">
        <v>624</v>
      </c>
      <c r="D423" s="43" t="s">
        <v>1305</v>
      </c>
      <c r="E423" s="78">
        <v>1</v>
      </c>
      <c r="F423" s="3" t="s">
        <v>10</v>
      </c>
      <c r="G423" s="78"/>
      <c r="H423" s="20"/>
      <c r="K423" s="96"/>
    </row>
    <row r="424" spans="1:13" ht="20.100000000000001" hidden="1" customHeight="1" outlineLevel="1" x14ac:dyDescent="0.25">
      <c r="A424" s="59" t="s">
        <v>625</v>
      </c>
      <c r="B424" s="3" t="s">
        <v>17</v>
      </c>
      <c r="C424" s="43" t="s">
        <v>626</v>
      </c>
      <c r="D424" s="43" t="s">
        <v>1306</v>
      </c>
      <c r="E424" s="78">
        <v>1</v>
      </c>
      <c r="F424" s="3" t="s">
        <v>10</v>
      </c>
      <c r="G424" s="78"/>
      <c r="H424" s="20"/>
      <c r="K424" s="96"/>
    </row>
    <row r="425" spans="1:13" s="4" customFormat="1" ht="39.950000000000003" hidden="1" customHeight="1" outlineLevel="1" x14ac:dyDescent="0.25">
      <c r="A425" s="59" t="s">
        <v>627</v>
      </c>
      <c r="B425" s="3" t="s">
        <v>17</v>
      </c>
      <c r="C425" s="43" t="s">
        <v>628</v>
      </c>
      <c r="D425" s="43" t="s">
        <v>1307</v>
      </c>
      <c r="E425" s="78">
        <v>2</v>
      </c>
      <c r="F425" s="3" t="s">
        <v>10</v>
      </c>
      <c r="G425" s="78"/>
      <c r="H425" s="20"/>
      <c r="K425" s="96"/>
      <c r="M425" s="96"/>
    </row>
    <row r="426" spans="1:13" ht="20.100000000000001" hidden="1" customHeight="1" outlineLevel="1" x14ac:dyDescent="0.25">
      <c r="A426" s="52"/>
      <c r="B426" s="9"/>
      <c r="C426" s="44" t="s">
        <v>1304</v>
      </c>
      <c r="D426" s="44" t="s">
        <v>1304</v>
      </c>
      <c r="E426" s="78">
        <v>1</v>
      </c>
      <c r="F426" s="9"/>
      <c r="G426" s="79">
        <f>SUM(H423:H425)</f>
        <v>0</v>
      </c>
      <c r="H426" s="29">
        <f>ROUND(E426*G426,2)</f>
        <v>0</v>
      </c>
      <c r="K426" s="96"/>
    </row>
    <row r="427" spans="1:13" ht="20.100000000000001" hidden="1" customHeight="1" outlineLevel="1" x14ac:dyDescent="0.25">
      <c r="A427" s="60"/>
      <c r="B427" s="12"/>
      <c r="C427" s="45"/>
      <c r="D427" s="45"/>
      <c r="E427" s="34"/>
      <c r="F427" s="12"/>
      <c r="G427" s="34"/>
      <c r="H427" s="30"/>
      <c r="K427" s="96"/>
    </row>
    <row r="428" spans="1:13" ht="20.100000000000001" hidden="1" customHeight="1" outlineLevel="1" x14ac:dyDescent="0.25">
      <c r="A428" s="52"/>
      <c r="B428" s="9"/>
      <c r="C428" s="44" t="s">
        <v>629</v>
      </c>
      <c r="D428" s="44" t="s">
        <v>629</v>
      </c>
      <c r="E428" s="78">
        <v>1</v>
      </c>
      <c r="F428" s="9"/>
      <c r="G428" s="79">
        <f>H397+H413+H422</f>
        <v>0</v>
      </c>
      <c r="H428" s="29">
        <f>ROUND(E428*G428,2)</f>
        <v>0</v>
      </c>
      <c r="K428" s="96"/>
    </row>
    <row r="429" spans="1:13" ht="20.100000000000001" customHeight="1" collapsed="1" x14ac:dyDescent="0.25">
      <c r="A429" s="60"/>
      <c r="B429" s="12"/>
      <c r="C429" s="45"/>
      <c r="D429" s="45"/>
      <c r="E429" s="34"/>
      <c r="F429" s="12"/>
      <c r="G429" s="34"/>
      <c r="H429" s="30"/>
      <c r="K429" s="96"/>
    </row>
    <row r="430" spans="1:13" ht="20.100000000000001" customHeight="1" x14ac:dyDescent="0.25">
      <c r="A430" s="52"/>
      <c r="B430" s="9"/>
      <c r="C430" s="44" t="s">
        <v>630</v>
      </c>
      <c r="D430" s="44" t="s">
        <v>630</v>
      </c>
      <c r="E430" s="78">
        <v>1</v>
      </c>
      <c r="F430" s="9"/>
      <c r="G430" s="79">
        <f>H225+H239+H252+H270+H284+H303+H363+H374+H381+H396</f>
        <v>75770.58</v>
      </c>
      <c r="H430" s="29">
        <f>ROUND(E430*G430,2)</f>
        <v>75770.58</v>
      </c>
      <c r="K430" s="96"/>
    </row>
    <row r="431" spans="1:13" ht="20.100000000000001" customHeight="1" x14ac:dyDescent="0.25">
      <c r="A431" s="60"/>
      <c r="B431" s="12"/>
      <c r="C431" s="45"/>
      <c r="D431" s="45"/>
      <c r="E431" s="34"/>
      <c r="F431" s="12"/>
      <c r="G431" s="34"/>
      <c r="H431" s="30"/>
      <c r="K431" s="96"/>
    </row>
    <row r="432" spans="1:13" ht="20.100000000000001" customHeight="1" x14ac:dyDescent="0.25">
      <c r="A432" s="61" t="s">
        <v>631</v>
      </c>
      <c r="B432" s="17" t="s">
        <v>9</v>
      </c>
      <c r="C432" s="46" t="s">
        <v>292</v>
      </c>
      <c r="D432" s="46" t="s">
        <v>1152</v>
      </c>
      <c r="E432" s="80">
        <f>E601</f>
        <v>1</v>
      </c>
      <c r="F432" s="17" t="s">
        <v>10</v>
      </c>
      <c r="G432" s="80">
        <f>G601</f>
        <v>79380.86</v>
      </c>
      <c r="H432" s="31">
        <f>H601</f>
        <v>79380.86</v>
      </c>
      <c r="K432" s="96"/>
    </row>
    <row r="433" spans="1:11" ht="20.100000000000001" customHeight="1" x14ac:dyDescent="0.25">
      <c r="A433" s="62" t="s">
        <v>406</v>
      </c>
      <c r="B433" s="7" t="s">
        <v>9</v>
      </c>
      <c r="C433" s="47" t="s">
        <v>359</v>
      </c>
      <c r="D433" s="47" t="s">
        <v>1183</v>
      </c>
      <c r="E433" s="81">
        <f>E444</f>
        <v>1</v>
      </c>
      <c r="F433" s="7" t="s">
        <v>10</v>
      </c>
      <c r="G433" s="81">
        <f>G444</f>
        <v>45700.63</v>
      </c>
      <c r="H433" s="21">
        <f>H444</f>
        <v>45700.63</v>
      </c>
      <c r="K433" s="96"/>
    </row>
    <row r="434" spans="1:11" ht="39.950000000000003" customHeight="1" x14ac:dyDescent="0.25">
      <c r="A434" s="59" t="s">
        <v>409</v>
      </c>
      <c r="B434" s="3" t="s">
        <v>17</v>
      </c>
      <c r="C434" s="43" t="s">
        <v>361</v>
      </c>
      <c r="D434" s="43" t="s">
        <v>1171</v>
      </c>
      <c r="E434" s="78">
        <v>1057.68</v>
      </c>
      <c r="F434" s="3" t="s">
        <v>277</v>
      </c>
      <c r="G434" s="78">
        <v>4.3</v>
      </c>
      <c r="H434" s="20">
        <f t="shared" ref="H434:H444" si="7">ROUND(E434*G434,2)</f>
        <v>4548.0200000000004</v>
      </c>
      <c r="K434" s="96"/>
    </row>
    <row r="435" spans="1:11" ht="20.100000000000001" customHeight="1" x14ac:dyDescent="0.25">
      <c r="A435" s="59" t="s">
        <v>411</v>
      </c>
      <c r="B435" s="3" t="s">
        <v>17</v>
      </c>
      <c r="C435" s="43" t="s">
        <v>363</v>
      </c>
      <c r="D435" s="43" t="s">
        <v>1172</v>
      </c>
      <c r="E435" s="78">
        <v>157.19</v>
      </c>
      <c r="F435" s="3" t="s">
        <v>35</v>
      </c>
      <c r="G435" s="78">
        <v>4.7699999999999996</v>
      </c>
      <c r="H435" s="20">
        <f t="shared" si="7"/>
        <v>749.8</v>
      </c>
      <c r="K435" s="96"/>
    </row>
    <row r="436" spans="1:11" ht="20.100000000000001" customHeight="1" x14ac:dyDescent="0.25">
      <c r="A436" s="59" t="s">
        <v>414</v>
      </c>
      <c r="B436" s="3" t="s">
        <v>17</v>
      </c>
      <c r="C436" s="43" t="s">
        <v>365</v>
      </c>
      <c r="D436" s="43" t="s">
        <v>1173</v>
      </c>
      <c r="E436" s="78">
        <v>352.94</v>
      </c>
      <c r="F436" s="3" t="s">
        <v>277</v>
      </c>
      <c r="G436" s="78">
        <v>11.97</v>
      </c>
      <c r="H436" s="20">
        <f t="shared" si="7"/>
        <v>4224.6899999999996</v>
      </c>
      <c r="K436" s="96"/>
    </row>
    <row r="437" spans="1:11" ht="20.100000000000001" customHeight="1" x14ac:dyDescent="0.25">
      <c r="A437" s="59" t="s">
        <v>416</v>
      </c>
      <c r="B437" s="3" t="s">
        <v>17</v>
      </c>
      <c r="C437" s="43" t="s">
        <v>367</v>
      </c>
      <c r="D437" s="43" t="s">
        <v>1174</v>
      </c>
      <c r="E437" s="78">
        <v>157.19</v>
      </c>
      <c r="F437" s="3" t="s">
        <v>35</v>
      </c>
      <c r="G437" s="78">
        <v>13</v>
      </c>
      <c r="H437" s="20">
        <f t="shared" si="7"/>
        <v>2043.47</v>
      </c>
      <c r="K437" s="96"/>
    </row>
    <row r="438" spans="1:11" ht="20.100000000000001" customHeight="1" x14ac:dyDescent="0.25">
      <c r="A438" s="59" t="s">
        <v>418</v>
      </c>
      <c r="B438" s="3" t="s">
        <v>17</v>
      </c>
      <c r="C438" s="43" t="s">
        <v>369</v>
      </c>
      <c r="D438" s="43" t="s">
        <v>1175</v>
      </c>
      <c r="E438" s="78">
        <v>976.87</v>
      </c>
      <c r="F438" s="3" t="s">
        <v>35</v>
      </c>
      <c r="G438" s="78">
        <v>11.59</v>
      </c>
      <c r="H438" s="20">
        <f t="shared" si="7"/>
        <v>11321.92</v>
      </c>
      <c r="K438" s="96"/>
    </row>
    <row r="439" spans="1:11" ht="20.100000000000001" customHeight="1" x14ac:dyDescent="0.25">
      <c r="A439" s="59" t="s">
        <v>420</v>
      </c>
      <c r="B439" s="3" t="s">
        <v>17</v>
      </c>
      <c r="C439" s="43" t="s">
        <v>371</v>
      </c>
      <c r="D439" s="43" t="s">
        <v>1176</v>
      </c>
      <c r="E439" s="78">
        <v>277.33999999999997</v>
      </c>
      <c r="F439" s="3" t="s">
        <v>35</v>
      </c>
      <c r="G439" s="78">
        <v>12.31</v>
      </c>
      <c r="H439" s="20">
        <f t="shared" si="7"/>
        <v>3414.06</v>
      </c>
      <c r="K439" s="96"/>
    </row>
    <row r="440" spans="1:11" ht="20.100000000000001" customHeight="1" x14ac:dyDescent="0.25">
      <c r="A440" s="59" t="s">
        <v>422</v>
      </c>
      <c r="B440" s="3" t="s">
        <v>17</v>
      </c>
      <c r="C440" s="43" t="s">
        <v>373</v>
      </c>
      <c r="D440" s="43" t="s">
        <v>1177</v>
      </c>
      <c r="E440" s="78">
        <v>116.71</v>
      </c>
      <c r="F440" s="3" t="s">
        <v>35</v>
      </c>
      <c r="G440" s="78">
        <v>9.18</v>
      </c>
      <c r="H440" s="20">
        <f t="shared" si="7"/>
        <v>1071.4000000000001</v>
      </c>
      <c r="K440" s="96"/>
    </row>
    <row r="441" spans="1:11" ht="20.100000000000001" customHeight="1" x14ac:dyDescent="0.25">
      <c r="A441" s="59" t="s">
        <v>424</v>
      </c>
      <c r="B441" s="3" t="s">
        <v>17</v>
      </c>
      <c r="C441" s="43" t="s">
        <v>377</v>
      </c>
      <c r="D441" s="43" t="s">
        <v>1179</v>
      </c>
      <c r="E441" s="78">
        <v>820.37</v>
      </c>
      <c r="F441" s="3" t="s">
        <v>277</v>
      </c>
      <c r="G441" s="78">
        <v>7.25</v>
      </c>
      <c r="H441" s="20">
        <f t="shared" si="7"/>
        <v>5947.68</v>
      </c>
      <c r="K441" s="96"/>
    </row>
    <row r="442" spans="1:11" ht="20.100000000000001" customHeight="1" x14ac:dyDescent="0.25">
      <c r="A442" s="59" t="s">
        <v>426</v>
      </c>
      <c r="B442" s="3" t="s">
        <v>17</v>
      </c>
      <c r="C442" s="43" t="s">
        <v>379</v>
      </c>
      <c r="D442" s="43" t="s">
        <v>1180</v>
      </c>
      <c r="E442" s="78">
        <v>424.74</v>
      </c>
      <c r="F442" s="3" t="s">
        <v>277</v>
      </c>
      <c r="G442" s="78">
        <v>8.5</v>
      </c>
      <c r="H442" s="20">
        <f t="shared" si="7"/>
        <v>3610.29</v>
      </c>
      <c r="K442" s="96"/>
    </row>
    <row r="443" spans="1:11" ht="20.100000000000001" customHeight="1" x14ac:dyDescent="0.25">
      <c r="A443" s="59" t="s">
        <v>1464</v>
      </c>
      <c r="B443" s="3" t="s">
        <v>17</v>
      </c>
      <c r="C443" s="43" t="s">
        <v>381</v>
      </c>
      <c r="D443" s="43" t="s">
        <v>1181</v>
      </c>
      <c r="E443" s="78">
        <v>359.84</v>
      </c>
      <c r="F443" s="3" t="s">
        <v>35</v>
      </c>
      <c r="G443" s="78">
        <v>24.37</v>
      </c>
      <c r="H443" s="20">
        <f t="shared" si="7"/>
        <v>8769.2999999999993</v>
      </c>
      <c r="K443" s="96"/>
    </row>
    <row r="444" spans="1:11" ht="20.100000000000001" customHeight="1" x14ac:dyDescent="0.25">
      <c r="A444" s="52"/>
      <c r="B444" s="9"/>
      <c r="C444" s="44" t="s">
        <v>428</v>
      </c>
      <c r="D444" s="44" t="s">
        <v>428</v>
      </c>
      <c r="E444" s="78">
        <v>1</v>
      </c>
      <c r="F444" s="9"/>
      <c r="G444" s="79">
        <f>SUM(H434:H443)</f>
        <v>45700.63</v>
      </c>
      <c r="H444" s="29">
        <f t="shared" si="7"/>
        <v>45700.63</v>
      </c>
      <c r="K444" s="96"/>
    </row>
    <row r="445" spans="1:11" ht="20.100000000000001" customHeight="1" x14ac:dyDescent="0.25">
      <c r="A445" s="60"/>
      <c r="B445" s="12"/>
      <c r="C445" s="45"/>
      <c r="D445" s="45"/>
      <c r="E445" s="34"/>
      <c r="F445" s="12"/>
      <c r="G445" s="34"/>
      <c r="H445" s="30"/>
      <c r="K445" s="96"/>
    </row>
    <row r="446" spans="1:11" ht="20.100000000000001" customHeight="1" x14ac:dyDescent="0.25">
      <c r="A446" s="62" t="s">
        <v>429</v>
      </c>
      <c r="B446" s="7" t="s">
        <v>9</v>
      </c>
      <c r="C446" s="47" t="s">
        <v>384</v>
      </c>
      <c r="D446" s="47" t="s">
        <v>1184</v>
      </c>
      <c r="E446" s="81">
        <f>E457</f>
        <v>1</v>
      </c>
      <c r="F446" s="7" t="s">
        <v>10</v>
      </c>
      <c r="G446" s="81">
        <f>G457</f>
        <v>33680.230000000003</v>
      </c>
      <c r="H446" s="21">
        <f>H457</f>
        <v>33680.230000000003</v>
      </c>
      <c r="K446" s="96"/>
    </row>
    <row r="447" spans="1:11" ht="20.100000000000001" customHeight="1" x14ac:dyDescent="0.25">
      <c r="A447" s="59" t="s">
        <v>432</v>
      </c>
      <c r="B447" s="3" t="s">
        <v>17</v>
      </c>
      <c r="C447" s="43" t="s">
        <v>386</v>
      </c>
      <c r="D447" s="43" t="s">
        <v>1185</v>
      </c>
      <c r="E447" s="78">
        <v>616.38</v>
      </c>
      <c r="F447" s="3" t="s">
        <v>18</v>
      </c>
      <c r="G447" s="78">
        <v>4.7699999999999996</v>
      </c>
      <c r="H447" s="20">
        <f t="shared" ref="H447:H457" si="8">ROUND(E447*G447,2)</f>
        <v>2940.13</v>
      </c>
      <c r="K447" s="96"/>
    </row>
    <row r="448" spans="1:11" ht="20.100000000000001" customHeight="1" x14ac:dyDescent="0.25">
      <c r="A448" s="59" t="s">
        <v>435</v>
      </c>
      <c r="B448" s="3" t="s">
        <v>17</v>
      </c>
      <c r="C448" s="43" t="s">
        <v>388</v>
      </c>
      <c r="D448" s="43" t="s">
        <v>1194</v>
      </c>
      <c r="E448" s="78">
        <v>161.07</v>
      </c>
      <c r="F448" s="3" t="s">
        <v>18</v>
      </c>
      <c r="G448" s="78">
        <v>13</v>
      </c>
      <c r="H448" s="20">
        <f t="shared" si="8"/>
        <v>2093.91</v>
      </c>
      <c r="K448" s="96"/>
    </row>
    <row r="449" spans="1:11" ht="20.100000000000001" customHeight="1" x14ac:dyDescent="0.25">
      <c r="A449" s="59" t="s">
        <v>437</v>
      </c>
      <c r="B449" s="3" t="s">
        <v>17</v>
      </c>
      <c r="C449" s="43" t="s">
        <v>390</v>
      </c>
      <c r="D449" s="43" t="s">
        <v>1186</v>
      </c>
      <c r="E449" s="78">
        <v>123.99</v>
      </c>
      <c r="F449" s="3" t="s">
        <v>29</v>
      </c>
      <c r="G449" s="78">
        <v>15.36</v>
      </c>
      <c r="H449" s="20">
        <f t="shared" si="8"/>
        <v>1904.49</v>
      </c>
      <c r="K449" s="96"/>
    </row>
    <row r="450" spans="1:11" ht="20.100000000000001" customHeight="1" x14ac:dyDescent="0.25">
      <c r="A450" s="59" t="s">
        <v>439</v>
      </c>
      <c r="B450" s="3" t="s">
        <v>17</v>
      </c>
      <c r="C450" s="43" t="s">
        <v>392</v>
      </c>
      <c r="D450" s="43" t="s">
        <v>1190</v>
      </c>
      <c r="E450" s="78">
        <v>49.76</v>
      </c>
      <c r="F450" s="3" t="s">
        <v>29</v>
      </c>
      <c r="G450" s="78">
        <v>33.28</v>
      </c>
      <c r="H450" s="20">
        <f t="shared" si="8"/>
        <v>1656.01</v>
      </c>
      <c r="K450" s="96"/>
    </row>
    <row r="451" spans="1:11" ht="20.100000000000001" customHeight="1" x14ac:dyDescent="0.25">
      <c r="A451" s="59" t="s">
        <v>443</v>
      </c>
      <c r="B451" s="3" t="s">
        <v>17</v>
      </c>
      <c r="C451" s="43" t="s">
        <v>394</v>
      </c>
      <c r="D451" s="43" t="s">
        <v>1189</v>
      </c>
      <c r="E451" s="78">
        <v>92.52</v>
      </c>
      <c r="F451" s="3" t="s">
        <v>18</v>
      </c>
      <c r="G451" s="78">
        <v>17.93</v>
      </c>
      <c r="H451" s="20">
        <f t="shared" si="8"/>
        <v>1658.88</v>
      </c>
      <c r="K451" s="96"/>
    </row>
    <row r="452" spans="1:11" ht="20.100000000000001" customHeight="1" x14ac:dyDescent="0.25">
      <c r="A452" s="59" t="s">
        <v>1465</v>
      </c>
      <c r="B452" s="3" t="s">
        <v>17</v>
      </c>
      <c r="C452" s="43" t="s">
        <v>396</v>
      </c>
      <c r="D452" s="43" t="s">
        <v>1188</v>
      </c>
      <c r="E452" s="78">
        <v>523.87</v>
      </c>
      <c r="F452" s="3" t="s">
        <v>18</v>
      </c>
      <c r="G452" s="78">
        <v>19.059999999999999</v>
      </c>
      <c r="H452" s="20">
        <f t="shared" si="8"/>
        <v>9984.9599999999991</v>
      </c>
      <c r="K452" s="96"/>
    </row>
    <row r="453" spans="1:11" ht="20.100000000000001" customHeight="1" x14ac:dyDescent="0.25">
      <c r="A453" s="59" t="s">
        <v>1466</v>
      </c>
      <c r="B453" s="3" t="s">
        <v>17</v>
      </c>
      <c r="C453" s="43" t="s">
        <v>398</v>
      </c>
      <c r="D453" s="43" t="s">
        <v>1191</v>
      </c>
      <c r="E453" s="78">
        <v>52.09</v>
      </c>
      <c r="F453" s="3" t="s">
        <v>29</v>
      </c>
      <c r="G453" s="78">
        <v>3.84</v>
      </c>
      <c r="H453" s="20">
        <f t="shared" si="8"/>
        <v>200.03</v>
      </c>
      <c r="K453" s="96"/>
    </row>
    <row r="454" spans="1:11" ht="20.100000000000001" customHeight="1" x14ac:dyDescent="0.25">
      <c r="A454" s="59" t="s">
        <v>1467</v>
      </c>
      <c r="B454" s="3" t="s">
        <v>17</v>
      </c>
      <c r="C454" s="43" t="s">
        <v>400</v>
      </c>
      <c r="D454" s="43" t="s">
        <v>1192</v>
      </c>
      <c r="E454" s="78">
        <v>102.93</v>
      </c>
      <c r="F454" s="3" t="s">
        <v>18</v>
      </c>
      <c r="G454" s="78">
        <v>41.27</v>
      </c>
      <c r="H454" s="20">
        <f t="shared" si="8"/>
        <v>4247.92</v>
      </c>
      <c r="K454" s="96"/>
    </row>
    <row r="455" spans="1:11" ht="20.100000000000001" customHeight="1" x14ac:dyDescent="0.25">
      <c r="A455" s="59" t="s">
        <v>1468</v>
      </c>
      <c r="B455" s="3" t="s">
        <v>17</v>
      </c>
      <c r="C455" s="43" t="s">
        <v>402</v>
      </c>
      <c r="D455" s="43" t="s">
        <v>1193</v>
      </c>
      <c r="E455" s="78">
        <v>534.28</v>
      </c>
      <c r="F455" s="3" t="s">
        <v>35</v>
      </c>
      <c r="G455" s="78">
        <v>16.52</v>
      </c>
      <c r="H455" s="20">
        <f t="shared" si="8"/>
        <v>8826.31</v>
      </c>
      <c r="K455" s="96"/>
    </row>
    <row r="456" spans="1:11" ht="20.100000000000001" customHeight="1" x14ac:dyDescent="0.25">
      <c r="A456" s="59" t="s">
        <v>1469</v>
      </c>
      <c r="B456" s="3" t="s">
        <v>17</v>
      </c>
      <c r="C456" s="43" t="s">
        <v>404</v>
      </c>
      <c r="D456" s="43" t="s">
        <v>1463</v>
      </c>
      <c r="E456" s="78">
        <v>21.16</v>
      </c>
      <c r="F456" s="3" t="s">
        <v>277</v>
      </c>
      <c r="G456" s="78">
        <v>7.92</v>
      </c>
      <c r="H456" s="20">
        <f t="shared" si="8"/>
        <v>167.59</v>
      </c>
      <c r="K456" s="96"/>
    </row>
    <row r="457" spans="1:11" ht="20.100000000000001" customHeight="1" x14ac:dyDescent="0.25">
      <c r="A457" s="52"/>
      <c r="B457" s="9"/>
      <c r="C457" s="44" t="s">
        <v>445</v>
      </c>
      <c r="D457" s="44" t="s">
        <v>445</v>
      </c>
      <c r="E457" s="78">
        <v>1</v>
      </c>
      <c r="F457" s="9"/>
      <c r="G457" s="79">
        <f>SUM(H447:H456)</f>
        <v>33680.230000000003</v>
      </c>
      <c r="H457" s="29">
        <f t="shared" si="8"/>
        <v>33680.230000000003</v>
      </c>
      <c r="K457" s="96"/>
    </row>
    <row r="458" spans="1:11" ht="20.100000000000001" hidden="1" customHeight="1" outlineLevel="1" x14ac:dyDescent="0.25">
      <c r="A458" s="60"/>
      <c r="B458" s="12"/>
      <c r="C458" s="45"/>
      <c r="D458" s="45"/>
      <c r="E458" s="34"/>
      <c r="F458" s="12"/>
      <c r="G458" s="34"/>
      <c r="H458" s="30"/>
      <c r="K458" s="96"/>
    </row>
    <row r="459" spans="1:11" ht="20.100000000000001" hidden="1" customHeight="1" outlineLevel="1" x14ac:dyDescent="0.25">
      <c r="A459" s="62" t="s">
        <v>656</v>
      </c>
      <c r="B459" s="7" t="s">
        <v>9</v>
      </c>
      <c r="C459" s="47" t="s">
        <v>407</v>
      </c>
      <c r="D459" s="47"/>
      <c r="E459" s="81">
        <f>E476</f>
        <v>1</v>
      </c>
      <c r="F459" s="7" t="s">
        <v>10</v>
      </c>
      <c r="G459" s="81">
        <f>G476</f>
        <v>0</v>
      </c>
      <c r="H459" s="21">
        <f>H476</f>
        <v>0</v>
      </c>
      <c r="K459" s="96"/>
    </row>
    <row r="460" spans="1:11" ht="20.100000000000001" hidden="1" customHeight="1" outlineLevel="1" x14ac:dyDescent="0.25">
      <c r="A460" s="63"/>
      <c r="B460" s="18" t="s">
        <v>9</v>
      </c>
      <c r="C460" s="48" t="s">
        <v>408</v>
      </c>
      <c r="D460" s="48" t="s">
        <v>1196</v>
      </c>
      <c r="E460" s="82">
        <f>E464</f>
        <v>1</v>
      </c>
      <c r="F460" s="18" t="s">
        <v>65</v>
      </c>
      <c r="G460" s="82">
        <f>G464</f>
        <v>0</v>
      </c>
      <c r="H460" s="32">
        <f>H464</f>
        <v>0</v>
      </c>
      <c r="K460" s="96"/>
    </row>
    <row r="461" spans="1:11" ht="20.100000000000001" hidden="1" customHeight="1" outlineLevel="1" x14ac:dyDescent="0.25">
      <c r="A461" s="59" t="s">
        <v>657</v>
      </c>
      <c r="B461" s="3" t="s">
        <v>17</v>
      </c>
      <c r="C461" s="43" t="s">
        <v>658</v>
      </c>
      <c r="D461" s="43" t="s">
        <v>1309</v>
      </c>
      <c r="E461" s="78">
        <v>1</v>
      </c>
      <c r="F461" s="3" t="s">
        <v>433</v>
      </c>
      <c r="G461" s="78"/>
      <c r="H461" s="20"/>
      <c r="K461" s="96"/>
    </row>
    <row r="462" spans="1:11" ht="20.100000000000001" hidden="1" customHeight="1" outlineLevel="1" x14ac:dyDescent="0.25">
      <c r="A462" s="59" t="s">
        <v>659</v>
      </c>
      <c r="B462" s="3" t="s">
        <v>17</v>
      </c>
      <c r="C462" s="43" t="s">
        <v>660</v>
      </c>
      <c r="D462" s="43" t="s">
        <v>1198</v>
      </c>
      <c r="E462" s="78">
        <v>15.94</v>
      </c>
      <c r="F462" s="3" t="s">
        <v>18</v>
      </c>
      <c r="G462" s="78"/>
      <c r="H462" s="20"/>
      <c r="K462" s="96"/>
    </row>
    <row r="463" spans="1:11" ht="20.100000000000001" hidden="1" customHeight="1" outlineLevel="1" x14ac:dyDescent="0.25">
      <c r="A463" s="59" t="s">
        <v>661</v>
      </c>
      <c r="B463" s="3" t="s">
        <v>17</v>
      </c>
      <c r="C463" s="43" t="s">
        <v>412</v>
      </c>
      <c r="D463" s="91" t="s">
        <v>1200</v>
      </c>
      <c r="E463" s="78">
        <v>17.8</v>
      </c>
      <c r="F463" s="3" t="s">
        <v>29</v>
      </c>
      <c r="G463" s="78"/>
      <c r="H463" s="20"/>
      <c r="K463" s="96"/>
    </row>
    <row r="464" spans="1:11" ht="20.100000000000001" hidden="1" customHeight="1" outlineLevel="1" x14ac:dyDescent="0.25">
      <c r="A464" s="52"/>
      <c r="B464" s="9"/>
      <c r="C464" s="44" t="s">
        <v>1310</v>
      </c>
      <c r="D464" s="44" t="s">
        <v>1310</v>
      </c>
      <c r="E464" s="78">
        <v>1</v>
      </c>
      <c r="F464" s="9"/>
      <c r="G464" s="79">
        <f>SUM(H461:H463)</f>
        <v>0</v>
      </c>
      <c r="H464" s="29">
        <f>ROUND(E464*G464,2)</f>
        <v>0</v>
      </c>
      <c r="K464" s="96"/>
    </row>
    <row r="465" spans="1:11" ht="20.100000000000001" hidden="1" customHeight="1" outlineLevel="1" x14ac:dyDescent="0.25">
      <c r="A465" s="60"/>
      <c r="B465" s="12"/>
      <c r="C465" s="45"/>
      <c r="D465" s="45"/>
      <c r="E465" s="34"/>
      <c r="F465" s="12"/>
      <c r="G465" s="34"/>
      <c r="H465" s="30"/>
      <c r="K465" s="96"/>
    </row>
    <row r="466" spans="1:11" ht="20.100000000000001" hidden="1" customHeight="1" outlineLevel="1" x14ac:dyDescent="0.25">
      <c r="A466" s="63"/>
      <c r="B466" s="18" t="s">
        <v>9</v>
      </c>
      <c r="C466" s="48" t="s">
        <v>413</v>
      </c>
      <c r="D466" s="48" t="s">
        <v>1197</v>
      </c>
      <c r="E466" s="82">
        <f>E474</f>
        <v>1</v>
      </c>
      <c r="F466" s="18" t="s">
        <v>65</v>
      </c>
      <c r="G466" s="82">
        <f>G474</f>
        <v>0</v>
      </c>
      <c r="H466" s="32">
        <f>H474</f>
        <v>0</v>
      </c>
      <c r="K466" s="96"/>
    </row>
    <row r="467" spans="1:11" ht="20.100000000000001" hidden="1" customHeight="1" outlineLevel="1" x14ac:dyDescent="0.25">
      <c r="A467" s="59" t="s">
        <v>662</v>
      </c>
      <c r="B467" s="3" t="s">
        <v>17</v>
      </c>
      <c r="C467" s="43" t="s">
        <v>663</v>
      </c>
      <c r="D467" s="43" t="s">
        <v>1202</v>
      </c>
      <c r="E467" s="78">
        <v>243.78</v>
      </c>
      <c r="F467" s="3" t="s">
        <v>35</v>
      </c>
      <c r="G467" s="78"/>
      <c r="H467" s="20"/>
      <c r="K467" s="96"/>
    </row>
    <row r="468" spans="1:11" ht="20.100000000000001" hidden="1" customHeight="1" outlineLevel="1" x14ac:dyDescent="0.25">
      <c r="A468" s="59" t="s">
        <v>664</v>
      </c>
      <c r="B468" s="3" t="s">
        <v>17</v>
      </c>
      <c r="C468" s="43" t="s">
        <v>665</v>
      </c>
      <c r="D468" s="43" t="s">
        <v>1311</v>
      </c>
      <c r="E468" s="78">
        <v>138.75</v>
      </c>
      <c r="F468" s="3" t="s">
        <v>35</v>
      </c>
      <c r="G468" s="78"/>
      <c r="H468" s="20"/>
      <c r="K468" s="96"/>
    </row>
    <row r="469" spans="1:11" ht="20.100000000000001" hidden="1" customHeight="1" outlineLevel="1" x14ac:dyDescent="0.25">
      <c r="A469" s="59" t="s">
        <v>666</v>
      </c>
      <c r="B469" s="3" t="s">
        <v>17</v>
      </c>
      <c r="C469" s="43" t="s">
        <v>667</v>
      </c>
      <c r="D469" s="43" t="s">
        <v>1205</v>
      </c>
      <c r="E469" s="78">
        <v>18.86</v>
      </c>
      <c r="F469" s="3" t="s">
        <v>35</v>
      </c>
      <c r="G469" s="78"/>
      <c r="H469" s="20"/>
      <c r="K469" s="96"/>
    </row>
    <row r="470" spans="1:11" ht="20.100000000000001" hidden="1" customHeight="1" outlineLevel="1" x14ac:dyDescent="0.25">
      <c r="A470" s="59" t="s">
        <v>668</v>
      </c>
      <c r="B470" s="3" t="s">
        <v>17</v>
      </c>
      <c r="C470" s="43" t="s">
        <v>669</v>
      </c>
      <c r="D470" s="43" t="s">
        <v>1206</v>
      </c>
      <c r="E470" s="78">
        <v>40.31</v>
      </c>
      <c r="F470" s="3" t="s">
        <v>18</v>
      </c>
      <c r="G470" s="78"/>
      <c r="H470" s="20"/>
      <c r="K470" s="96"/>
    </row>
    <row r="471" spans="1:11" ht="20.100000000000001" hidden="1" customHeight="1" outlineLevel="1" x14ac:dyDescent="0.25">
      <c r="A471" s="59" t="s">
        <v>670</v>
      </c>
      <c r="B471" s="3" t="s">
        <v>17</v>
      </c>
      <c r="C471" s="43" t="s">
        <v>425</v>
      </c>
      <c r="D471" s="43" t="s">
        <v>1207</v>
      </c>
      <c r="E471" s="78">
        <v>61.32</v>
      </c>
      <c r="F471" s="3" t="s">
        <v>18</v>
      </c>
      <c r="G471" s="78"/>
      <c r="H471" s="20"/>
      <c r="K471" s="96"/>
    </row>
    <row r="472" spans="1:11" ht="20.100000000000001" hidden="1" customHeight="1" outlineLevel="1" x14ac:dyDescent="0.25">
      <c r="A472" s="59" t="s">
        <v>671</v>
      </c>
      <c r="B472" s="3" t="s">
        <v>17</v>
      </c>
      <c r="C472" s="43" t="s">
        <v>427</v>
      </c>
      <c r="D472" s="43" t="s">
        <v>1208</v>
      </c>
      <c r="E472" s="78">
        <v>111.59</v>
      </c>
      <c r="F472" s="3" t="s">
        <v>18</v>
      </c>
      <c r="G472" s="78"/>
      <c r="H472" s="20"/>
      <c r="K472" s="96"/>
    </row>
    <row r="473" spans="1:11" ht="20.100000000000001" hidden="1" customHeight="1" outlineLevel="1" x14ac:dyDescent="0.25">
      <c r="A473" s="59" t="s">
        <v>672</v>
      </c>
      <c r="B473" s="3" t="s">
        <v>17</v>
      </c>
      <c r="C473" s="43" t="s">
        <v>421</v>
      </c>
      <c r="D473" s="43" t="s">
        <v>1203</v>
      </c>
      <c r="E473" s="78">
        <v>21.7</v>
      </c>
      <c r="F473" s="3" t="s">
        <v>29</v>
      </c>
      <c r="G473" s="78"/>
      <c r="H473" s="20"/>
      <c r="K473" s="96"/>
    </row>
    <row r="474" spans="1:11" ht="20.100000000000001" hidden="1" customHeight="1" outlineLevel="1" x14ac:dyDescent="0.25">
      <c r="A474" s="52"/>
      <c r="B474" s="9"/>
      <c r="C474" s="44" t="s">
        <v>1312</v>
      </c>
      <c r="D474" s="44" t="s">
        <v>1312</v>
      </c>
      <c r="E474" s="78">
        <v>1</v>
      </c>
      <c r="F474" s="9"/>
      <c r="G474" s="79">
        <f>SUM(H467:H473)</f>
        <v>0</v>
      </c>
      <c r="H474" s="29">
        <f>ROUND(E474*G474,2)</f>
        <v>0</v>
      </c>
      <c r="K474" s="96"/>
    </row>
    <row r="475" spans="1:11" ht="20.100000000000001" hidden="1" customHeight="1" outlineLevel="1" x14ac:dyDescent="0.25">
      <c r="A475" s="60"/>
      <c r="B475" s="12"/>
      <c r="C475" s="45"/>
      <c r="D475" s="45"/>
      <c r="E475" s="34"/>
      <c r="F475" s="12"/>
      <c r="G475" s="34"/>
      <c r="H475" s="30"/>
      <c r="K475" s="96"/>
    </row>
    <row r="476" spans="1:11" ht="20.100000000000001" hidden="1" customHeight="1" outlineLevel="1" x14ac:dyDescent="0.25">
      <c r="A476" s="52"/>
      <c r="B476" s="9"/>
      <c r="C476" s="44" t="s">
        <v>673</v>
      </c>
      <c r="D476" s="44"/>
      <c r="E476" s="78">
        <v>1</v>
      </c>
      <c r="F476" s="9"/>
      <c r="G476" s="79">
        <f>H460+H466</f>
        <v>0</v>
      </c>
      <c r="H476" s="29">
        <f>ROUND(E476*G476,2)</f>
        <v>0</v>
      </c>
      <c r="K476" s="96"/>
    </row>
    <row r="477" spans="1:11" ht="20.100000000000001" hidden="1" customHeight="1" outlineLevel="1" x14ac:dyDescent="0.25">
      <c r="A477" s="60"/>
      <c r="B477" s="12"/>
      <c r="C477" s="45"/>
      <c r="D477" s="45"/>
      <c r="E477" s="34"/>
      <c r="F477" s="12"/>
      <c r="G477" s="34"/>
      <c r="H477" s="30"/>
      <c r="K477" s="96"/>
    </row>
    <row r="478" spans="1:11" ht="20.100000000000001" hidden="1" customHeight="1" outlineLevel="1" x14ac:dyDescent="0.25">
      <c r="A478" s="62" t="s">
        <v>674</v>
      </c>
      <c r="B478" s="7" t="s">
        <v>9</v>
      </c>
      <c r="C478" s="47" t="s">
        <v>430</v>
      </c>
      <c r="D478" s="47" t="s">
        <v>1211</v>
      </c>
      <c r="E478" s="81">
        <f>E493</f>
        <v>1</v>
      </c>
      <c r="F478" s="7" t="s">
        <v>10</v>
      </c>
      <c r="G478" s="81">
        <f>G493</f>
        <v>0</v>
      </c>
      <c r="H478" s="21">
        <f>H493</f>
        <v>0</v>
      </c>
      <c r="K478" s="96"/>
    </row>
    <row r="479" spans="1:11" ht="20.100000000000001" hidden="1" customHeight="1" outlineLevel="1" x14ac:dyDescent="0.25">
      <c r="A479" s="63"/>
      <c r="B479" s="18" t="s">
        <v>9</v>
      </c>
      <c r="C479" s="48" t="s">
        <v>431</v>
      </c>
      <c r="D479" s="48" t="s">
        <v>1212</v>
      </c>
      <c r="E479" s="82">
        <f>E487</f>
        <v>1</v>
      </c>
      <c r="F479" s="18" t="s">
        <v>65</v>
      </c>
      <c r="G479" s="82">
        <f>G487</f>
        <v>0</v>
      </c>
      <c r="H479" s="32">
        <f>H487</f>
        <v>0</v>
      </c>
      <c r="K479" s="96"/>
    </row>
    <row r="480" spans="1:11" ht="20.100000000000001" hidden="1" customHeight="1" outlineLevel="1" x14ac:dyDescent="0.25">
      <c r="A480" s="59" t="s">
        <v>675</v>
      </c>
      <c r="B480" s="3" t="s">
        <v>17</v>
      </c>
      <c r="C480" s="43" t="s">
        <v>676</v>
      </c>
      <c r="D480" s="43" t="s">
        <v>1313</v>
      </c>
      <c r="E480" s="78">
        <v>1</v>
      </c>
      <c r="F480" s="3" t="s">
        <v>433</v>
      </c>
      <c r="G480" s="78"/>
      <c r="H480" s="20"/>
      <c r="K480" s="96"/>
    </row>
    <row r="481" spans="1:11" ht="20.100000000000001" hidden="1" customHeight="1" outlineLevel="1" x14ac:dyDescent="0.25">
      <c r="A481" s="59" t="s">
        <v>677</v>
      </c>
      <c r="B481" s="3" t="s">
        <v>17</v>
      </c>
      <c r="C481" s="43" t="s">
        <v>493</v>
      </c>
      <c r="D481" s="43" t="s">
        <v>493</v>
      </c>
      <c r="E481" s="78">
        <v>1</v>
      </c>
      <c r="F481" s="3" t="s">
        <v>433</v>
      </c>
      <c r="G481" s="78"/>
      <c r="H481" s="20"/>
      <c r="K481" s="96"/>
    </row>
    <row r="482" spans="1:11" ht="20.100000000000001" hidden="1" customHeight="1" outlineLevel="1" x14ac:dyDescent="0.25">
      <c r="A482" s="59" t="s">
        <v>678</v>
      </c>
      <c r="B482" s="3" t="s">
        <v>17</v>
      </c>
      <c r="C482" s="43" t="s">
        <v>548</v>
      </c>
      <c r="D482" s="43" t="s">
        <v>1314</v>
      </c>
      <c r="E482" s="78">
        <v>1</v>
      </c>
      <c r="F482" s="3" t="s">
        <v>433</v>
      </c>
      <c r="G482" s="78"/>
      <c r="H482" s="20"/>
      <c r="K482" s="96"/>
    </row>
    <row r="483" spans="1:11" ht="20.100000000000001" hidden="1" customHeight="1" outlineLevel="1" x14ac:dyDescent="0.25">
      <c r="A483" s="59" t="s">
        <v>679</v>
      </c>
      <c r="B483" s="3" t="s">
        <v>17</v>
      </c>
      <c r="C483" s="43" t="s">
        <v>680</v>
      </c>
      <c r="D483" s="43" t="s">
        <v>680</v>
      </c>
      <c r="E483" s="78">
        <v>1</v>
      </c>
      <c r="F483" s="3" t="s">
        <v>433</v>
      </c>
      <c r="G483" s="78"/>
      <c r="H483" s="20"/>
      <c r="K483" s="96"/>
    </row>
    <row r="484" spans="1:11" ht="20.100000000000001" hidden="1" customHeight="1" outlineLevel="1" x14ac:dyDescent="0.25">
      <c r="A484" s="59" t="s">
        <v>681</v>
      </c>
      <c r="B484" s="3" t="s">
        <v>17</v>
      </c>
      <c r="C484" s="43" t="s">
        <v>682</v>
      </c>
      <c r="D484" s="43" t="s">
        <v>682</v>
      </c>
      <c r="E484" s="78">
        <v>1</v>
      </c>
      <c r="F484" s="3" t="s">
        <v>433</v>
      </c>
      <c r="G484" s="78"/>
      <c r="H484" s="20"/>
      <c r="K484" s="96"/>
    </row>
    <row r="485" spans="1:11" ht="20.100000000000001" hidden="1" customHeight="1" outlineLevel="1" x14ac:dyDescent="0.25">
      <c r="A485" s="59" t="s">
        <v>683</v>
      </c>
      <c r="B485" s="3" t="s">
        <v>17</v>
      </c>
      <c r="C485" s="43" t="s">
        <v>684</v>
      </c>
      <c r="D485" s="43" t="s">
        <v>684</v>
      </c>
      <c r="E485" s="78">
        <v>1</v>
      </c>
      <c r="F485" s="3" t="s">
        <v>433</v>
      </c>
      <c r="G485" s="78"/>
      <c r="H485" s="20"/>
      <c r="K485" s="96"/>
    </row>
    <row r="486" spans="1:11" ht="20.100000000000001" hidden="1" customHeight="1" outlineLevel="1" x14ac:dyDescent="0.25">
      <c r="A486" s="59" t="s">
        <v>685</v>
      </c>
      <c r="B486" s="3" t="s">
        <v>17</v>
      </c>
      <c r="C486" s="43" t="s">
        <v>686</v>
      </c>
      <c r="D486" s="43" t="s">
        <v>686</v>
      </c>
      <c r="E486" s="78">
        <v>1</v>
      </c>
      <c r="F486" s="3" t="s">
        <v>433</v>
      </c>
      <c r="G486" s="78"/>
      <c r="H486" s="20"/>
      <c r="K486" s="96"/>
    </row>
    <row r="487" spans="1:11" ht="20.100000000000001" hidden="1" customHeight="1" outlineLevel="1" x14ac:dyDescent="0.25">
      <c r="A487" s="52"/>
      <c r="B487" s="9"/>
      <c r="C487" s="44" t="s">
        <v>1315</v>
      </c>
      <c r="D487" s="44" t="s">
        <v>1315</v>
      </c>
      <c r="E487" s="78">
        <v>1</v>
      </c>
      <c r="F487" s="9"/>
      <c r="G487" s="79">
        <f>SUM(H480:H486)</f>
        <v>0</v>
      </c>
      <c r="H487" s="29">
        <f>ROUND(E487*G487,2)</f>
        <v>0</v>
      </c>
      <c r="K487" s="96"/>
    </row>
    <row r="488" spans="1:11" ht="20.100000000000001" hidden="1" customHeight="1" outlineLevel="1" x14ac:dyDescent="0.25">
      <c r="A488" s="60"/>
      <c r="B488" s="12"/>
      <c r="C488" s="45"/>
      <c r="D488" s="45"/>
      <c r="E488" s="34"/>
      <c r="F488" s="12"/>
      <c r="G488" s="34"/>
      <c r="H488" s="30"/>
      <c r="K488" s="96"/>
    </row>
    <row r="489" spans="1:11" ht="20.100000000000001" hidden="1" customHeight="1" outlineLevel="1" x14ac:dyDescent="0.25">
      <c r="A489" s="63"/>
      <c r="B489" s="18" t="s">
        <v>9</v>
      </c>
      <c r="C489" s="48" t="s">
        <v>687</v>
      </c>
      <c r="D489" s="48" t="s">
        <v>1215</v>
      </c>
      <c r="E489" s="82">
        <f>E491</f>
        <v>1</v>
      </c>
      <c r="F489" s="18" t="s">
        <v>65</v>
      </c>
      <c r="G489" s="82">
        <f>G491</f>
        <v>0</v>
      </c>
      <c r="H489" s="32">
        <f>H491</f>
        <v>0</v>
      </c>
      <c r="K489" s="96"/>
    </row>
    <row r="490" spans="1:11" ht="20.100000000000001" hidden="1" customHeight="1" outlineLevel="1" x14ac:dyDescent="0.25">
      <c r="A490" s="59" t="s">
        <v>688</v>
      </c>
      <c r="B490" s="3" t="s">
        <v>17</v>
      </c>
      <c r="C490" s="43" t="s">
        <v>689</v>
      </c>
      <c r="D490" s="43" t="s">
        <v>1317</v>
      </c>
      <c r="E490" s="78">
        <v>54.43</v>
      </c>
      <c r="F490" s="3" t="s">
        <v>35</v>
      </c>
      <c r="G490" s="78"/>
      <c r="H490" s="20"/>
      <c r="K490" s="96"/>
    </row>
    <row r="491" spans="1:11" ht="20.100000000000001" hidden="1" customHeight="1" outlineLevel="1" x14ac:dyDescent="0.25">
      <c r="A491" s="52"/>
      <c r="B491" s="9"/>
      <c r="C491" s="44" t="s">
        <v>1316</v>
      </c>
      <c r="D491" s="44" t="s">
        <v>1316</v>
      </c>
      <c r="E491" s="78">
        <v>1</v>
      </c>
      <c r="F491" s="9"/>
      <c r="G491" s="79">
        <f>H490</f>
        <v>0</v>
      </c>
      <c r="H491" s="29">
        <f>ROUND(E491*G491,2)</f>
        <v>0</v>
      </c>
      <c r="K491" s="96"/>
    </row>
    <row r="492" spans="1:11" ht="20.100000000000001" hidden="1" customHeight="1" outlineLevel="1" x14ac:dyDescent="0.25">
      <c r="A492" s="60"/>
      <c r="B492" s="12"/>
      <c r="C492" s="45"/>
      <c r="D492" s="45"/>
      <c r="E492" s="34"/>
      <c r="F492" s="12"/>
      <c r="G492" s="34"/>
      <c r="H492" s="30"/>
      <c r="K492" s="96"/>
    </row>
    <row r="493" spans="1:11" ht="20.100000000000001" hidden="1" customHeight="1" outlineLevel="1" x14ac:dyDescent="0.25">
      <c r="A493" s="52"/>
      <c r="B493" s="9"/>
      <c r="C493" s="44" t="s">
        <v>690</v>
      </c>
      <c r="D493" s="44" t="s">
        <v>690</v>
      </c>
      <c r="E493" s="78">
        <v>1</v>
      </c>
      <c r="F493" s="9"/>
      <c r="G493" s="79">
        <f>H479+H489</f>
        <v>0</v>
      </c>
      <c r="H493" s="29">
        <f>ROUND(E493*G493,2)</f>
        <v>0</v>
      </c>
      <c r="K493" s="96"/>
    </row>
    <row r="494" spans="1:11" ht="20.100000000000001" hidden="1" customHeight="1" outlineLevel="1" x14ac:dyDescent="0.25">
      <c r="A494" s="60"/>
      <c r="B494" s="12"/>
      <c r="C494" s="45"/>
      <c r="D494" s="45"/>
      <c r="E494" s="34"/>
      <c r="F494" s="12"/>
      <c r="G494" s="34"/>
      <c r="H494" s="30"/>
      <c r="K494" s="96"/>
    </row>
    <row r="495" spans="1:11" ht="20.100000000000001" hidden="1" customHeight="1" outlineLevel="1" x14ac:dyDescent="0.25">
      <c r="A495" s="62" t="s">
        <v>691</v>
      </c>
      <c r="B495" s="7" t="s">
        <v>9</v>
      </c>
      <c r="C495" s="47" t="s">
        <v>692</v>
      </c>
      <c r="D495" s="47" t="s">
        <v>1217</v>
      </c>
      <c r="E495" s="81">
        <f>E512</f>
        <v>1</v>
      </c>
      <c r="F495" s="7" t="s">
        <v>10</v>
      </c>
      <c r="G495" s="81">
        <f>G512</f>
        <v>0</v>
      </c>
      <c r="H495" s="21">
        <f>H512</f>
        <v>0</v>
      </c>
      <c r="K495" s="96"/>
    </row>
    <row r="496" spans="1:11" ht="20.100000000000001" hidden="1" customHeight="1" outlineLevel="1" x14ac:dyDescent="0.25">
      <c r="A496" s="63"/>
      <c r="B496" s="18" t="s">
        <v>9</v>
      </c>
      <c r="C496" s="48" t="s">
        <v>408</v>
      </c>
      <c r="D496" s="48" t="s">
        <v>1196</v>
      </c>
      <c r="E496" s="82">
        <f>E503</f>
        <v>1</v>
      </c>
      <c r="F496" s="18" t="s">
        <v>65</v>
      </c>
      <c r="G496" s="82">
        <f>G503</f>
        <v>0</v>
      </c>
      <c r="H496" s="32">
        <f>H503</f>
        <v>0</v>
      </c>
      <c r="K496" s="96"/>
    </row>
    <row r="497" spans="1:11" ht="20.100000000000001" hidden="1" customHeight="1" outlineLevel="1" x14ac:dyDescent="0.25">
      <c r="A497" s="59" t="s">
        <v>693</v>
      </c>
      <c r="B497" s="3" t="s">
        <v>17</v>
      </c>
      <c r="C497" s="43" t="s">
        <v>449</v>
      </c>
      <c r="D497" s="91" t="s">
        <v>1220</v>
      </c>
      <c r="E497" s="78">
        <v>982.58</v>
      </c>
      <c r="F497" s="3" t="s">
        <v>35</v>
      </c>
      <c r="G497" s="78"/>
      <c r="H497" s="20"/>
      <c r="K497" s="96"/>
    </row>
    <row r="498" spans="1:11" ht="20.100000000000001" hidden="1" customHeight="1" outlineLevel="1" x14ac:dyDescent="0.25">
      <c r="A498" s="59" t="s">
        <v>694</v>
      </c>
      <c r="B498" s="3" t="s">
        <v>17</v>
      </c>
      <c r="C498" s="43" t="s">
        <v>451</v>
      </c>
      <c r="D498" s="91" t="s">
        <v>1219</v>
      </c>
      <c r="E498" s="78">
        <v>278.04000000000002</v>
      </c>
      <c r="F498" s="3" t="s">
        <v>35</v>
      </c>
      <c r="G498" s="78"/>
      <c r="H498" s="20"/>
      <c r="K498" s="96"/>
    </row>
    <row r="499" spans="1:11" ht="20.100000000000001" hidden="1" customHeight="1" outlineLevel="1" x14ac:dyDescent="0.25">
      <c r="A499" s="59" t="s">
        <v>695</v>
      </c>
      <c r="B499" s="3" t="s">
        <v>17</v>
      </c>
      <c r="C499" s="43" t="s">
        <v>453</v>
      </c>
      <c r="D499" s="43" t="s">
        <v>1218</v>
      </c>
      <c r="E499" s="78">
        <v>401.94</v>
      </c>
      <c r="F499" s="3" t="s">
        <v>277</v>
      </c>
      <c r="G499" s="78"/>
      <c r="H499" s="20"/>
      <c r="K499" s="96"/>
    </row>
    <row r="500" spans="1:11" ht="20.100000000000001" hidden="1" customHeight="1" outlineLevel="1" x14ac:dyDescent="0.25">
      <c r="A500" s="59" t="s">
        <v>696</v>
      </c>
      <c r="B500" s="3" t="s">
        <v>17</v>
      </c>
      <c r="C500" s="43" t="s">
        <v>455</v>
      </c>
      <c r="D500" s="43" t="s">
        <v>1223</v>
      </c>
      <c r="E500" s="78">
        <v>773.17</v>
      </c>
      <c r="F500" s="3" t="s">
        <v>277</v>
      </c>
      <c r="G500" s="78"/>
      <c r="H500" s="20"/>
      <c r="K500" s="96"/>
    </row>
    <row r="501" spans="1:11" ht="20.100000000000001" hidden="1" customHeight="1" outlineLevel="1" x14ac:dyDescent="0.25">
      <c r="A501" s="59" t="s">
        <v>697</v>
      </c>
      <c r="B501" s="3" t="s">
        <v>17</v>
      </c>
      <c r="C501" s="43" t="s">
        <v>457</v>
      </c>
      <c r="D501" s="43" t="s">
        <v>1221</v>
      </c>
      <c r="E501" s="78">
        <v>10</v>
      </c>
      <c r="F501" s="3" t="s">
        <v>10</v>
      </c>
      <c r="G501" s="78"/>
      <c r="H501" s="20"/>
      <c r="K501" s="96"/>
    </row>
    <row r="502" spans="1:11" ht="20.100000000000001" hidden="1" customHeight="1" outlineLevel="1" x14ac:dyDescent="0.25">
      <c r="A502" s="59" t="s">
        <v>698</v>
      </c>
      <c r="B502" s="3" t="s">
        <v>17</v>
      </c>
      <c r="C502" s="43" t="s">
        <v>459</v>
      </c>
      <c r="D502" s="43" t="s">
        <v>1222</v>
      </c>
      <c r="E502" s="78">
        <v>191.1</v>
      </c>
      <c r="F502" s="3" t="s">
        <v>277</v>
      </c>
      <c r="G502" s="78"/>
      <c r="H502" s="20"/>
      <c r="K502" s="96"/>
    </row>
    <row r="503" spans="1:11" ht="20.100000000000001" hidden="1" customHeight="1" outlineLevel="1" x14ac:dyDescent="0.25">
      <c r="A503" s="52"/>
      <c r="B503" s="9"/>
      <c r="C503" s="44" t="s">
        <v>1318</v>
      </c>
      <c r="D503" s="44" t="s">
        <v>1318</v>
      </c>
      <c r="E503" s="78">
        <v>1</v>
      </c>
      <c r="F503" s="9"/>
      <c r="G503" s="79">
        <f>SUM(H497:H502)</f>
        <v>0</v>
      </c>
      <c r="H503" s="29">
        <f>ROUND(E503*G503,2)</f>
        <v>0</v>
      </c>
      <c r="K503" s="96"/>
    </row>
    <row r="504" spans="1:11" ht="20.100000000000001" hidden="1" customHeight="1" outlineLevel="1" x14ac:dyDescent="0.25">
      <c r="A504" s="60"/>
      <c r="B504" s="12"/>
      <c r="C504" s="45"/>
      <c r="D504" s="45"/>
      <c r="E504" s="34"/>
      <c r="F504" s="12"/>
      <c r="G504" s="34"/>
      <c r="H504" s="30"/>
      <c r="K504" s="96"/>
    </row>
    <row r="505" spans="1:11" ht="20.100000000000001" hidden="1" customHeight="1" outlineLevel="1" x14ac:dyDescent="0.25">
      <c r="A505" s="63"/>
      <c r="B505" s="18" t="s">
        <v>9</v>
      </c>
      <c r="C505" s="48" t="s">
        <v>413</v>
      </c>
      <c r="D505" s="48" t="s">
        <v>1197</v>
      </c>
      <c r="E505" s="82">
        <f>E510</f>
        <v>1</v>
      </c>
      <c r="F505" s="18" t="s">
        <v>65</v>
      </c>
      <c r="G505" s="82">
        <f>G510</f>
        <v>0</v>
      </c>
      <c r="H505" s="32">
        <f>H510</f>
        <v>0</v>
      </c>
      <c r="K505" s="96"/>
    </row>
    <row r="506" spans="1:11" ht="20.100000000000001" hidden="1" customHeight="1" outlineLevel="1" x14ac:dyDescent="0.25">
      <c r="A506" s="59" t="s">
        <v>699</v>
      </c>
      <c r="B506" s="3" t="s">
        <v>17</v>
      </c>
      <c r="C506" s="43" t="s">
        <v>462</v>
      </c>
      <c r="D506" s="43" t="s">
        <v>1226</v>
      </c>
      <c r="E506" s="78">
        <v>488.17</v>
      </c>
      <c r="F506" s="3" t="s">
        <v>35</v>
      </c>
      <c r="G506" s="78"/>
      <c r="H506" s="20"/>
      <c r="K506" s="96"/>
    </row>
    <row r="507" spans="1:11" ht="20.100000000000001" hidden="1" customHeight="1" outlineLevel="1" x14ac:dyDescent="0.25">
      <c r="A507" s="59" t="s">
        <v>700</v>
      </c>
      <c r="B507" s="3" t="s">
        <v>17</v>
      </c>
      <c r="C507" s="43" t="s">
        <v>1237</v>
      </c>
      <c r="D507" s="43" t="s">
        <v>1236</v>
      </c>
      <c r="E507" s="78">
        <v>534.28</v>
      </c>
      <c r="F507" s="3" t="s">
        <v>35</v>
      </c>
      <c r="G507" s="78"/>
      <c r="H507" s="20"/>
      <c r="K507" s="96"/>
    </row>
    <row r="508" spans="1:11" ht="20.100000000000001" hidden="1" customHeight="1" outlineLevel="1" x14ac:dyDescent="0.25">
      <c r="A508" s="59" t="s">
        <v>701</v>
      </c>
      <c r="B508" s="3" t="s">
        <v>17</v>
      </c>
      <c r="C508" s="43" t="s">
        <v>466</v>
      </c>
      <c r="D508" s="91" t="s">
        <v>1228</v>
      </c>
      <c r="E508" s="78">
        <v>76.59</v>
      </c>
      <c r="F508" s="3" t="s">
        <v>277</v>
      </c>
      <c r="G508" s="78"/>
      <c r="H508" s="20"/>
      <c r="K508" s="96"/>
    </row>
    <row r="509" spans="1:11" ht="20.100000000000001" hidden="1" customHeight="1" outlineLevel="1" x14ac:dyDescent="0.25">
      <c r="A509" s="59" t="s">
        <v>702</v>
      </c>
      <c r="B509" s="3" t="s">
        <v>17</v>
      </c>
      <c r="C509" s="43" t="s">
        <v>469</v>
      </c>
      <c r="D509" s="43" t="s">
        <v>1227</v>
      </c>
      <c r="E509" s="78">
        <v>505.09</v>
      </c>
      <c r="F509" s="3" t="s">
        <v>468</v>
      </c>
      <c r="G509" s="78"/>
      <c r="H509" s="20"/>
      <c r="K509" s="96"/>
    </row>
    <row r="510" spans="1:11" ht="20.100000000000001" hidden="1" customHeight="1" outlineLevel="1" x14ac:dyDescent="0.25">
      <c r="A510" s="52"/>
      <c r="B510" s="9"/>
      <c r="C510" s="44" t="s">
        <v>1319</v>
      </c>
      <c r="D510" s="44" t="s">
        <v>1319</v>
      </c>
      <c r="E510" s="78">
        <v>1</v>
      </c>
      <c r="F510" s="9"/>
      <c r="G510" s="79">
        <f>SUM(H506:H509)</f>
        <v>0</v>
      </c>
      <c r="H510" s="29">
        <f>ROUND(E510*G510,2)</f>
        <v>0</v>
      </c>
      <c r="K510" s="96"/>
    </row>
    <row r="511" spans="1:11" ht="20.100000000000001" hidden="1" customHeight="1" outlineLevel="1" x14ac:dyDescent="0.25">
      <c r="A511" s="60"/>
      <c r="B511" s="12"/>
      <c r="C511" s="45"/>
      <c r="D511" s="45"/>
      <c r="E511" s="34"/>
      <c r="F511" s="12"/>
      <c r="G511" s="34"/>
      <c r="H511" s="30"/>
      <c r="K511" s="96"/>
    </row>
    <row r="512" spans="1:11" ht="20.100000000000001" hidden="1" customHeight="1" outlineLevel="1" x14ac:dyDescent="0.25">
      <c r="A512" s="52"/>
      <c r="B512" s="9"/>
      <c r="C512" s="44" t="s">
        <v>703</v>
      </c>
      <c r="D512" s="44" t="s">
        <v>703</v>
      </c>
      <c r="E512" s="78">
        <v>1</v>
      </c>
      <c r="F512" s="9"/>
      <c r="G512" s="79">
        <f>H496+H505</f>
        <v>0</v>
      </c>
      <c r="H512" s="29">
        <f>ROUND(E512*G512,2)</f>
        <v>0</v>
      </c>
      <c r="K512" s="96"/>
    </row>
    <row r="513" spans="1:11" ht="20.100000000000001" hidden="1" customHeight="1" outlineLevel="1" x14ac:dyDescent="0.25">
      <c r="A513" s="60"/>
      <c r="B513" s="12"/>
      <c r="C513" s="45"/>
      <c r="D513" s="45"/>
      <c r="E513" s="34"/>
      <c r="F513" s="12"/>
      <c r="G513" s="34"/>
      <c r="H513" s="30"/>
      <c r="K513" s="96"/>
    </row>
    <row r="514" spans="1:11" ht="20.100000000000001" hidden="1" customHeight="1" outlineLevel="1" x14ac:dyDescent="0.25">
      <c r="A514" s="62" t="s">
        <v>704</v>
      </c>
      <c r="B514" s="7" t="s">
        <v>9</v>
      </c>
      <c r="C514" s="47" t="s">
        <v>472</v>
      </c>
      <c r="D514" s="47" t="s">
        <v>1229</v>
      </c>
      <c r="E514" s="81">
        <f>E540</f>
        <v>1</v>
      </c>
      <c r="F514" s="7" t="s">
        <v>10</v>
      </c>
      <c r="G514" s="81">
        <f>G540</f>
        <v>0</v>
      </c>
      <c r="H514" s="21">
        <f>H540</f>
        <v>0</v>
      </c>
      <c r="K514" s="96"/>
    </row>
    <row r="515" spans="1:11" ht="20.100000000000001" hidden="1" customHeight="1" outlineLevel="1" x14ac:dyDescent="0.25">
      <c r="A515" s="63"/>
      <c r="B515" s="18" t="s">
        <v>9</v>
      </c>
      <c r="C515" s="48" t="s">
        <v>705</v>
      </c>
      <c r="D515" s="48" t="s">
        <v>1230</v>
      </c>
      <c r="E515" s="82">
        <f>E528</f>
        <v>1</v>
      </c>
      <c r="F515" s="18" t="s">
        <v>65</v>
      </c>
      <c r="G515" s="82">
        <f>G528</f>
        <v>0</v>
      </c>
      <c r="H515" s="32">
        <f>H528</f>
        <v>0</v>
      </c>
      <c r="K515" s="96"/>
    </row>
    <row r="516" spans="1:11" ht="20.100000000000001" hidden="1" customHeight="1" outlineLevel="1" x14ac:dyDescent="0.25">
      <c r="A516" s="59" t="s">
        <v>706</v>
      </c>
      <c r="B516" s="3" t="s">
        <v>17</v>
      </c>
      <c r="C516" s="43" t="s">
        <v>686</v>
      </c>
      <c r="D516" s="43" t="s">
        <v>686</v>
      </c>
      <c r="E516" s="78">
        <v>27.83</v>
      </c>
      <c r="F516" s="3" t="s">
        <v>35</v>
      </c>
      <c r="G516" s="78"/>
      <c r="H516" s="20"/>
      <c r="K516" s="96"/>
    </row>
    <row r="517" spans="1:11" ht="20.100000000000001" hidden="1" customHeight="1" outlineLevel="1" x14ac:dyDescent="0.25">
      <c r="A517" s="59" t="s">
        <v>707</v>
      </c>
      <c r="B517" s="3" t="s">
        <v>17</v>
      </c>
      <c r="C517" s="43" t="s">
        <v>708</v>
      </c>
      <c r="D517" s="43" t="s">
        <v>708</v>
      </c>
      <c r="E517" s="78">
        <v>7.66</v>
      </c>
      <c r="F517" s="3" t="s">
        <v>35</v>
      </c>
      <c r="G517" s="78"/>
      <c r="H517" s="20"/>
      <c r="K517" s="96"/>
    </row>
    <row r="518" spans="1:11" ht="20.100000000000001" hidden="1" customHeight="1" outlineLevel="1" x14ac:dyDescent="0.25">
      <c r="A518" s="59" t="s">
        <v>709</v>
      </c>
      <c r="B518" s="3" t="s">
        <v>17</v>
      </c>
      <c r="C518" s="43" t="s">
        <v>710</v>
      </c>
      <c r="D518" s="43" t="s">
        <v>710</v>
      </c>
      <c r="E518" s="78">
        <v>15.64</v>
      </c>
      <c r="F518" s="3" t="s">
        <v>35</v>
      </c>
      <c r="G518" s="78"/>
      <c r="H518" s="20"/>
      <c r="K518" s="96"/>
    </row>
    <row r="519" spans="1:11" ht="20.100000000000001" hidden="1" customHeight="1" outlineLevel="1" x14ac:dyDescent="0.25">
      <c r="A519" s="59" t="s">
        <v>711</v>
      </c>
      <c r="B519" s="3" t="s">
        <v>17</v>
      </c>
      <c r="C519" s="43" t="s">
        <v>712</v>
      </c>
      <c r="D519" s="43" t="s">
        <v>712</v>
      </c>
      <c r="E519" s="78">
        <v>34.36</v>
      </c>
      <c r="F519" s="3" t="s">
        <v>35</v>
      </c>
      <c r="G519" s="78"/>
      <c r="H519" s="20"/>
      <c r="K519" s="96"/>
    </row>
    <row r="520" spans="1:11" ht="20.100000000000001" hidden="1" customHeight="1" outlineLevel="1" x14ac:dyDescent="0.25">
      <c r="A520" s="59" t="s">
        <v>713</v>
      </c>
      <c r="B520" s="3" t="s">
        <v>17</v>
      </c>
      <c r="C520" s="43" t="s">
        <v>714</v>
      </c>
      <c r="D520" s="43" t="s">
        <v>714</v>
      </c>
      <c r="E520" s="78">
        <v>9.9499999999999993</v>
      </c>
      <c r="F520" s="3" t="s">
        <v>35</v>
      </c>
      <c r="G520" s="78"/>
      <c r="H520" s="20"/>
      <c r="K520" s="96"/>
    </row>
    <row r="521" spans="1:11" ht="20.100000000000001" hidden="1" customHeight="1" outlineLevel="1" x14ac:dyDescent="0.25">
      <c r="A521" s="59" t="s">
        <v>715</v>
      </c>
      <c r="B521" s="3" t="s">
        <v>17</v>
      </c>
      <c r="C521" s="43" t="s">
        <v>689</v>
      </c>
      <c r="D521" s="43" t="s">
        <v>1317</v>
      </c>
      <c r="E521" s="78">
        <v>63.32</v>
      </c>
      <c r="F521" s="3" t="s">
        <v>35</v>
      </c>
      <c r="G521" s="78"/>
      <c r="H521" s="20"/>
      <c r="K521" s="96"/>
    </row>
    <row r="522" spans="1:11" ht="20.100000000000001" hidden="1" customHeight="1" outlineLevel="1" x14ac:dyDescent="0.25">
      <c r="A522" s="59" t="s">
        <v>716</v>
      </c>
      <c r="B522" s="3" t="s">
        <v>17</v>
      </c>
      <c r="C522" s="43" t="s">
        <v>717</v>
      </c>
      <c r="D522" s="97" t="s">
        <v>1313</v>
      </c>
      <c r="E522" s="78">
        <v>27.72</v>
      </c>
      <c r="F522" s="3" t="s">
        <v>35</v>
      </c>
      <c r="G522" s="78"/>
      <c r="H522" s="20"/>
      <c r="K522" s="96"/>
    </row>
    <row r="523" spans="1:11" ht="20.100000000000001" hidden="1" customHeight="1" outlineLevel="1" x14ac:dyDescent="0.25">
      <c r="A523" s="59" t="s">
        <v>718</v>
      </c>
      <c r="B523" s="3" t="s">
        <v>17</v>
      </c>
      <c r="C523" s="43" t="s">
        <v>680</v>
      </c>
      <c r="D523" s="43" t="s">
        <v>680</v>
      </c>
      <c r="E523" s="78">
        <v>21.18</v>
      </c>
      <c r="F523" s="3" t="s">
        <v>35</v>
      </c>
      <c r="G523" s="78"/>
      <c r="H523" s="20"/>
      <c r="K523" s="96"/>
    </row>
    <row r="524" spans="1:11" ht="20.100000000000001" hidden="1" customHeight="1" outlineLevel="1" x14ac:dyDescent="0.25">
      <c r="A524" s="59" t="s">
        <v>719</v>
      </c>
      <c r="B524" s="3" t="s">
        <v>17</v>
      </c>
      <c r="C524" s="43" t="s">
        <v>720</v>
      </c>
      <c r="D524" s="43" t="s">
        <v>720</v>
      </c>
      <c r="E524" s="78">
        <v>5.9</v>
      </c>
      <c r="F524" s="3" t="s">
        <v>35</v>
      </c>
      <c r="G524" s="78"/>
      <c r="H524" s="20"/>
      <c r="K524" s="96"/>
    </row>
    <row r="525" spans="1:11" ht="20.100000000000001" hidden="1" customHeight="1" outlineLevel="1" x14ac:dyDescent="0.25">
      <c r="A525" s="59" t="s">
        <v>721</v>
      </c>
      <c r="B525" s="3" t="s">
        <v>17</v>
      </c>
      <c r="C525" s="43" t="s">
        <v>684</v>
      </c>
      <c r="D525" s="43" t="s">
        <v>684</v>
      </c>
      <c r="E525" s="78">
        <v>33.68</v>
      </c>
      <c r="F525" s="3" t="s">
        <v>35</v>
      </c>
      <c r="G525" s="78"/>
      <c r="H525" s="20"/>
      <c r="K525" s="96"/>
    </row>
    <row r="526" spans="1:11" ht="20.100000000000001" hidden="1" customHeight="1" outlineLevel="1" x14ac:dyDescent="0.25">
      <c r="A526" s="59" t="s">
        <v>722</v>
      </c>
      <c r="B526" s="3" t="s">
        <v>17</v>
      </c>
      <c r="C526" s="43" t="s">
        <v>723</v>
      </c>
      <c r="D526" s="43" t="s">
        <v>723</v>
      </c>
      <c r="E526" s="78">
        <v>6.72</v>
      </c>
      <c r="F526" s="3" t="s">
        <v>35</v>
      </c>
      <c r="G526" s="78"/>
      <c r="H526" s="20"/>
      <c r="K526" s="96"/>
    </row>
    <row r="527" spans="1:11" ht="20.100000000000001" hidden="1" customHeight="1" outlineLevel="1" x14ac:dyDescent="0.25">
      <c r="A527" s="59" t="s">
        <v>724</v>
      </c>
      <c r="B527" s="3" t="s">
        <v>17</v>
      </c>
      <c r="C527" s="43" t="s">
        <v>493</v>
      </c>
      <c r="D527" s="43" t="s">
        <v>493</v>
      </c>
      <c r="E527" s="78">
        <v>102.28</v>
      </c>
      <c r="F527" s="3" t="s">
        <v>35</v>
      </c>
      <c r="G527" s="78"/>
      <c r="H527" s="20"/>
      <c r="K527" s="96"/>
    </row>
    <row r="528" spans="1:11" ht="20.100000000000001" hidden="1" customHeight="1" outlineLevel="1" x14ac:dyDescent="0.25">
      <c r="A528" s="52"/>
      <c r="B528" s="9"/>
      <c r="C528" s="44" t="s">
        <v>1320</v>
      </c>
      <c r="D528" s="44" t="s">
        <v>1320</v>
      </c>
      <c r="E528" s="78">
        <v>1</v>
      </c>
      <c r="F528" s="9"/>
      <c r="G528" s="79">
        <f>SUM(H516:H527)</f>
        <v>0</v>
      </c>
      <c r="H528" s="29">
        <f>ROUND(E528*G528,2)</f>
        <v>0</v>
      </c>
      <c r="K528" s="96"/>
    </row>
    <row r="529" spans="1:11" ht="20.100000000000001" hidden="1" customHeight="1" outlineLevel="1" x14ac:dyDescent="0.25">
      <c r="A529" s="60"/>
      <c r="B529" s="12"/>
      <c r="C529" s="45"/>
      <c r="D529" s="45"/>
      <c r="E529" s="34"/>
      <c r="F529" s="12"/>
      <c r="G529" s="34"/>
      <c r="H529" s="30"/>
      <c r="K529" s="96"/>
    </row>
    <row r="530" spans="1:11" ht="20.100000000000001" hidden="1" customHeight="1" outlineLevel="1" x14ac:dyDescent="0.25">
      <c r="A530" s="63"/>
      <c r="B530" s="18" t="s">
        <v>9</v>
      </c>
      <c r="C530" s="48" t="s">
        <v>526</v>
      </c>
      <c r="D530" s="48" t="s">
        <v>1247</v>
      </c>
      <c r="E530" s="82">
        <f>E533</f>
        <v>1</v>
      </c>
      <c r="F530" s="18" t="s">
        <v>65</v>
      </c>
      <c r="G530" s="82">
        <f>G533</f>
        <v>0</v>
      </c>
      <c r="H530" s="32">
        <f>H533</f>
        <v>0</v>
      </c>
      <c r="K530" s="96"/>
    </row>
    <row r="531" spans="1:11" ht="20.100000000000001" hidden="1" customHeight="1" outlineLevel="1" x14ac:dyDescent="0.25">
      <c r="A531" s="59" t="s">
        <v>529</v>
      </c>
      <c r="B531" s="3" t="s">
        <v>17</v>
      </c>
      <c r="C531" s="43" t="s">
        <v>530</v>
      </c>
      <c r="D531" s="43" t="s">
        <v>1268</v>
      </c>
      <c r="E531" s="78">
        <v>160.49</v>
      </c>
      <c r="F531" s="3" t="s">
        <v>277</v>
      </c>
      <c r="G531" s="78"/>
      <c r="H531" s="20"/>
      <c r="K531" s="96"/>
    </row>
    <row r="532" spans="1:11" ht="20.100000000000001" hidden="1" customHeight="1" outlineLevel="1" x14ac:dyDescent="0.25">
      <c r="A532" s="59" t="s">
        <v>531</v>
      </c>
      <c r="B532" s="3" t="s">
        <v>17</v>
      </c>
      <c r="C532" s="43" t="s">
        <v>532</v>
      </c>
      <c r="D532" s="43" t="s">
        <v>1269</v>
      </c>
      <c r="E532" s="78">
        <v>12.93</v>
      </c>
      <c r="F532" s="3" t="s">
        <v>277</v>
      </c>
      <c r="G532" s="78"/>
      <c r="H532" s="20"/>
      <c r="K532" s="96"/>
    </row>
    <row r="533" spans="1:11" ht="20.100000000000001" hidden="1" customHeight="1" outlineLevel="1" x14ac:dyDescent="0.25">
      <c r="A533" s="52"/>
      <c r="B533" s="9"/>
      <c r="C533" s="44" t="s">
        <v>1321</v>
      </c>
      <c r="D533" s="44" t="s">
        <v>1321</v>
      </c>
      <c r="E533" s="78">
        <v>1</v>
      </c>
      <c r="F533" s="9"/>
      <c r="G533" s="79">
        <f>SUM(H531:H532)</f>
        <v>0</v>
      </c>
      <c r="H533" s="29">
        <f>ROUND(E533*G533,2)</f>
        <v>0</v>
      </c>
      <c r="K533" s="96"/>
    </row>
    <row r="534" spans="1:11" ht="20.100000000000001" hidden="1" customHeight="1" outlineLevel="1" x14ac:dyDescent="0.25">
      <c r="A534" s="60"/>
      <c r="B534" s="12"/>
      <c r="C534" s="45"/>
      <c r="D534" s="45"/>
      <c r="E534" s="34"/>
      <c r="F534" s="12"/>
      <c r="G534" s="34"/>
      <c r="H534" s="30"/>
      <c r="K534" s="96"/>
    </row>
    <row r="535" spans="1:11" ht="20.100000000000001" hidden="1" customHeight="1" outlineLevel="1" x14ac:dyDescent="0.25">
      <c r="A535" s="63"/>
      <c r="B535" s="18" t="s">
        <v>9</v>
      </c>
      <c r="C535" s="48" t="s">
        <v>538</v>
      </c>
      <c r="D535" s="48" t="s">
        <v>1249</v>
      </c>
      <c r="E535" s="82">
        <f>E538</f>
        <v>1</v>
      </c>
      <c r="F535" s="18" t="s">
        <v>65</v>
      </c>
      <c r="G535" s="82">
        <f>G538</f>
        <v>0</v>
      </c>
      <c r="H535" s="32">
        <f>H538</f>
        <v>0</v>
      </c>
      <c r="K535" s="96"/>
    </row>
    <row r="536" spans="1:11" ht="20.100000000000001" hidden="1" customHeight="1" outlineLevel="1" x14ac:dyDescent="0.25">
      <c r="A536" s="59" t="s">
        <v>725</v>
      </c>
      <c r="B536" s="3" t="s">
        <v>17</v>
      </c>
      <c r="C536" s="43" t="s">
        <v>538</v>
      </c>
      <c r="D536" s="43" t="s">
        <v>1250</v>
      </c>
      <c r="E536" s="78">
        <v>27.15</v>
      </c>
      <c r="F536" s="3" t="s">
        <v>277</v>
      </c>
      <c r="G536" s="78"/>
      <c r="H536" s="20"/>
      <c r="K536" s="96"/>
    </row>
    <row r="537" spans="1:11" ht="20.100000000000001" hidden="1" customHeight="1" outlineLevel="1" x14ac:dyDescent="0.25">
      <c r="A537" s="59" t="s">
        <v>726</v>
      </c>
      <c r="B537" s="3" t="s">
        <v>17</v>
      </c>
      <c r="C537" s="43" t="s">
        <v>544</v>
      </c>
      <c r="D537" s="43" t="s">
        <v>1253</v>
      </c>
      <c r="E537" s="78">
        <v>53.1</v>
      </c>
      <c r="F537" s="3" t="s">
        <v>277</v>
      </c>
      <c r="G537" s="78"/>
      <c r="H537" s="20"/>
      <c r="K537" s="96"/>
    </row>
    <row r="538" spans="1:11" ht="20.100000000000001" hidden="1" customHeight="1" outlineLevel="1" x14ac:dyDescent="0.25">
      <c r="A538" s="52"/>
      <c r="B538" s="9"/>
      <c r="C538" s="44" t="s">
        <v>1322</v>
      </c>
      <c r="D538" s="44" t="s">
        <v>1322</v>
      </c>
      <c r="E538" s="78">
        <v>1</v>
      </c>
      <c r="F538" s="9"/>
      <c r="G538" s="79">
        <f>SUM(H536:H537)</f>
        <v>0</v>
      </c>
      <c r="H538" s="29">
        <f>ROUND(E538*G538,2)</f>
        <v>0</v>
      </c>
      <c r="K538" s="96"/>
    </row>
    <row r="539" spans="1:11" ht="20.100000000000001" hidden="1" customHeight="1" outlineLevel="1" x14ac:dyDescent="0.25">
      <c r="A539" s="60"/>
      <c r="B539" s="12"/>
      <c r="C539" s="45"/>
      <c r="D539" s="45"/>
      <c r="E539" s="34"/>
      <c r="F539" s="12"/>
      <c r="G539" s="34"/>
      <c r="H539" s="30"/>
      <c r="K539" s="96"/>
    </row>
    <row r="540" spans="1:11" ht="20.100000000000001" hidden="1" customHeight="1" outlineLevel="1" x14ac:dyDescent="0.25">
      <c r="A540" s="52"/>
      <c r="B540" s="9"/>
      <c r="C540" s="44" t="s">
        <v>727</v>
      </c>
      <c r="D540" s="44" t="s">
        <v>727</v>
      </c>
      <c r="E540" s="78">
        <v>1</v>
      </c>
      <c r="F540" s="9"/>
      <c r="G540" s="79">
        <f>H515+H530+H535</f>
        <v>0</v>
      </c>
      <c r="H540" s="29">
        <f>ROUND(E540*G540,2)</f>
        <v>0</v>
      </c>
      <c r="K540" s="96"/>
    </row>
    <row r="541" spans="1:11" ht="20.100000000000001" hidden="1" customHeight="1" outlineLevel="1" x14ac:dyDescent="0.25">
      <c r="A541" s="60"/>
      <c r="B541" s="12"/>
      <c r="C541" s="45"/>
      <c r="D541" s="45"/>
      <c r="E541" s="34"/>
      <c r="F541" s="12"/>
      <c r="G541" s="34"/>
      <c r="H541" s="30"/>
      <c r="K541" s="96"/>
    </row>
    <row r="542" spans="1:11" ht="39.950000000000003" hidden="1" customHeight="1" outlineLevel="1" x14ac:dyDescent="0.25">
      <c r="A542" s="62" t="s">
        <v>728</v>
      </c>
      <c r="B542" s="7" t="s">
        <v>9</v>
      </c>
      <c r="C542" s="47" t="s">
        <v>729</v>
      </c>
      <c r="D542" s="47" t="s">
        <v>1260</v>
      </c>
      <c r="E542" s="81">
        <f>E546</f>
        <v>1</v>
      </c>
      <c r="F542" s="7" t="s">
        <v>10</v>
      </c>
      <c r="G542" s="81">
        <f>G546</f>
        <v>0</v>
      </c>
      <c r="H542" s="21">
        <f>H546</f>
        <v>0</v>
      </c>
      <c r="K542" s="96"/>
    </row>
    <row r="543" spans="1:11" ht="20.100000000000001" hidden="1" customHeight="1" outlineLevel="1" x14ac:dyDescent="0.25">
      <c r="A543" s="59" t="s">
        <v>730</v>
      </c>
      <c r="B543" s="3" t="s">
        <v>17</v>
      </c>
      <c r="C543" s="43" t="s">
        <v>731</v>
      </c>
      <c r="D543" s="91" t="s">
        <v>1262</v>
      </c>
      <c r="E543" s="78">
        <v>111.38</v>
      </c>
      <c r="F543" s="3" t="s">
        <v>35</v>
      </c>
      <c r="G543" s="78"/>
      <c r="H543" s="20"/>
      <c r="K543" s="96"/>
    </row>
    <row r="544" spans="1:11" ht="20.100000000000001" hidden="1" customHeight="1" outlineLevel="1" x14ac:dyDescent="0.25">
      <c r="A544" s="59" t="s">
        <v>732</v>
      </c>
      <c r="B544" s="3" t="s">
        <v>17</v>
      </c>
      <c r="C544" s="43" t="s">
        <v>733</v>
      </c>
      <c r="D544" s="91" t="s">
        <v>1263</v>
      </c>
      <c r="E544" s="78">
        <v>84.52</v>
      </c>
      <c r="F544" s="3" t="s">
        <v>35</v>
      </c>
      <c r="G544" s="78"/>
      <c r="H544" s="20"/>
      <c r="K544" s="96"/>
    </row>
    <row r="545" spans="1:11" ht="20.100000000000001" hidden="1" customHeight="1" outlineLevel="1" x14ac:dyDescent="0.25">
      <c r="A545" s="59" t="s">
        <v>734</v>
      </c>
      <c r="B545" s="3" t="s">
        <v>17</v>
      </c>
      <c r="C545" s="43" t="s">
        <v>735</v>
      </c>
      <c r="D545" s="91" t="s">
        <v>1264</v>
      </c>
      <c r="E545" s="78">
        <v>19</v>
      </c>
      <c r="F545" s="3" t="s">
        <v>35</v>
      </c>
      <c r="G545" s="78"/>
      <c r="H545" s="20"/>
      <c r="K545" s="96"/>
    </row>
    <row r="546" spans="1:11" ht="20.100000000000001" hidden="1" customHeight="1" outlineLevel="1" x14ac:dyDescent="0.25">
      <c r="A546" s="52"/>
      <c r="B546" s="9"/>
      <c r="C546" s="44" t="s">
        <v>736</v>
      </c>
      <c r="D546" s="44"/>
      <c r="E546" s="78">
        <v>1</v>
      </c>
      <c r="F546" s="9"/>
      <c r="G546" s="79">
        <f>SUM(H543:H545)</f>
        <v>0</v>
      </c>
      <c r="H546" s="29">
        <f>ROUND(E546*G546,2)</f>
        <v>0</v>
      </c>
      <c r="K546" s="96"/>
    </row>
    <row r="547" spans="1:11" ht="20.100000000000001" hidden="1" customHeight="1" outlineLevel="1" x14ac:dyDescent="0.25">
      <c r="A547" s="60"/>
      <c r="B547" s="12"/>
      <c r="C547" s="45"/>
      <c r="D547" s="45"/>
      <c r="E547" s="34"/>
      <c r="F547" s="12"/>
      <c r="G547" s="34"/>
      <c r="H547" s="30"/>
      <c r="K547" s="96"/>
    </row>
    <row r="548" spans="1:11" ht="20.100000000000001" hidden="1" customHeight="1" outlineLevel="1" x14ac:dyDescent="0.25">
      <c r="A548" s="62" t="s">
        <v>737</v>
      </c>
      <c r="B548" s="7" t="s">
        <v>9</v>
      </c>
      <c r="C548" s="47" t="s">
        <v>567</v>
      </c>
      <c r="D548" s="47" t="s">
        <v>1270</v>
      </c>
      <c r="E548" s="81">
        <f>E561</f>
        <v>1</v>
      </c>
      <c r="F548" s="7" t="s">
        <v>10</v>
      </c>
      <c r="G548" s="81">
        <f>G561</f>
        <v>0</v>
      </c>
      <c r="H548" s="21">
        <f>H561</f>
        <v>0</v>
      </c>
      <c r="K548" s="96"/>
    </row>
    <row r="549" spans="1:11" ht="20.100000000000001" hidden="1" customHeight="1" outlineLevel="1" x14ac:dyDescent="0.25">
      <c r="A549" s="63"/>
      <c r="B549" s="18" t="s">
        <v>9</v>
      </c>
      <c r="C549" s="48" t="s">
        <v>568</v>
      </c>
      <c r="D549" s="48" t="s">
        <v>1271</v>
      </c>
      <c r="E549" s="82">
        <f>E551</f>
        <v>1</v>
      </c>
      <c r="F549" s="18" t="s">
        <v>65</v>
      </c>
      <c r="G549" s="82">
        <f>G551</f>
        <v>0</v>
      </c>
      <c r="H549" s="32">
        <f>H551</f>
        <v>0</v>
      </c>
      <c r="K549" s="96"/>
    </row>
    <row r="550" spans="1:11" ht="20.100000000000001" hidden="1" customHeight="1" outlineLevel="1" x14ac:dyDescent="0.25">
      <c r="A550" s="59" t="s">
        <v>738</v>
      </c>
      <c r="B550" s="3" t="s">
        <v>17</v>
      </c>
      <c r="C550" s="43" t="s">
        <v>570</v>
      </c>
      <c r="D550" s="43" t="s">
        <v>1272</v>
      </c>
      <c r="E550" s="78">
        <v>24.23</v>
      </c>
      <c r="F550" s="3" t="s">
        <v>18</v>
      </c>
      <c r="G550" s="78"/>
      <c r="H550" s="20"/>
      <c r="K550" s="96"/>
    </row>
    <row r="551" spans="1:11" ht="20.100000000000001" hidden="1" customHeight="1" outlineLevel="1" x14ac:dyDescent="0.25">
      <c r="A551" s="52"/>
      <c r="B551" s="9"/>
      <c r="C551" s="44" t="s">
        <v>1323</v>
      </c>
      <c r="D551" s="44" t="s">
        <v>1323</v>
      </c>
      <c r="E551" s="78">
        <v>1</v>
      </c>
      <c r="F551" s="9"/>
      <c r="G551" s="79">
        <f>H550</f>
        <v>0</v>
      </c>
      <c r="H551" s="29">
        <f>ROUND(E551*G551,2)</f>
        <v>0</v>
      </c>
      <c r="K551" s="96"/>
    </row>
    <row r="552" spans="1:11" ht="20.100000000000001" hidden="1" customHeight="1" outlineLevel="1" x14ac:dyDescent="0.25">
      <c r="A552" s="60"/>
      <c r="B552" s="12"/>
      <c r="C552" s="45"/>
      <c r="D552" s="45"/>
      <c r="E552" s="34"/>
      <c r="F552" s="12"/>
      <c r="G552" s="34"/>
      <c r="H552" s="30"/>
      <c r="K552" s="96"/>
    </row>
    <row r="553" spans="1:11" ht="20.100000000000001" hidden="1" customHeight="1" outlineLevel="1" x14ac:dyDescent="0.25">
      <c r="A553" s="63"/>
      <c r="B553" s="18" t="s">
        <v>9</v>
      </c>
      <c r="C553" s="48" t="s">
        <v>739</v>
      </c>
      <c r="D553" s="48" t="s">
        <v>1273</v>
      </c>
      <c r="E553" s="82">
        <f>E559</f>
        <v>1</v>
      </c>
      <c r="F553" s="18" t="s">
        <v>65</v>
      </c>
      <c r="G553" s="82">
        <f>G559</f>
        <v>0</v>
      </c>
      <c r="H553" s="32">
        <f>H559</f>
        <v>0</v>
      </c>
      <c r="K553" s="96"/>
    </row>
    <row r="554" spans="1:11" ht="20.100000000000001" hidden="1" customHeight="1" outlineLevel="1" x14ac:dyDescent="0.25">
      <c r="A554" s="59" t="s">
        <v>740</v>
      </c>
      <c r="B554" s="3" t="s">
        <v>17</v>
      </c>
      <c r="C554" s="43" t="s">
        <v>579</v>
      </c>
      <c r="D554" s="43" t="s">
        <v>1324</v>
      </c>
      <c r="E554" s="78">
        <v>51.53</v>
      </c>
      <c r="F554" s="3" t="s">
        <v>18</v>
      </c>
      <c r="G554" s="78"/>
      <c r="H554" s="20"/>
      <c r="K554" s="96"/>
    </row>
    <row r="555" spans="1:11" ht="20.100000000000001" hidden="1" customHeight="1" outlineLevel="1" x14ac:dyDescent="0.25">
      <c r="A555" s="59" t="s">
        <v>741</v>
      </c>
      <c r="B555" s="3" t="s">
        <v>17</v>
      </c>
      <c r="C555" s="43" t="s">
        <v>575</v>
      </c>
      <c r="D555" s="43" t="s">
        <v>1277</v>
      </c>
      <c r="E555" s="78">
        <v>102.54</v>
      </c>
      <c r="F555" s="3" t="s">
        <v>18</v>
      </c>
      <c r="G555" s="78"/>
      <c r="H555" s="20"/>
      <c r="K555" s="96"/>
    </row>
    <row r="556" spans="1:11" ht="20.100000000000001" hidden="1" customHeight="1" outlineLevel="1" x14ac:dyDescent="0.25">
      <c r="A556" s="59" t="s">
        <v>742</v>
      </c>
      <c r="B556" s="3" t="s">
        <v>17</v>
      </c>
      <c r="C556" s="43" t="s">
        <v>573</v>
      </c>
      <c r="D556" s="43" t="s">
        <v>1275</v>
      </c>
      <c r="E556" s="78">
        <v>19</v>
      </c>
      <c r="F556" s="3" t="s">
        <v>18</v>
      </c>
      <c r="G556" s="78"/>
      <c r="H556" s="20"/>
      <c r="K556" s="96"/>
    </row>
    <row r="557" spans="1:11" ht="20.100000000000001" hidden="1" customHeight="1" outlineLevel="1" x14ac:dyDescent="0.25">
      <c r="A557" s="59" t="s">
        <v>743</v>
      </c>
      <c r="B557" s="3" t="s">
        <v>17</v>
      </c>
      <c r="C557" s="43" t="s">
        <v>744</v>
      </c>
      <c r="D557" s="91" t="s">
        <v>1274</v>
      </c>
      <c r="E557" s="78">
        <v>4</v>
      </c>
      <c r="F557" s="3" t="s">
        <v>10</v>
      </c>
      <c r="G557" s="78"/>
      <c r="H557" s="20"/>
      <c r="K557" s="96"/>
    </row>
    <row r="558" spans="1:11" ht="20.100000000000001" hidden="1" customHeight="1" outlineLevel="1" x14ac:dyDescent="0.25">
      <c r="A558" s="59" t="s">
        <v>745</v>
      </c>
      <c r="B558" s="3" t="s">
        <v>17</v>
      </c>
      <c r="C558" s="43" t="s">
        <v>746</v>
      </c>
      <c r="D558" s="43" t="s">
        <v>1325</v>
      </c>
      <c r="E558" s="78">
        <v>1</v>
      </c>
      <c r="F558" s="3" t="s">
        <v>10</v>
      </c>
      <c r="G558" s="78"/>
      <c r="H558" s="20"/>
      <c r="K558" s="96"/>
    </row>
    <row r="559" spans="1:11" ht="20.100000000000001" hidden="1" customHeight="1" outlineLevel="1" x14ac:dyDescent="0.25">
      <c r="A559" s="52"/>
      <c r="B559" s="9"/>
      <c r="C559" s="44" t="s">
        <v>1326</v>
      </c>
      <c r="D559" s="44" t="s">
        <v>1326</v>
      </c>
      <c r="E559" s="78">
        <v>1</v>
      </c>
      <c r="F559" s="9"/>
      <c r="G559" s="79">
        <f>SUM(H554:H558)</f>
        <v>0</v>
      </c>
      <c r="H559" s="29">
        <f>ROUND(E559*G559,2)</f>
        <v>0</v>
      </c>
      <c r="K559" s="96"/>
    </row>
    <row r="560" spans="1:11" ht="20.100000000000001" hidden="1" customHeight="1" outlineLevel="1" x14ac:dyDescent="0.25">
      <c r="A560" s="60"/>
      <c r="B560" s="12"/>
      <c r="C560" s="45"/>
      <c r="D560" s="45"/>
      <c r="E560" s="34"/>
      <c r="F560" s="12"/>
      <c r="G560" s="34"/>
      <c r="H560" s="30"/>
      <c r="K560" s="96"/>
    </row>
    <row r="561" spans="1:11" ht="20.100000000000001" hidden="1" customHeight="1" outlineLevel="1" x14ac:dyDescent="0.25">
      <c r="A561" s="52"/>
      <c r="B561" s="9"/>
      <c r="C561" s="44" t="s">
        <v>747</v>
      </c>
      <c r="D561" s="44"/>
      <c r="E561" s="78">
        <v>1</v>
      </c>
      <c r="F561" s="9"/>
      <c r="G561" s="79">
        <f>H549+H553</f>
        <v>0</v>
      </c>
      <c r="H561" s="29">
        <f>ROUND(E561*G561,2)</f>
        <v>0</v>
      </c>
      <c r="I561" s="8"/>
      <c r="J561" s="8"/>
      <c r="K561" s="96"/>
    </row>
    <row r="562" spans="1:11" ht="20.100000000000001" hidden="1" customHeight="1" outlineLevel="1" x14ac:dyDescent="0.25">
      <c r="A562" s="60"/>
      <c r="B562" s="12"/>
      <c r="C562" s="45"/>
      <c r="D562" s="45"/>
      <c r="E562" s="34"/>
      <c r="F562" s="12"/>
      <c r="G562" s="34"/>
      <c r="H562" s="30"/>
      <c r="K562" s="96"/>
    </row>
    <row r="563" spans="1:11" ht="20.100000000000001" hidden="1" customHeight="1" outlineLevel="1" x14ac:dyDescent="0.25">
      <c r="A563" s="62" t="s">
        <v>748</v>
      </c>
      <c r="B563" s="7" t="s">
        <v>9</v>
      </c>
      <c r="C563" s="47" t="s">
        <v>749</v>
      </c>
      <c r="D563" s="47" t="s">
        <v>1278</v>
      </c>
      <c r="E563" s="81">
        <f>E582</f>
        <v>1</v>
      </c>
      <c r="F563" s="7" t="s">
        <v>10</v>
      </c>
      <c r="G563" s="81">
        <f>G582</f>
        <v>0</v>
      </c>
      <c r="H563" s="21">
        <f>H582</f>
        <v>0</v>
      </c>
      <c r="K563" s="96"/>
    </row>
    <row r="564" spans="1:11" ht="20.100000000000001" hidden="1" customHeight="1" outlineLevel="1" x14ac:dyDescent="0.25">
      <c r="A564" s="65"/>
      <c r="B564" s="19" t="s">
        <v>9</v>
      </c>
      <c r="C564" s="44" t="s">
        <v>750</v>
      </c>
      <c r="D564" s="44" t="s">
        <v>1280</v>
      </c>
      <c r="E564" s="79">
        <f>E573</f>
        <v>1</v>
      </c>
      <c r="F564" s="19" t="s">
        <v>433</v>
      </c>
      <c r="G564" s="79">
        <f>G573</f>
        <v>0</v>
      </c>
      <c r="H564" s="29">
        <f>H573</f>
        <v>0</v>
      </c>
      <c r="K564" s="96"/>
    </row>
    <row r="565" spans="1:11" ht="20.100000000000001" hidden="1" customHeight="1" outlineLevel="1" x14ac:dyDescent="0.25">
      <c r="A565" s="59" t="s">
        <v>751</v>
      </c>
      <c r="B565" s="3" t="s">
        <v>17</v>
      </c>
      <c r="C565" s="43" t="s">
        <v>586</v>
      </c>
      <c r="D565" s="43" t="s">
        <v>1281</v>
      </c>
      <c r="E565" s="78">
        <v>4</v>
      </c>
      <c r="F565" s="3" t="s">
        <v>10</v>
      </c>
      <c r="G565" s="78"/>
      <c r="H565" s="20"/>
      <c r="K565" s="96"/>
    </row>
    <row r="566" spans="1:11" ht="20.100000000000001" hidden="1" customHeight="1" outlineLevel="1" x14ac:dyDescent="0.25">
      <c r="A566" s="59" t="s">
        <v>752</v>
      </c>
      <c r="B566" s="3" t="s">
        <v>17</v>
      </c>
      <c r="C566" s="43" t="s">
        <v>588</v>
      </c>
      <c r="D566" s="43" t="s">
        <v>1282</v>
      </c>
      <c r="E566" s="78">
        <v>6</v>
      </c>
      <c r="F566" s="3" t="s">
        <v>10</v>
      </c>
      <c r="G566" s="78"/>
      <c r="H566" s="20"/>
      <c r="K566" s="96"/>
    </row>
    <row r="567" spans="1:11" ht="20.100000000000001" hidden="1" customHeight="1" outlineLevel="1" x14ac:dyDescent="0.25">
      <c r="A567" s="59" t="s">
        <v>753</v>
      </c>
      <c r="B567" s="3" t="s">
        <v>17</v>
      </c>
      <c r="C567" s="43" t="s">
        <v>590</v>
      </c>
      <c r="D567" s="43" t="s">
        <v>1283</v>
      </c>
      <c r="E567" s="78">
        <v>6</v>
      </c>
      <c r="F567" s="3" t="s">
        <v>10</v>
      </c>
      <c r="G567" s="78"/>
      <c r="H567" s="20"/>
      <c r="K567" s="96"/>
    </row>
    <row r="568" spans="1:11" ht="20.100000000000001" hidden="1" customHeight="1" outlineLevel="1" x14ac:dyDescent="0.25">
      <c r="A568" s="59" t="s">
        <v>754</v>
      </c>
      <c r="B568" s="3" t="s">
        <v>17</v>
      </c>
      <c r="C568" s="43" t="s">
        <v>592</v>
      </c>
      <c r="D568" s="43" t="s">
        <v>1284</v>
      </c>
      <c r="E568" s="78">
        <v>6</v>
      </c>
      <c r="F568" s="3" t="s">
        <v>10</v>
      </c>
      <c r="G568" s="78"/>
      <c r="H568" s="20"/>
      <c r="K568" s="96"/>
    </row>
    <row r="569" spans="1:11" ht="20.100000000000001" hidden="1" customHeight="1" outlineLevel="1" x14ac:dyDescent="0.25">
      <c r="A569" s="59" t="s">
        <v>755</v>
      </c>
      <c r="B569" s="3" t="s">
        <v>17</v>
      </c>
      <c r="C569" s="43" t="s">
        <v>756</v>
      </c>
      <c r="D569" s="43" t="s">
        <v>1285</v>
      </c>
      <c r="E569" s="78">
        <v>4</v>
      </c>
      <c r="F569" s="3" t="s">
        <v>10</v>
      </c>
      <c r="G569" s="78"/>
      <c r="H569" s="20"/>
      <c r="K569" s="96"/>
    </row>
    <row r="570" spans="1:11" ht="20.100000000000001" hidden="1" customHeight="1" outlineLevel="1" x14ac:dyDescent="0.25">
      <c r="A570" s="59" t="s">
        <v>757</v>
      </c>
      <c r="B570" s="3" t="s">
        <v>17</v>
      </c>
      <c r="C570" s="43" t="s">
        <v>596</v>
      </c>
      <c r="D570" s="43" t="s">
        <v>1291</v>
      </c>
      <c r="E570" s="78">
        <v>6</v>
      </c>
      <c r="F570" s="3" t="s">
        <v>10</v>
      </c>
      <c r="G570" s="78"/>
      <c r="H570" s="20"/>
      <c r="K570" s="96"/>
    </row>
    <row r="571" spans="1:11" ht="20.100000000000001" hidden="1" customHeight="1" outlineLevel="1" x14ac:dyDescent="0.25">
      <c r="A571" s="59" t="s">
        <v>758</v>
      </c>
      <c r="B571" s="3" t="s">
        <v>17</v>
      </c>
      <c r="C571" s="43" t="s">
        <v>598</v>
      </c>
      <c r="D571" s="43" t="s">
        <v>1292</v>
      </c>
      <c r="E571" s="78">
        <v>4</v>
      </c>
      <c r="F571" s="3" t="s">
        <v>10</v>
      </c>
      <c r="G571" s="78"/>
      <c r="H571" s="20"/>
      <c r="K571" s="96"/>
    </row>
    <row r="572" spans="1:11" ht="20.100000000000001" hidden="1" customHeight="1" outlineLevel="1" x14ac:dyDescent="0.25">
      <c r="A572" s="59" t="s">
        <v>759</v>
      </c>
      <c r="B572" s="3" t="s">
        <v>17</v>
      </c>
      <c r="C572" s="43" t="s">
        <v>621</v>
      </c>
      <c r="D572" s="43" t="s">
        <v>1302</v>
      </c>
      <c r="E572" s="78">
        <v>1</v>
      </c>
      <c r="F572" s="3" t="s">
        <v>154</v>
      </c>
      <c r="G572" s="78"/>
      <c r="H572" s="20"/>
      <c r="K572" s="96"/>
    </row>
    <row r="573" spans="1:11" ht="20.100000000000001" hidden="1" customHeight="1" outlineLevel="1" x14ac:dyDescent="0.25">
      <c r="A573" s="52"/>
      <c r="B573" s="9"/>
      <c r="C573" s="44" t="s">
        <v>1327</v>
      </c>
      <c r="D573" s="44" t="s">
        <v>1327</v>
      </c>
      <c r="E573" s="78">
        <v>1</v>
      </c>
      <c r="F573" s="9"/>
      <c r="G573" s="79">
        <f>SUM(H565:H572)</f>
        <v>0</v>
      </c>
      <c r="H573" s="29">
        <f>ROUND(E573*G573,2)</f>
        <v>0</v>
      </c>
      <c r="K573" s="96"/>
    </row>
    <row r="574" spans="1:11" ht="20.100000000000001" hidden="1" customHeight="1" outlineLevel="1" x14ac:dyDescent="0.25">
      <c r="A574" s="60"/>
      <c r="B574" s="12"/>
      <c r="C574" s="45"/>
      <c r="D574" s="45"/>
      <c r="E574" s="34"/>
      <c r="F574" s="12"/>
      <c r="G574" s="34"/>
      <c r="H574" s="30"/>
      <c r="K574" s="96"/>
    </row>
    <row r="575" spans="1:11" ht="20.100000000000001" hidden="1" customHeight="1" outlineLevel="1" x14ac:dyDescent="0.25">
      <c r="A575" s="63"/>
      <c r="B575" s="18" t="s">
        <v>9</v>
      </c>
      <c r="C575" s="48" t="s">
        <v>760</v>
      </c>
      <c r="D575" s="48" t="s">
        <v>1308</v>
      </c>
      <c r="E575" s="82">
        <f>E580</f>
        <v>1</v>
      </c>
      <c r="F575" s="18" t="s">
        <v>433</v>
      </c>
      <c r="G575" s="82">
        <f>G580</f>
        <v>0</v>
      </c>
      <c r="H575" s="32">
        <f>H580</f>
        <v>0</v>
      </c>
      <c r="K575" s="96"/>
    </row>
    <row r="576" spans="1:11" ht="20.100000000000001" hidden="1" customHeight="1" outlineLevel="1" x14ac:dyDescent="0.25">
      <c r="A576" s="59" t="s">
        <v>761</v>
      </c>
      <c r="B576" s="3" t="s">
        <v>17</v>
      </c>
      <c r="C576" s="43" t="s">
        <v>762</v>
      </c>
      <c r="D576" s="43" t="s">
        <v>1330</v>
      </c>
      <c r="E576" s="78">
        <v>1</v>
      </c>
      <c r="F576" s="3" t="s">
        <v>154</v>
      </c>
      <c r="G576" s="78"/>
      <c r="H576" s="20"/>
      <c r="K576" s="96"/>
    </row>
    <row r="577" spans="1:11" ht="20.100000000000001" hidden="1" customHeight="1" outlineLevel="1" x14ac:dyDescent="0.25">
      <c r="A577" s="59" t="s">
        <v>763</v>
      </c>
      <c r="B577" s="3" t="s">
        <v>17</v>
      </c>
      <c r="C577" s="43" t="s">
        <v>764</v>
      </c>
      <c r="D577" s="43" t="s">
        <v>1331</v>
      </c>
      <c r="E577" s="78">
        <v>2</v>
      </c>
      <c r="F577" s="3" t="s">
        <v>154</v>
      </c>
      <c r="G577" s="78"/>
      <c r="H577" s="20"/>
      <c r="K577" s="96"/>
    </row>
    <row r="578" spans="1:11" ht="39.950000000000003" hidden="1" customHeight="1" outlineLevel="1" x14ac:dyDescent="0.25">
      <c r="A578" s="59" t="s">
        <v>765</v>
      </c>
      <c r="B578" s="3" t="s">
        <v>17</v>
      </c>
      <c r="C578" s="43" t="s">
        <v>766</v>
      </c>
      <c r="D578" s="43" t="s">
        <v>1328</v>
      </c>
      <c r="E578" s="78">
        <v>1</v>
      </c>
      <c r="F578" s="3" t="s">
        <v>154</v>
      </c>
      <c r="G578" s="78"/>
      <c r="H578" s="20"/>
      <c r="K578" s="96"/>
    </row>
    <row r="579" spans="1:11" ht="20.100000000000001" hidden="1" customHeight="1" outlineLevel="1" x14ac:dyDescent="0.25">
      <c r="A579" s="59" t="s">
        <v>767</v>
      </c>
      <c r="B579" s="3" t="s">
        <v>17</v>
      </c>
      <c r="C579" s="43" t="s">
        <v>768</v>
      </c>
      <c r="D579" s="43" t="s">
        <v>1329</v>
      </c>
      <c r="E579" s="78">
        <v>1</v>
      </c>
      <c r="F579" s="3" t="s">
        <v>154</v>
      </c>
      <c r="G579" s="78"/>
      <c r="H579" s="20"/>
      <c r="K579" s="96"/>
    </row>
    <row r="580" spans="1:11" ht="20.100000000000001" hidden="1" customHeight="1" outlineLevel="1" x14ac:dyDescent="0.25">
      <c r="A580" s="52"/>
      <c r="B580" s="9"/>
      <c r="C580" s="44" t="s">
        <v>1332</v>
      </c>
      <c r="D580" s="44" t="s">
        <v>1332</v>
      </c>
      <c r="E580" s="78">
        <v>1</v>
      </c>
      <c r="F580" s="9"/>
      <c r="G580" s="79">
        <f>SUM(H576:H579)</f>
        <v>0</v>
      </c>
      <c r="H580" s="29">
        <f>ROUND(E580*G580,2)</f>
        <v>0</v>
      </c>
      <c r="K580" s="96"/>
    </row>
    <row r="581" spans="1:11" ht="20.100000000000001" hidden="1" customHeight="1" outlineLevel="1" x14ac:dyDescent="0.25">
      <c r="A581" s="60"/>
      <c r="B581" s="12"/>
      <c r="C581" s="45"/>
      <c r="D581" s="45"/>
      <c r="E581" s="34"/>
      <c r="F581" s="12"/>
      <c r="G581" s="34"/>
      <c r="H581" s="30"/>
      <c r="K581" s="96"/>
    </row>
    <row r="582" spans="1:11" ht="20.100000000000001" hidden="1" customHeight="1" outlineLevel="1" x14ac:dyDescent="0.25">
      <c r="A582" s="52"/>
      <c r="B582" s="9"/>
      <c r="C582" s="44" t="s">
        <v>769</v>
      </c>
      <c r="D582" s="44" t="s">
        <v>769</v>
      </c>
      <c r="E582" s="78">
        <v>1</v>
      </c>
      <c r="F582" s="9"/>
      <c r="G582" s="79">
        <f>H564+H575</f>
        <v>0</v>
      </c>
      <c r="H582" s="29">
        <f>ROUND(E582*G582,2)</f>
        <v>0</v>
      </c>
      <c r="K582" s="96"/>
    </row>
    <row r="583" spans="1:11" ht="20.100000000000001" hidden="1" customHeight="1" outlineLevel="1" x14ac:dyDescent="0.25">
      <c r="A583" s="60"/>
      <c r="B583" s="12"/>
      <c r="C583" s="45"/>
      <c r="D583" s="45"/>
      <c r="E583" s="34"/>
      <c r="F583" s="12"/>
      <c r="G583" s="34"/>
      <c r="H583" s="30"/>
      <c r="K583" s="96"/>
    </row>
    <row r="584" spans="1:11" ht="20.100000000000001" hidden="1" customHeight="1" outlineLevel="1" x14ac:dyDescent="0.25">
      <c r="A584" s="62" t="s">
        <v>770</v>
      </c>
      <c r="B584" s="7" t="s">
        <v>9</v>
      </c>
      <c r="C584" s="47" t="s">
        <v>771</v>
      </c>
      <c r="D584" s="47"/>
      <c r="E584" s="81">
        <f>E599</f>
        <v>1</v>
      </c>
      <c r="F584" s="7" t="s">
        <v>10</v>
      </c>
      <c r="G584" s="81">
        <f>G599</f>
        <v>0</v>
      </c>
      <c r="H584" s="21">
        <f>H599</f>
        <v>0</v>
      </c>
      <c r="K584" s="96"/>
    </row>
    <row r="585" spans="1:11" ht="20.100000000000001" hidden="1" customHeight="1" outlineLevel="1" x14ac:dyDescent="0.25">
      <c r="A585" s="65"/>
      <c r="B585" s="19" t="s">
        <v>9</v>
      </c>
      <c r="C585" s="44" t="s">
        <v>772</v>
      </c>
      <c r="D585" s="44" t="s">
        <v>1333</v>
      </c>
      <c r="E585" s="79">
        <f>E587</f>
        <v>1</v>
      </c>
      <c r="F585" s="19" t="s">
        <v>10</v>
      </c>
      <c r="G585" s="79">
        <f>G587</f>
        <v>0</v>
      </c>
      <c r="H585" s="29">
        <f>H587</f>
        <v>0</v>
      </c>
      <c r="K585" s="96"/>
    </row>
    <row r="586" spans="1:11" ht="20.100000000000001" hidden="1" customHeight="1" outlineLevel="1" x14ac:dyDescent="0.25">
      <c r="A586" s="59" t="s">
        <v>773</v>
      </c>
      <c r="B586" s="3" t="s">
        <v>17</v>
      </c>
      <c r="C586" s="43" t="s">
        <v>774</v>
      </c>
      <c r="D586" s="43" t="s">
        <v>1335</v>
      </c>
      <c r="E586" s="78">
        <v>1</v>
      </c>
      <c r="F586" s="3" t="s">
        <v>10</v>
      </c>
      <c r="G586" s="78"/>
      <c r="H586" s="20"/>
      <c r="K586" s="96"/>
    </row>
    <row r="587" spans="1:11" ht="20.100000000000001" hidden="1" customHeight="1" outlineLevel="1" x14ac:dyDescent="0.25">
      <c r="A587" s="52"/>
      <c r="B587" s="9"/>
      <c r="C587" s="44" t="s">
        <v>1334</v>
      </c>
      <c r="D587" s="44" t="s">
        <v>1334</v>
      </c>
      <c r="E587" s="78">
        <v>1</v>
      </c>
      <c r="F587" s="9"/>
      <c r="G587" s="79">
        <f>H586</f>
        <v>0</v>
      </c>
      <c r="H587" s="29">
        <f>ROUND(E587*G587,2)</f>
        <v>0</v>
      </c>
      <c r="K587" s="96"/>
    </row>
    <row r="588" spans="1:11" ht="20.100000000000001" hidden="1" customHeight="1" outlineLevel="1" x14ac:dyDescent="0.25">
      <c r="A588" s="60"/>
      <c r="B588" s="12"/>
      <c r="C588" s="45"/>
      <c r="D588" s="45"/>
      <c r="E588" s="34"/>
      <c r="F588" s="12"/>
      <c r="G588" s="34"/>
      <c r="H588" s="30"/>
      <c r="K588" s="96"/>
    </row>
    <row r="589" spans="1:11" ht="20.100000000000001" hidden="1" customHeight="1" outlineLevel="1" x14ac:dyDescent="0.25">
      <c r="A589" s="63"/>
      <c r="B589" s="18" t="s">
        <v>9</v>
      </c>
      <c r="C589" s="48" t="s">
        <v>775</v>
      </c>
      <c r="D589" s="48" t="s">
        <v>1336</v>
      </c>
      <c r="E589" s="82">
        <f>E592</f>
        <v>1</v>
      </c>
      <c r="F589" s="18" t="s">
        <v>10</v>
      </c>
      <c r="G589" s="82">
        <f>G592</f>
        <v>0</v>
      </c>
      <c r="H589" s="32">
        <f>H592</f>
        <v>0</v>
      </c>
      <c r="K589" s="96"/>
    </row>
    <row r="590" spans="1:11" ht="20.100000000000001" hidden="1" customHeight="1" outlineLevel="1" x14ac:dyDescent="0.25">
      <c r="A590" s="59" t="s">
        <v>776</v>
      </c>
      <c r="B590" s="3" t="s">
        <v>17</v>
      </c>
      <c r="C590" s="43" t="s">
        <v>525</v>
      </c>
      <c r="D590" s="43" t="s">
        <v>1246</v>
      </c>
      <c r="E590" s="78">
        <v>18.5</v>
      </c>
      <c r="F590" s="3" t="s">
        <v>277</v>
      </c>
      <c r="G590" s="78"/>
      <c r="H590" s="20"/>
      <c r="K590" s="96"/>
    </row>
    <row r="591" spans="1:11" ht="20.100000000000001" hidden="1" customHeight="1" outlineLevel="1" x14ac:dyDescent="0.25">
      <c r="A591" s="59" t="s">
        <v>777</v>
      </c>
      <c r="B591" s="3" t="s">
        <v>17</v>
      </c>
      <c r="C591" s="43" t="s">
        <v>778</v>
      </c>
      <c r="D591" s="43" t="s">
        <v>493</v>
      </c>
      <c r="E591" s="78">
        <v>27.78</v>
      </c>
      <c r="F591" s="3" t="s">
        <v>277</v>
      </c>
      <c r="G591" s="78"/>
      <c r="H591" s="20"/>
      <c r="K591" s="96"/>
    </row>
    <row r="592" spans="1:11" ht="20.100000000000001" hidden="1" customHeight="1" outlineLevel="1" x14ac:dyDescent="0.25">
      <c r="A592" s="52"/>
      <c r="B592" s="9"/>
      <c r="C592" s="44" t="s">
        <v>1337</v>
      </c>
      <c r="D592" s="44" t="s">
        <v>1337</v>
      </c>
      <c r="E592" s="78">
        <v>1</v>
      </c>
      <c r="F592" s="9"/>
      <c r="G592" s="79">
        <f>SUM(H590:H591)</f>
        <v>0</v>
      </c>
      <c r="H592" s="29">
        <f>ROUND(E592*G592,2)</f>
        <v>0</v>
      </c>
      <c r="K592" s="96"/>
    </row>
    <row r="593" spans="1:11" ht="20.100000000000001" hidden="1" customHeight="1" outlineLevel="1" x14ac:dyDescent="0.25">
      <c r="A593" s="60"/>
      <c r="B593" s="12"/>
      <c r="C593" s="45"/>
      <c r="D593" s="45"/>
      <c r="E593" s="34"/>
      <c r="F593" s="12"/>
      <c r="G593" s="34"/>
      <c r="H593" s="30"/>
      <c r="K593" s="96"/>
    </row>
    <row r="594" spans="1:11" ht="39.950000000000003" hidden="1" customHeight="1" outlineLevel="1" x14ac:dyDescent="0.25">
      <c r="A594" s="63"/>
      <c r="B594" s="18" t="s">
        <v>9</v>
      </c>
      <c r="C594" s="48" t="s">
        <v>779</v>
      </c>
      <c r="D594" s="48" t="s">
        <v>1338</v>
      </c>
      <c r="E594" s="82">
        <f>E597</f>
        <v>1</v>
      </c>
      <c r="F594" s="18" t="s">
        <v>10</v>
      </c>
      <c r="G594" s="82">
        <f>G597</f>
        <v>0</v>
      </c>
      <c r="H594" s="32">
        <f>H597</f>
        <v>0</v>
      </c>
      <c r="K594" s="96"/>
    </row>
    <row r="595" spans="1:11" ht="20.100000000000001" hidden="1" customHeight="1" outlineLevel="1" x14ac:dyDescent="0.25">
      <c r="A595" s="59" t="s">
        <v>780</v>
      </c>
      <c r="B595" s="3" t="s">
        <v>17</v>
      </c>
      <c r="C595" s="43" t="s">
        <v>781</v>
      </c>
      <c r="D595" s="43" t="s">
        <v>1340</v>
      </c>
      <c r="E595" s="78">
        <v>1</v>
      </c>
      <c r="F595" s="3" t="s">
        <v>433</v>
      </c>
      <c r="G595" s="78"/>
      <c r="H595" s="20"/>
      <c r="K595" s="96"/>
    </row>
    <row r="596" spans="1:11" ht="20.100000000000001" hidden="1" customHeight="1" outlineLevel="1" x14ac:dyDescent="0.25">
      <c r="A596" s="59" t="s">
        <v>782</v>
      </c>
      <c r="B596" s="3" t="s">
        <v>17</v>
      </c>
      <c r="C596" s="43" t="s">
        <v>783</v>
      </c>
      <c r="D596" s="43" t="s">
        <v>1341</v>
      </c>
      <c r="E596" s="78">
        <v>1</v>
      </c>
      <c r="F596" s="3" t="s">
        <v>433</v>
      </c>
      <c r="G596" s="78"/>
      <c r="H596" s="20"/>
      <c r="K596" s="96"/>
    </row>
    <row r="597" spans="1:11" ht="20.100000000000001" hidden="1" customHeight="1" outlineLevel="1" x14ac:dyDescent="0.25">
      <c r="A597" s="52"/>
      <c r="B597" s="9"/>
      <c r="C597" s="44" t="s">
        <v>1339</v>
      </c>
      <c r="D597" s="44" t="s">
        <v>1339</v>
      </c>
      <c r="E597" s="78">
        <v>1</v>
      </c>
      <c r="F597" s="9"/>
      <c r="G597" s="79">
        <f>SUM(H595:H596)</f>
        <v>0</v>
      </c>
      <c r="H597" s="29">
        <f>ROUND(E597*G597,2)</f>
        <v>0</v>
      </c>
      <c r="K597" s="96"/>
    </row>
    <row r="598" spans="1:11" ht="20.100000000000001" hidden="1" customHeight="1" outlineLevel="1" x14ac:dyDescent="0.25">
      <c r="A598" s="60"/>
      <c r="B598" s="12"/>
      <c r="C598" s="45"/>
      <c r="D598" s="45"/>
      <c r="E598" s="34"/>
      <c r="F598" s="12"/>
      <c r="G598" s="34"/>
      <c r="H598" s="30"/>
      <c r="K598" s="96"/>
    </row>
    <row r="599" spans="1:11" ht="20.100000000000001" hidden="1" customHeight="1" outlineLevel="1" x14ac:dyDescent="0.25">
      <c r="A599" s="64"/>
      <c r="C599" s="49" t="s">
        <v>784</v>
      </c>
      <c r="D599" s="49"/>
      <c r="E599" s="84">
        <v>1</v>
      </c>
      <c r="G599" s="83">
        <f>H585+H589+H594</f>
        <v>0</v>
      </c>
      <c r="H599" s="33">
        <f>ROUND(E599*G599,2)</f>
        <v>0</v>
      </c>
      <c r="K599" s="96"/>
    </row>
    <row r="600" spans="1:11" ht="20.100000000000001" customHeight="1" collapsed="1" x14ac:dyDescent="0.25">
      <c r="A600" s="60"/>
      <c r="B600" s="12"/>
      <c r="C600" s="45"/>
      <c r="D600" s="45"/>
      <c r="E600" s="34"/>
      <c r="F600" s="12"/>
      <c r="G600" s="34"/>
      <c r="H600" s="30"/>
      <c r="K600" s="96"/>
    </row>
    <row r="601" spans="1:11" ht="20.100000000000001" customHeight="1" x14ac:dyDescent="0.25">
      <c r="A601" s="52"/>
      <c r="B601" s="9"/>
      <c r="C601" s="44" t="s">
        <v>785</v>
      </c>
      <c r="D601" s="44"/>
      <c r="E601" s="78">
        <v>1</v>
      </c>
      <c r="F601" s="9"/>
      <c r="G601" s="79">
        <f>H433+H446+H459+H478+H495+H514+H542+H548+H563+H584</f>
        <v>79380.86</v>
      </c>
      <c r="H601" s="29">
        <f>ROUND(E601*G601,2)</f>
        <v>79380.86</v>
      </c>
      <c r="K601" s="96"/>
    </row>
    <row r="602" spans="1:11" ht="20.100000000000001" customHeight="1" x14ac:dyDescent="0.25">
      <c r="A602" s="60"/>
      <c r="B602" s="12"/>
      <c r="C602" s="45"/>
      <c r="D602" s="45"/>
      <c r="E602" s="34"/>
      <c r="F602" s="12"/>
      <c r="G602" s="34"/>
      <c r="H602" s="30"/>
      <c r="K602" s="96"/>
    </row>
    <row r="603" spans="1:11" ht="20.100000000000001" customHeight="1" x14ac:dyDescent="0.25">
      <c r="A603" s="52"/>
      <c r="B603" s="9"/>
      <c r="C603" s="44" t="s">
        <v>786</v>
      </c>
      <c r="D603" s="44"/>
      <c r="E603" s="78">
        <v>1</v>
      </c>
      <c r="F603" s="9"/>
      <c r="G603" s="79">
        <f>H224+H432</f>
        <v>155151.44</v>
      </c>
      <c r="H603" s="29">
        <f>ROUND(E603*G603,2)</f>
        <v>155151.44</v>
      </c>
      <c r="K603" s="96"/>
    </row>
    <row r="604" spans="1:11" ht="20.100000000000001" customHeight="1" x14ac:dyDescent="0.25">
      <c r="A604" s="60"/>
      <c r="B604" s="12"/>
      <c r="C604" s="45"/>
      <c r="D604" s="45"/>
      <c r="E604" s="34"/>
      <c r="F604" s="12"/>
      <c r="G604" s="34"/>
      <c r="H604" s="30"/>
      <c r="K604" s="96"/>
    </row>
    <row r="605" spans="1:11" ht="20.100000000000001" customHeight="1" x14ac:dyDescent="0.25">
      <c r="A605" s="52"/>
      <c r="B605" s="9"/>
      <c r="C605" s="44" t="s">
        <v>787</v>
      </c>
      <c r="D605" s="44"/>
      <c r="E605" s="78">
        <v>1</v>
      </c>
      <c r="F605" s="9"/>
      <c r="G605" s="79">
        <f>H38+H223</f>
        <v>579503.18000000005</v>
      </c>
      <c r="H605" s="29">
        <f>ROUND(E605*G605,2)</f>
        <v>579503.18000000005</v>
      </c>
      <c r="K605" s="96"/>
    </row>
    <row r="606" spans="1:11" ht="20.100000000000001" customHeight="1" x14ac:dyDescent="0.25">
      <c r="A606" s="60"/>
      <c r="B606" s="12"/>
      <c r="C606" s="45"/>
      <c r="D606" s="45"/>
      <c r="E606" s="34"/>
      <c r="F606" s="12"/>
      <c r="G606" s="34"/>
      <c r="H606" s="30"/>
      <c r="K606" s="96"/>
    </row>
    <row r="607" spans="1:11" ht="20.100000000000001" customHeight="1" x14ac:dyDescent="0.25">
      <c r="A607" s="57" t="s">
        <v>788</v>
      </c>
      <c r="B607" s="16" t="s">
        <v>9</v>
      </c>
      <c r="C607" s="41" t="s">
        <v>789</v>
      </c>
      <c r="D607" s="41" t="s">
        <v>1342</v>
      </c>
      <c r="E607" s="76">
        <f>E713</f>
        <v>1</v>
      </c>
      <c r="F607" s="16" t="s">
        <v>10</v>
      </c>
      <c r="G607" s="76">
        <f>G713</f>
        <v>79761.8</v>
      </c>
      <c r="H607" s="27">
        <f>H713</f>
        <v>79761.8</v>
      </c>
      <c r="K607" s="96"/>
    </row>
    <row r="608" spans="1:11" ht="20.100000000000001" customHeight="1" x14ac:dyDescent="0.25">
      <c r="A608" s="58"/>
      <c r="B608" s="5" t="s">
        <v>9</v>
      </c>
      <c r="C608" s="42" t="s">
        <v>790</v>
      </c>
      <c r="D608" s="42" t="s">
        <v>1476</v>
      </c>
      <c r="E608" s="77">
        <f>E687</f>
        <v>1</v>
      </c>
      <c r="F608" s="5" t="s">
        <v>10</v>
      </c>
      <c r="G608" s="77">
        <f>G687</f>
        <v>50314.38</v>
      </c>
      <c r="H608" s="28">
        <f>H687</f>
        <v>50314.38</v>
      </c>
      <c r="K608" s="96"/>
    </row>
    <row r="609" spans="1:11" ht="20.100000000000001" customHeight="1" x14ac:dyDescent="0.25">
      <c r="A609" s="61"/>
      <c r="B609" s="17" t="s">
        <v>9</v>
      </c>
      <c r="C609" s="46" t="s">
        <v>790</v>
      </c>
      <c r="D609" s="42" t="s">
        <v>1343</v>
      </c>
      <c r="E609" s="80">
        <f>E656</f>
        <v>1</v>
      </c>
      <c r="F609" s="17" t="s">
        <v>10</v>
      </c>
      <c r="G609" s="80">
        <f>G656</f>
        <v>49544.26</v>
      </c>
      <c r="H609" s="31">
        <f>H656</f>
        <v>49544.26</v>
      </c>
      <c r="K609" s="96"/>
    </row>
    <row r="610" spans="1:11" ht="20.100000000000001" customHeight="1" x14ac:dyDescent="0.25">
      <c r="A610" s="62" t="s">
        <v>446</v>
      </c>
      <c r="B610" s="7" t="s">
        <v>9</v>
      </c>
      <c r="C610" s="47" t="s">
        <v>792</v>
      </c>
      <c r="D610" s="47" t="s">
        <v>1344</v>
      </c>
      <c r="E610" s="81">
        <f>E619</f>
        <v>1</v>
      </c>
      <c r="F610" s="7" t="s">
        <v>10</v>
      </c>
      <c r="G610" s="81">
        <f>G619</f>
        <v>10330.39</v>
      </c>
      <c r="H610" s="21">
        <f>H619</f>
        <v>10330.39</v>
      </c>
      <c r="K610" s="96"/>
    </row>
    <row r="611" spans="1:11" ht="20.100000000000001" customHeight="1" x14ac:dyDescent="0.25">
      <c r="A611" s="59" t="s">
        <v>448</v>
      </c>
      <c r="B611" s="3" t="s">
        <v>17</v>
      </c>
      <c r="C611" s="43" t="s">
        <v>794</v>
      </c>
      <c r="D611" s="43" t="s">
        <v>1345</v>
      </c>
      <c r="E611" s="78">
        <v>98.56</v>
      </c>
      <c r="F611" s="3" t="s">
        <v>70</v>
      </c>
      <c r="G611" s="78">
        <v>33.47</v>
      </c>
      <c r="H611" s="20">
        <f t="shared" ref="H611:H619" si="9">ROUND(E611*G611,2)</f>
        <v>3298.8</v>
      </c>
      <c r="K611" s="96"/>
    </row>
    <row r="612" spans="1:11" ht="20.100000000000001" customHeight="1" x14ac:dyDescent="0.25">
      <c r="A612" s="59" t="s">
        <v>450</v>
      </c>
      <c r="B612" s="3" t="s">
        <v>17</v>
      </c>
      <c r="C612" s="43" t="s">
        <v>796</v>
      </c>
      <c r="D612" s="43" t="s">
        <v>1346</v>
      </c>
      <c r="E612" s="78">
        <v>17.86</v>
      </c>
      <c r="F612" s="3" t="s">
        <v>70</v>
      </c>
      <c r="G612" s="78">
        <v>33.47</v>
      </c>
      <c r="H612" s="20">
        <f t="shared" si="9"/>
        <v>597.77</v>
      </c>
      <c r="K612" s="96"/>
    </row>
    <row r="613" spans="1:11" ht="20.100000000000001" customHeight="1" x14ac:dyDescent="0.25">
      <c r="A613" s="59" t="s">
        <v>452</v>
      </c>
      <c r="B613" s="3" t="s">
        <v>17</v>
      </c>
      <c r="C613" s="43" t="s">
        <v>798</v>
      </c>
      <c r="D613" s="43" t="s">
        <v>1347</v>
      </c>
      <c r="E613" s="78">
        <v>85.8</v>
      </c>
      <c r="F613" s="3" t="s">
        <v>75</v>
      </c>
      <c r="G613" s="78">
        <v>17.46</v>
      </c>
      <c r="H613" s="20">
        <f t="shared" si="9"/>
        <v>1498.07</v>
      </c>
      <c r="K613" s="96"/>
    </row>
    <row r="614" spans="1:11" ht="20.100000000000001" customHeight="1" x14ac:dyDescent="0.25">
      <c r="A614" s="59" t="s">
        <v>454</v>
      </c>
      <c r="B614" s="3" t="s">
        <v>17</v>
      </c>
      <c r="C614" s="43" t="s">
        <v>800</v>
      </c>
      <c r="D614" s="43" t="s">
        <v>1348</v>
      </c>
      <c r="E614" s="78">
        <v>48.84</v>
      </c>
      <c r="F614" s="3" t="s">
        <v>54</v>
      </c>
      <c r="G614" s="78">
        <v>22.79</v>
      </c>
      <c r="H614" s="20">
        <f t="shared" si="9"/>
        <v>1113.06</v>
      </c>
      <c r="K614" s="96"/>
    </row>
    <row r="615" spans="1:11" ht="20.100000000000001" customHeight="1" x14ac:dyDescent="0.25">
      <c r="A615" s="59" t="s">
        <v>456</v>
      </c>
      <c r="B615" s="3" t="s">
        <v>17</v>
      </c>
      <c r="C615" s="43" t="s">
        <v>802</v>
      </c>
      <c r="D615" s="98" t="s">
        <v>1350</v>
      </c>
      <c r="E615" s="78">
        <v>80.17</v>
      </c>
      <c r="F615" s="3" t="s">
        <v>54</v>
      </c>
      <c r="G615" s="78">
        <v>22.79</v>
      </c>
      <c r="H615" s="20">
        <f t="shared" si="9"/>
        <v>1827.07</v>
      </c>
      <c r="K615" s="96"/>
    </row>
    <row r="616" spans="1:11" ht="20.100000000000001" customHeight="1" x14ac:dyDescent="0.25">
      <c r="A616" s="59" t="s">
        <v>458</v>
      </c>
      <c r="B616" s="3" t="s">
        <v>17</v>
      </c>
      <c r="C616" s="43" t="s">
        <v>804</v>
      </c>
      <c r="D616" s="43" t="s">
        <v>1349</v>
      </c>
      <c r="E616" s="78">
        <v>275.91000000000003</v>
      </c>
      <c r="F616" s="3" t="s">
        <v>18</v>
      </c>
      <c r="G616" s="78">
        <v>2.65</v>
      </c>
      <c r="H616" s="20">
        <f t="shared" si="9"/>
        <v>731.16</v>
      </c>
      <c r="K616" s="96"/>
    </row>
    <row r="617" spans="1:11" ht="20.100000000000001" customHeight="1" x14ac:dyDescent="0.25">
      <c r="A617" s="59" t="s">
        <v>461</v>
      </c>
      <c r="B617" s="3" t="s">
        <v>17</v>
      </c>
      <c r="C617" s="43" t="s">
        <v>81</v>
      </c>
      <c r="D617" s="43" t="s">
        <v>1060</v>
      </c>
      <c r="E617" s="78">
        <v>100.15</v>
      </c>
      <c r="F617" s="3" t="s">
        <v>80</v>
      </c>
      <c r="G617" s="78">
        <v>8.08</v>
      </c>
      <c r="H617" s="20">
        <f t="shared" si="9"/>
        <v>809.21</v>
      </c>
      <c r="K617" s="96"/>
    </row>
    <row r="618" spans="1:11" ht="20.100000000000001" customHeight="1" x14ac:dyDescent="0.25">
      <c r="A618" s="59" t="s">
        <v>463</v>
      </c>
      <c r="B618" s="3" t="s">
        <v>17</v>
      </c>
      <c r="C618" s="43" t="s">
        <v>19</v>
      </c>
      <c r="D618" s="43" t="s">
        <v>1039</v>
      </c>
      <c r="E618" s="78">
        <v>275.91000000000003</v>
      </c>
      <c r="F618" s="3" t="s">
        <v>18</v>
      </c>
      <c r="G618" s="78">
        <v>1.65</v>
      </c>
      <c r="H618" s="20">
        <f t="shared" si="9"/>
        <v>455.25</v>
      </c>
      <c r="K618" s="96"/>
    </row>
    <row r="619" spans="1:11" ht="20.100000000000001" customHeight="1" x14ac:dyDescent="0.25">
      <c r="A619" s="52"/>
      <c r="B619" s="9"/>
      <c r="C619" s="44" t="s">
        <v>470</v>
      </c>
      <c r="D619" s="44" t="s">
        <v>470</v>
      </c>
      <c r="E619" s="78">
        <v>1</v>
      </c>
      <c r="F619" s="9"/>
      <c r="G619" s="79">
        <f>SUM(H611:H618)</f>
        <v>10330.39</v>
      </c>
      <c r="H619" s="29">
        <f t="shared" si="9"/>
        <v>10330.39</v>
      </c>
      <c r="K619" s="96"/>
    </row>
    <row r="620" spans="1:11" ht="20.100000000000001" customHeight="1" x14ac:dyDescent="0.25">
      <c r="A620" s="60"/>
      <c r="B620" s="12"/>
      <c r="C620" s="45"/>
      <c r="D620" s="45"/>
      <c r="E620" s="34"/>
      <c r="F620" s="12"/>
      <c r="G620" s="34"/>
      <c r="H620" s="30"/>
      <c r="K620" s="96"/>
    </row>
    <row r="621" spans="1:11" ht="20.100000000000001" customHeight="1" x14ac:dyDescent="0.25">
      <c r="A621" s="62" t="s">
        <v>471</v>
      </c>
      <c r="B621" s="7" t="s">
        <v>9</v>
      </c>
      <c r="C621" s="47" t="s">
        <v>809</v>
      </c>
      <c r="D621" s="93" t="s">
        <v>1354</v>
      </c>
      <c r="E621" s="81">
        <f>E627</f>
        <v>1</v>
      </c>
      <c r="F621" s="7" t="s">
        <v>10</v>
      </c>
      <c r="G621" s="81">
        <f>G627</f>
        <v>23413.59</v>
      </c>
      <c r="H621" s="21">
        <f>H627</f>
        <v>23413.59</v>
      </c>
      <c r="K621" s="96"/>
    </row>
    <row r="622" spans="1:11" ht="20.100000000000001" customHeight="1" x14ac:dyDescent="0.25">
      <c r="A622" s="59" t="s">
        <v>474</v>
      </c>
      <c r="B622" s="3" t="s">
        <v>17</v>
      </c>
      <c r="C622" s="43" t="s">
        <v>811</v>
      </c>
      <c r="D622" s="43" t="s">
        <v>1351</v>
      </c>
      <c r="E622" s="78">
        <v>19.36</v>
      </c>
      <c r="F622" s="3" t="s">
        <v>54</v>
      </c>
      <c r="G622" s="78">
        <v>357.47</v>
      </c>
      <c r="H622" s="20">
        <f t="shared" ref="H622:H627" si="10">ROUND(E622*G622,2)</f>
        <v>6920.62</v>
      </c>
      <c r="K622" s="96"/>
    </row>
    <row r="623" spans="1:11" ht="20.100000000000001" customHeight="1" x14ac:dyDescent="0.25">
      <c r="A623" s="59" t="s">
        <v>475</v>
      </c>
      <c r="B623" s="3" t="s">
        <v>17</v>
      </c>
      <c r="C623" s="43" t="s">
        <v>813</v>
      </c>
      <c r="D623" s="43" t="s">
        <v>1352</v>
      </c>
      <c r="E623" s="78">
        <v>25.27</v>
      </c>
      <c r="F623" s="3" t="s">
        <v>54</v>
      </c>
      <c r="G623" s="78">
        <v>529.51</v>
      </c>
      <c r="H623" s="20">
        <f t="shared" si="10"/>
        <v>13380.72</v>
      </c>
      <c r="K623" s="96"/>
    </row>
    <row r="624" spans="1:11" ht="20.100000000000001" customHeight="1" x14ac:dyDescent="0.25">
      <c r="A624" s="59" t="s">
        <v>477</v>
      </c>
      <c r="B624" s="3" t="s">
        <v>17</v>
      </c>
      <c r="C624" s="43" t="s">
        <v>815</v>
      </c>
      <c r="D624" s="43" t="s">
        <v>1353</v>
      </c>
      <c r="E624" s="78">
        <v>6.06</v>
      </c>
      <c r="F624" s="3" t="s">
        <v>54</v>
      </c>
      <c r="G624" s="78">
        <v>316.66000000000003</v>
      </c>
      <c r="H624" s="20">
        <f t="shared" si="10"/>
        <v>1918.96</v>
      </c>
      <c r="K624" s="96"/>
    </row>
    <row r="625" spans="1:11" ht="20.100000000000001" customHeight="1" x14ac:dyDescent="0.25">
      <c r="A625" s="59" t="s">
        <v>478</v>
      </c>
      <c r="B625" s="3" t="s">
        <v>17</v>
      </c>
      <c r="C625" s="43" t="s">
        <v>157</v>
      </c>
      <c r="D625" s="43" t="s">
        <v>1101</v>
      </c>
      <c r="E625" s="78">
        <v>0.56000000000000005</v>
      </c>
      <c r="F625" s="3" t="s">
        <v>54</v>
      </c>
      <c r="G625" s="78">
        <v>762.71</v>
      </c>
      <c r="H625" s="20">
        <f t="shared" si="10"/>
        <v>427.12</v>
      </c>
      <c r="K625" s="96"/>
    </row>
    <row r="626" spans="1:11" ht="20.100000000000001" customHeight="1" x14ac:dyDescent="0.25">
      <c r="A626" s="59" t="s">
        <v>480</v>
      </c>
      <c r="B626" s="3" t="s">
        <v>17</v>
      </c>
      <c r="C626" s="43" t="s">
        <v>124</v>
      </c>
      <c r="D626" s="43" t="s">
        <v>1085</v>
      </c>
      <c r="E626" s="78">
        <v>3.37</v>
      </c>
      <c r="F626" s="3" t="s">
        <v>54</v>
      </c>
      <c r="G626" s="78">
        <v>227.35</v>
      </c>
      <c r="H626" s="20">
        <f t="shared" si="10"/>
        <v>766.17</v>
      </c>
      <c r="K626" s="96"/>
    </row>
    <row r="627" spans="1:11" ht="20.100000000000001" customHeight="1" x14ac:dyDescent="0.25">
      <c r="A627" s="52"/>
      <c r="B627" s="9"/>
      <c r="C627" s="44" t="s">
        <v>545</v>
      </c>
      <c r="D627" s="44" t="s">
        <v>545</v>
      </c>
      <c r="E627" s="78">
        <v>1</v>
      </c>
      <c r="F627" s="9"/>
      <c r="G627" s="79">
        <f>SUM(H622:H626)</f>
        <v>23413.59</v>
      </c>
      <c r="H627" s="29">
        <f t="shared" si="10"/>
        <v>23413.59</v>
      </c>
      <c r="K627" s="96"/>
    </row>
    <row r="628" spans="1:11" ht="20.100000000000001" customHeight="1" x14ac:dyDescent="0.25">
      <c r="A628" s="60"/>
      <c r="B628" s="12"/>
      <c r="C628" s="45"/>
      <c r="D628" s="45"/>
      <c r="E628" s="34"/>
      <c r="F628" s="12"/>
      <c r="G628" s="34"/>
      <c r="H628" s="30"/>
      <c r="K628" s="96"/>
    </row>
    <row r="629" spans="1:11" ht="20.100000000000001" customHeight="1" x14ac:dyDescent="0.25">
      <c r="A629" s="62" t="s">
        <v>546</v>
      </c>
      <c r="B629" s="7" t="s">
        <v>9</v>
      </c>
      <c r="C629" s="47" t="s">
        <v>164</v>
      </c>
      <c r="D629" s="93" t="s">
        <v>1151</v>
      </c>
      <c r="E629" s="81">
        <f>E632</f>
        <v>1</v>
      </c>
      <c r="F629" s="7" t="s">
        <v>10</v>
      </c>
      <c r="G629" s="81">
        <f>G632</f>
        <v>2479.14</v>
      </c>
      <c r="H629" s="21">
        <f>H632</f>
        <v>2479.14</v>
      </c>
      <c r="K629" s="96"/>
    </row>
    <row r="630" spans="1:11" ht="20.100000000000001" customHeight="1" x14ac:dyDescent="0.25">
      <c r="A630" s="59" t="s">
        <v>549</v>
      </c>
      <c r="B630" s="3" t="s">
        <v>17</v>
      </c>
      <c r="C630" s="43" t="s">
        <v>821</v>
      </c>
      <c r="D630" s="43" t="s">
        <v>1356</v>
      </c>
      <c r="E630" s="78">
        <v>7.48</v>
      </c>
      <c r="F630" s="3" t="s">
        <v>18</v>
      </c>
      <c r="G630" s="78">
        <v>40.200000000000003</v>
      </c>
      <c r="H630" s="20">
        <f>ROUND(E630*G630,2)</f>
        <v>300.7</v>
      </c>
      <c r="K630" s="96"/>
    </row>
    <row r="631" spans="1:11" ht="20.100000000000001" customHeight="1" x14ac:dyDescent="0.25">
      <c r="A631" s="59" t="s">
        <v>552</v>
      </c>
      <c r="B631" s="3" t="s">
        <v>17</v>
      </c>
      <c r="C631" s="43" t="s">
        <v>823</v>
      </c>
      <c r="D631" s="43" t="s">
        <v>1355</v>
      </c>
      <c r="E631" s="78">
        <v>54.19</v>
      </c>
      <c r="F631" s="3" t="s">
        <v>18</v>
      </c>
      <c r="G631" s="78">
        <v>40.200000000000003</v>
      </c>
      <c r="H631" s="20">
        <f>ROUND(E631*G631,2)</f>
        <v>2178.44</v>
      </c>
      <c r="K631" s="96"/>
    </row>
    <row r="632" spans="1:11" ht="20.100000000000001" customHeight="1" x14ac:dyDescent="0.25">
      <c r="A632" s="52"/>
      <c r="B632" s="9"/>
      <c r="C632" s="44" t="s">
        <v>554</v>
      </c>
      <c r="D632" s="44" t="s">
        <v>554</v>
      </c>
      <c r="E632" s="78">
        <v>1</v>
      </c>
      <c r="F632" s="9"/>
      <c r="G632" s="79">
        <f>SUM(H630:H631)</f>
        <v>2479.14</v>
      </c>
      <c r="H632" s="29">
        <f>ROUND(E632*G632,2)</f>
        <v>2479.14</v>
      </c>
      <c r="K632" s="96"/>
    </row>
    <row r="633" spans="1:11" ht="20.100000000000001" customHeight="1" x14ac:dyDescent="0.25">
      <c r="A633" s="60"/>
      <c r="B633" s="12"/>
      <c r="C633" s="45"/>
      <c r="D633" s="45"/>
      <c r="E633" s="34"/>
      <c r="F633" s="12"/>
      <c r="G633" s="34"/>
      <c r="H633" s="30"/>
      <c r="K633" s="96"/>
    </row>
    <row r="634" spans="1:11" ht="20.100000000000001" customHeight="1" x14ac:dyDescent="0.25">
      <c r="A634" s="62" t="s">
        <v>555</v>
      </c>
      <c r="B634" s="7" t="s">
        <v>9</v>
      </c>
      <c r="C634" s="47" t="s">
        <v>826</v>
      </c>
      <c r="D634" s="93" t="s">
        <v>1357</v>
      </c>
      <c r="E634" s="81">
        <f>E643</f>
        <v>1</v>
      </c>
      <c r="F634" s="7" t="s">
        <v>10</v>
      </c>
      <c r="G634" s="81">
        <f>G643</f>
        <v>9091.2900000000009</v>
      </c>
      <c r="H634" s="21">
        <f>H643</f>
        <v>9091.2900000000009</v>
      </c>
      <c r="K634" s="96"/>
    </row>
    <row r="635" spans="1:11" ht="20.100000000000001" customHeight="1" x14ac:dyDescent="0.25">
      <c r="A635" s="59" t="s">
        <v>557</v>
      </c>
      <c r="B635" s="3" t="s">
        <v>17</v>
      </c>
      <c r="C635" s="43" t="s">
        <v>828</v>
      </c>
      <c r="D635" s="43" t="s">
        <v>1358</v>
      </c>
      <c r="E635" s="78">
        <v>239.14</v>
      </c>
      <c r="F635" s="3" t="s">
        <v>35</v>
      </c>
      <c r="G635" s="78">
        <v>4.1900000000000004</v>
      </c>
      <c r="H635" s="20">
        <f t="shared" ref="H635:H643" si="11">ROUND(E635*G635,2)</f>
        <v>1002</v>
      </c>
      <c r="K635" s="96"/>
    </row>
    <row r="636" spans="1:11" ht="20.100000000000001" customHeight="1" x14ac:dyDescent="0.25">
      <c r="A636" s="59" t="s">
        <v>559</v>
      </c>
      <c r="B636" s="3" t="s">
        <v>17</v>
      </c>
      <c r="C636" s="43" t="s">
        <v>830</v>
      </c>
      <c r="D636" s="43" t="s">
        <v>1174</v>
      </c>
      <c r="E636" s="78">
        <v>119.57</v>
      </c>
      <c r="F636" s="3" t="s">
        <v>35</v>
      </c>
      <c r="G636" s="78">
        <v>13.33</v>
      </c>
      <c r="H636" s="20">
        <f t="shared" si="11"/>
        <v>1593.87</v>
      </c>
      <c r="K636" s="96"/>
    </row>
    <row r="637" spans="1:11" ht="20.100000000000001" customHeight="1" x14ac:dyDescent="0.25">
      <c r="A637" s="59" t="s">
        <v>561</v>
      </c>
      <c r="B637" s="3" t="s">
        <v>17</v>
      </c>
      <c r="C637" s="43" t="s">
        <v>832</v>
      </c>
      <c r="D637" s="43" t="s">
        <v>1359</v>
      </c>
      <c r="E637" s="78">
        <v>194.26</v>
      </c>
      <c r="F637" s="3" t="s">
        <v>277</v>
      </c>
      <c r="G637" s="78">
        <v>4.41</v>
      </c>
      <c r="H637" s="20">
        <f t="shared" si="11"/>
        <v>856.69</v>
      </c>
      <c r="K637" s="96"/>
    </row>
    <row r="638" spans="1:11" ht="20.100000000000001" customHeight="1" x14ac:dyDescent="0.25">
      <c r="A638" s="59" t="s">
        <v>563</v>
      </c>
      <c r="B638" s="3" t="s">
        <v>17</v>
      </c>
      <c r="C638" s="43" t="s">
        <v>834</v>
      </c>
      <c r="D638" s="43" t="s">
        <v>1360</v>
      </c>
      <c r="E638" s="78">
        <v>61.38</v>
      </c>
      <c r="F638" s="3" t="s">
        <v>277</v>
      </c>
      <c r="G638" s="78">
        <v>6.54</v>
      </c>
      <c r="H638" s="20">
        <f t="shared" si="11"/>
        <v>401.43</v>
      </c>
      <c r="K638" s="96"/>
    </row>
    <row r="639" spans="1:11" ht="20.100000000000001" customHeight="1" x14ac:dyDescent="0.25">
      <c r="A639" s="59" t="s">
        <v>1470</v>
      </c>
      <c r="B639" s="3" t="s">
        <v>17</v>
      </c>
      <c r="C639" s="43" t="s">
        <v>836</v>
      </c>
      <c r="D639" s="43" t="s">
        <v>1187</v>
      </c>
      <c r="E639" s="78">
        <v>115.92</v>
      </c>
      <c r="F639" s="3" t="s">
        <v>35</v>
      </c>
      <c r="G639" s="78">
        <v>17.93</v>
      </c>
      <c r="H639" s="20">
        <f t="shared" si="11"/>
        <v>2078.4499999999998</v>
      </c>
      <c r="K639" s="96"/>
    </row>
    <row r="640" spans="1:11" ht="20.100000000000001" customHeight="1" x14ac:dyDescent="0.25">
      <c r="A640" s="59" t="s">
        <v>1471</v>
      </c>
      <c r="B640" s="3" t="s">
        <v>17</v>
      </c>
      <c r="C640" s="43" t="s">
        <v>838</v>
      </c>
      <c r="D640" s="43" t="s">
        <v>1361</v>
      </c>
      <c r="E640" s="78">
        <v>139.5</v>
      </c>
      <c r="F640" s="3" t="s">
        <v>277</v>
      </c>
      <c r="G640" s="78">
        <v>3.84</v>
      </c>
      <c r="H640" s="20">
        <f t="shared" si="11"/>
        <v>535.67999999999995</v>
      </c>
      <c r="K640" s="96"/>
    </row>
    <row r="641" spans="1:13" ht="20.100000000000001" customHeight="1" x14ac:dyDescent="0.25">
      <c r="A641" s="59" t="s">
        <v>1472</v>
      </c>
      <c r="B641" s="3" t="s">
        <v>17</v>
      </c>
      <c r="C641" s="43" t="s">
        <v>840</v>
      </c>
      <c r="D641" s="43" t="s">
        <v>1362</v>
      </c>
      <c r="E641" s="78">
        <v>56.3</v>
      </c>
      <c r="F641" s="3" t="s">
        <v>277</v>
      </c>
      <c r="G641" s="78">
        <v>22.64</v>
      </c>
      <c r="H641" s="20">
        <f t="shared" si="11"/>
        <v>1274.6300000000001</v>
      </c>
      <c r="K641" s="96"/>
    </row>
    <row r="642" spans="1:13" ht="20.100000000000001" customHeight="1" x14ac:dyDescent="0.25">
      <c r="A642" s="59" t="s">
        <v>1473</v>
      </c>
      <c r="B642" s="3" t="s">
        <v>17</v>
      </c>
      <c r="C642" s="43" t="s">
        <v>842</v>
      </c>
      <c r="D642" s="43" t="s">
        <v>1363</v>
      </c>
      <c r="E642" s="78">
        <v>15.2</v>
      </c>
      <c r="F642" s="3" t="s">
        <v>277</v>
      </c>
      <c r="G642" s="78">
        <v>88.72</v>
      </c>
      <c r="H642" s="20">
        <f t="shared" si="11"/>
        <v>1348.54</v>
      </c>
      <c r="K642" s="96"/>
    </row>
    <row r="643" spans="1:13" ht="20.100000000000001" customHeight="1" x14ac:dyDescent="0.25">
      <c r="A643" s="52"/>
      <c r="B643" s="9"/>
      <c r="C643" s="44" t="s">
        <v>565</v>
      </c>
      <c r="D643" s="44" t="s">
        <v>565</v>
      </c>
      <c r="E643" s="78">
        <v>1</v>
      </c>
      <c r="F643" s="9"/>
      <c r="G643" s="79">
        <f>SUM(H635:H642)</f>
        <v>9091.2900000000009</v>
      </c>
      <c r="H643" s="29">
        <f t="shared" si="11"/>
        <v>9091.2900000000009</v>
      </c>
      <c r="K643" s="96"/>
    </row>
    <row r="644" spans="1:13" ht="20.100000000000001" customHeight="1" x14ac:dyDescent="0.25">
      <c r="A644" s="60"/>
      <c r="B644" s="12"/>
      <c r="C644" s="45"/>
      <c r="D644" s="45"/>
      <c r="E644" s="34"/>
      <c r="F644" s="12"/>
      <c r="G644" s="34"/>
      <c r="H644" s="30"/>
      <c r="K644" s="96"/>
    </row>
    <row r="645" spans="1:13" ht="20.100000000000001" hidden="1" customHeight="1" outlineLevel="1" x14ac:dyDescent="0.25">
      <c r="A645" s="62" t="s">
        <v>844</v>
      </c>
      <c r="B645" s="7" t="s">
        <v>9</v>
      </c>
      <c r="C645" s="47" t="s">
        <v>845</v>
      </c>
      <c r="D645" s="47" t="s">
        <v>1364</v>
      </c>
      <c r="E645" s="81">
        <f>E649</f>
        <v>1</v>
      </c>
      <c r="F645" s="7" t="s">
        <v>10</v>
      </c>
      <c r="G645" s="81">
        <f>G649</f>
        <v>0</v>
      </c>
      <c r="H645" s="21">
        <f>H649</f>
        <v>0</v>
      </c>
      <c r="K645" s="96"/>
    </row>
    <row r="646" spans="1:13" ht="20.100000000000001" hidden="1" customHeight="1" outlineLevel="1" x14ac:dyDescent="0.25">
      <c r="A646" s="59" t="s">
        <v>846</v>
      </c>
      <c r="B646" s="3" t="s">
        <v>17</v>
      </c>
      <c r="C646" s="43" t="s">
        <v>847</v>
      </c>
      <c r="D646" s="91" t="s">
        <v>1365</v>
      </c>
      <c r="E646" s="78">
        <v>58.2</v>
      </c>
      <c r="F646" s="3" t="s">
        <v>277</v>
      </c>
      <c r="G646" s="78"/>
      <c r="H646" s="20"/>
      <c r="K646" s="96"/>
    </row>
    <row r="647" spans="1:13" ht="20.100000000000001" hidden="1" customHeight="1" outlineLevel="1" x14ac:dyDescent="0.25">
      <c r="A647" s="59" t="s">
        <v>848</v>
      </c>
      <c r="B647" s="3" t="s">
        <v>17</v>
      </c>
      <c r="C647" s="43" t="s">
        <v>849</v>
      </c>
      <c r="D647" s="91" t="s">
        <v>1366</v>
      </c>
      <c r="E647" s="78">
        <v>61.8</v>
      </c>
      <c r="F647" s="3" t="s">
        <v>277</v>
      </c>
      <c r="G647" s="78"/>
      <c r="H647" s="20"/>
      <c r="K647" s="96"/>
    </row>
    <row r="648" spans="1:13" ht="20.100000000000001" hidden="1" customHeight="1" outlineLevel="1" x14ac:dyDescent="0.25">
      <c r="A648" s="59" t="s">
        <v>850</v>
      </c>
      <c r="B648" s="3" t="s">
        <v>17</v>
      </c>
      <c r="C648" s="43" t="s">
        <v>851</v>
      </c>
      <c r="D648" s="91" t="s">
        <v>1367</v>
      </c>
      <c r="E648" s="78">
        <v>246.75</v>
      </c>
      <c r="F648" s="3" t="s">
        <v>35</v>
      </c>
      <c r="G648" s="78"/>
      <c r="H648" s="20"/>
      <c r="K648" s="96"/>
    </row>
    <row r="649" spans="1:13" ht="20.100000000000001" hidden="1" customHeight="1" outlineLevel="1" x14ac:dyDescent="0.25">
      <c r="A649" s="52"/>
      <c r="B649" s="9"/>
      <c r="C649" s="44" t="s">
        <v>852</v>
      </c>
      <c r="D649" s="44" t="s">
        <v>852</v>
      </c>
      <c r="E649" s="78">
        <v>1</v>
      </c>
      <c r="F649" s="9"/>
      <c r="G649" s="79">
        <f>SUM(H646:H648)</f>
        <v>0</v>
      </c>
      <c r="H649" s="29">
        <f>ROUND(E649*G649,2)</f>
        <v>0</v>
      </c>
      <c r="K649" s="96"/>
    </row>
    <row r="650" spans="1:13" ht="20.100000000000001" hidden="1" customHeight="1" outlineLevel="1" x14ac:dyDescent="0.25">
      <c r="A650" s="60"/>
      <c r="B650" s="12"/>
      <c r="C650" s="45"/>
      <c r="D650" s="45"/>
      <c r="E650" s="34"/>
      <c r="F650" s="12"/>
      <c r="G650" s="34"/>
      <c r="H650" s="30"/>
      <c r="K650" s="96"/>
    </row>
    <row r="651" spans="1:13" ht="20.100000000000001" customHeight="1" collapsed="1" x14ac:dyDescent="0.25">
      <c r="A651" s="62" t="s">
        <v>1474</v>
      </c>
      <c r="B651" s="7" t="s">
        <v>9</v>
      </c>
      <c r="C651" s="47" t="s">
        <v>44</v>
      </c>
      <c r="D651" s="93" t="s">
        <v>1049</v>
      </c>
      <c r="E651" s="81">
        <f>E654</f>
        <v>1</v>
      </c>
      <c r="F651" s="7" t="s">
        <v>10</v>
      </c>
      <c r="G651" s="81">
        <f>G654</f>
        <v>4229.8500000000004</v>
      </c>
      <c r="H651" s="21">
        <f>H654</f>
        <v>4229.8500000000004</v>
      </c>
      <c r="K651" s="96"/>
    </row>
    <row r="652" spans="1:13" ht="20.100000000000001" customHeight="1" x14ac:dyDescent="0.25">
      <c r="A652" s="59" t="s">
        <v>569</v>
      </c>
      <c r="B652" s="3" t="s">
        <v>17</v>
      </c>
      <c r="C652" s="43" t="s">
        <v>855</v>
      </c>
      <c r="D652" s="43" t="s">
        <v>1368</v>
      </c>
      <c r="E652" s="78">
        <v>235.46</v>
      </c>
      <c r="F652" s="3" t="s">
        <v>18</v>
      </c>
      <c r="G652" s="78">
        <v>14.65</v>
      </c>
      <c r="H652" s="20">
        <f>ROUND(E652*G652,2)</f>
        <v>3449.49</v>
      </c>
      <c r="K652" s="96"/>
    </row>
    <row r="653" spans="1:13" ht="20.100000000000001" customHeight="1" x14ac:dyDescent="0.25">
      <c r="A653" s="59" t="s">
        <v>572</v>
      </c>
      <c r="B653" s="3" t="s">
        <v>17</v>
      </c>
      <c r="C653" s="43" t="s">
        <v>857</v>
      </c>
      <c r="D653" s="43" t="s">
        <v>1369</v>
      </c>
      <c r="E653" s="78">
        <v>1</v>
      </c>
      <c r="F653" s="3" t="s">
        <v>26</v>
      </c>
      <c r="G653" s="78">
        <v>780.36</v>
      </c>
      <c r="H653" s="20">
        <f>ROUND(E653*G653,2)</f>
        <v>780.36</v>
      </c>
      <c r="K653" s="96"/>
    </row>
    <row r="654" spans="1:13" ht="20.100000000000001" customHeight="1" x14ac:dyDescent="0.25">
      <c r="A654" s="52"/>
      <c r="B654" s="9"/>
      <c r="C654" s="44" t="s">
        <v>582</v>
      </c>
      <c r="D654" s="44" t="s">
        <v>582</v>
      </c>
      <c r="E654" s="78">
        <v>1</v>
      </c>
      <c r="F654" s="9"/>
      <c r="G654" s="79">
        <f>SUM(H652:H653)</f>
        <v>4229.8500000000004</v>
      </c>
      <c r="H654" s="29">
        <f>ROUND(E654*G654,2)</f>
        <v>4229.8500000000004</v>
      </c>
      <c r="K654" s="96"/>
    </row>
    <row r="655" spans="1:13" ht="20.100000000000001" customHeight="1" x14ac:dyDescent="0.25">
      <c r="A655" s="60"/>
      <c r="B655" s="12"/>
      <c r="C655" s="45"/>
      <c r="D655" s="45"/>
      <c r="E655" s="34"/>
      <c r="F655" s="12"/>
      <c r="G655" s="34"/>
      <c r="H655" s="30"/>
      <c r="K655" s="96"/>
    </row>
    <row r="656" spans="1:13" s="8" customFormat="1" ht="20.100000000000001" customHeight="1" x14ac:dyDescent="0.25">
      <c r="A656" s="52"/>
      <c r="B656" s="9"/>
      <c r="C656" s="44" t="s">
        <v>859</v>
      </c>
      <c r="D656" s="44"/>
      <c r="E656" s="78">
        <v>1</v>
      </c>
      <c r="F656" s="9"/>
      <c r="G656" s="79">
        <f>H610+H621+H629+H634+H645+H651</f>
        <v>49544.26</v>
      </c>
      <c r="H656" s="29">
        <f>ROUND(E656*G656,2)</f>
        <v>49544.26</v>
      </c>
      <c r="K656" s="96"/>
      <c r="M656" s="110"/>
    </row>
    <row r="657" spans="1:11" ht="20.100000000000001" customHeight="1" x14ac:dyDescent="0.25">
      <c r="A657" s="60"/>
      <c r="B657" s="12"/>
      <c r="C657" s="45"/>
      <c r="D657" s="45"/>
      <c r="E657" s="34"/>
      <c r="F657" s="12"/>
      <c r="G657" s="34"/>
      <c r="H657" s="30"/>
      <c r="K657" s="96"/>
    </row>
    <row r="658" spans="1:11" ht="20.100000000000001" customHeight="1" x14ac:dyDescent="0.25">
      <c r="A658" s="61"/>
      <c r="B658" s="17" t="s">
        <v>9</v>
      </c>
      <c r="C658" s="46" t="s">
        <v>860</v>
      </c>
      <c r="D658" s="46" t="s">
        <v>1370</v>
      </c>
      <c r="E658" s="80">
        <f>E685</f>
        <v>1</v>
      </c>
      <c r="F658" s="17" t="s">
        <v>10</v>
      </c>
      <c r="G658" s="80">
        <f>G685</f>
        <v>770.12</v>
      </c>
      <c r="H658" s="31">
        <f>H685</f>
        <v>770.12</v>
      </c>
      <c r="K658" s="96"/>
    </row>
    <row r="659" spans="1:11" ht="20.100000000000001" customHeight="1" x14ac:dyDescent="0.25">
      <c r="A659" s="62" t="s">
        <v>583</v>
      </c>
      <c r="B659" s="7" t="s">
        <v>9</v>
      </c>
      <c r="C659" s="47" t="s">
        <v>88</v>
      </c>
      <c r="D659" s="47" t="s">
        <v>1371</v>
      </c>
      <c r="E659" s="81">
        <f>E662</f>
        <v>1</v>
      </c>
      <c r="F659" s="7" t="s">
        <v>10</v>
      </c>
      <c r="G659" s="81">
        <f>G662</f>
        <v>420.08</v>
      </c>
      <c r="H659" s="21">
        <f>H662</f>
        <v>420.08</v>
      </c>
      <c r="K659" s="96"/>
    </row>
    <row r="660" spans="1:11" ht="20.100000000000001" customHeight="1" x14ac:dyDescent="0.25">
      <c r="A660" s="59" t="s">
        <v>585</v>
      </c>
      <c r="B660" s="3" t="s">
        <v>17</v>
      </c>
      <c r="C660" s="43" t="s">
        <v>811</v>
      </c>
      <c r="D660" s="43" t="s">
        <v>1372</v>
      </c>
      <c r="E660" s="78">
        <v>0.13</v>
      </c>
      <c r="F660" s="3" t="s">
        <v>54</v>
      </c>
      <c r="G660" s="78">
        <v>359.2</v>
      </c>
      <c r="H660" s="20">
        <f>ROUND(E660*G660,2)</f>
        <v>46.7</v>
      </c>
      <c r="K660" s="96"/>
    </row>
    <row r="661" spans="1:11" ht="20.100000000000001" customHeight="1" x14ac:dyDescent="0.25">
      <c r="A661" s="59" t="s">
        <v>587</v>
      </c>
      <c r="B661" s="3" t="s">
        <v>17</v>
      </c>
      <c r="C661" s="43" t="s">
        <v>813</v>
      </c>
      <c r="D661" s="43" t="s">
        <v>1352</v>
      </c>
      <c r="E661" s="78">
        <v>0.63</v>
      </c>
      <c r="F661" s="3" t="s">
        <v>54</v>
      </c>
      <c r="G661" s="78">
        <v>592.66999999999996</v>
      </c>
      <c r="H661" s="20">
        <f>ROUND(E661*G661,2)</f>
        <v>373.38</v>
      </c>
      <c r="K661" s="96"/>
    </row>
    <row r="662" spans="1:11" ht="20.100000000000001" customHeight="1" x14ac:dyDescent="0.25">
      <c r="A662" s="52"/>
      <c r="B662" s="9"/>
      <c r="C662" s="44" t="s">
        <v>629</v>
      </c>
      <c r="D662" s="44" t="s">
        <v>629</v>
      </c>
      <c r="E662" s="78">
        <v>1</v>
      </c>
      <c r="F662" s="9"/>
      <c r="G662" s="79">
        <f>SUM(H660:H661)</f>
        <v>420.08</v>
      </c>
      <c r="H662" s="29">
        <f>ROUND(E662*G662,2)</f>
        <v>420.08</v>
      </c>
      <c r="K662" s="96"/>
    </row>
    <row r="663" spans="1:11" ht="20.100000000000001" customHeight="1" x14ac:dyDescent="0.25">
      <c r="A663" s="60"/>
      <c r="B663" s="12"/>
      <c r="C663" s="45"/>
      <c r="D663" s="45"/>
      <c r="E663" s="34"/>
      <c r="F663" s="12"/>
      <c r="G663" s="34"/>
      <c r="H663" s="30"/>
      <c r="K663" s="96"/>
    </row>
    <row r="664" spans="1:11" ht="20.100000000000001" customHeight="1" x14ac:dyDescent="0.25">
      <c r="A664" s="62" t="s">
        <v>632</v>
      </c>
      <c r="B664" s="7" t="s">
        <v>9</v>
      </c>
      <c r="C664" s="47" t="s">
        <v>866</v>
      </c>
      <c r="D664" s="47" t="s">
        <v>1357</v>
      </c>
      <c r="E664" s="81">
        <f>E671</f>
        <v>1</v>
      </c>
      <c r="F664" s="7" t="s">
        <v>10</v>
      </c>
      <c r="G664" s="81">
        <f>G671</f>
        <v>143.19</v>
      </c>
      <c r="H664" s="21">
        <f>H671</f>
        <v>143.19</v>
      </c>
      <c r="K664" s="96"/>
    </row>
    <row r="665" spans="1:11" ht="20.100000000000001" customHeight="1" x14ac:dyDescent="0.25">
      <c r="A665" s="59" t="s">
        <v>633</v>
      </c>
      <c r="B665" s="3" t="s">
        <v>17</v>
      </c>
      <c r="C665" s="43" t="s">
        <v>828</v>
      </c>
      <c r="D665" s="43" t="s">
        <v>1358</v>
      </c>
      <c r="E665" s="78">
        <v>3.64</v>
      </c>
      <c r="F665" s="3" t="s">
        <v>35</v>
      </c>
      <c r="G665" s="78">
        <v>4.1900000000000004</v>
      </c>
      <c r="H665" s="20">
        <f t="shared" ref="H665:H671" si="12">ROUND(E665*G665,2)</f>
        <v>15.25</v>
      </c>
      <c r="K665" s="96"/>
    </row>
    <row r="666" spans="1:11" ht="20.100000000000001" customHeight="1" x14ac:dyDescent="0.25">
      <c r="A666" s="59" t="s">
        <v>634</v>
      </c>
      <c r="B666" s="3" t="s">
        <v>17</v>
      </c>
      <c r="C666" s="43" t="s">
        <v>830</v>
      </c>
      <c r="D666" s="43" t="s">
        <v>1174</v>
      </c>
      <c r="E666" s="78">
        <v>3.64</v>
      </c>
      <c r="F666" s="3" t="s">
        <v>35</v>
      </c>
      <c r="G666" s="78">
        <v>13.33</v>
      </c>
      <c r="H666" s="20">
        <f t="shared" si="12"/>
        <v>48.52</v>
      </c>
      <c r="K666" s="96"/>
    </row>
    <row r="667" spans="1:11" ht="20.100000000000001" customHeight="1" x14ac:dyDescent="0.25">
      <c r="A667" s="59" t="s">
        <v>635</v>
      </c>
      <c r="B667" s="3" t="s">
        <v>17</v>
      </c>
      <c r="C667" s="43" t="s">
        <v>870</v>
      </c>
      <c r="D667" s="43" t="s">
        <v>1359</v>
      </c>
      <c r="E667" s="78">
        <v>6.2</v>
      </c>
      <c r="F667" s="3" t="s">
        <v>277</v>
      </c>
      <c r="G667" s="78">
        <v>4.41</v>
      </c>
      <c r="H667" s="20">
        <f t="shared" si="12"/>
        <v>27.34</v>
      </c>
      <c r="K667" s="96"/>
    </row>
    <row r="668" spans="1:11" ht="20.100000000000001" customHeight="1" x14ac:dyDescent="0.25">
      <c r="A668" s="59" t="s">
        <v>636</v>
      </c>
      <c r="B668" s="3" t="s">
        <v>17</v>
      </c>
      <c r="C668" s="43" t="s">
        <v>872</v>
      </c>
      <c r="D668" s="43" t="s">
        <v>1360</v>
      </c>
      <c r="E668" s="78">
        <v>2.6</v>
      </c>
      <c r="F668" s="3" t="s">
        <v>277</v>
      </c>
      <c r="G668" s="78">
        <v>6.54</v>
      </c>
      <c r="H668" s="20">
        <f t="shared" si="12"/>
        <v>17</v>
      </c>
      <c r="K668" s="96"/>
    </row>
    <row r="669" spans="1:11" ht="20.100000000000001" customHeight="1" x14ac:dyDescent="0.25">
      <c r="A669" s="59" t="s">
        <v>637</v>
      </c>
      <c r="B669" s="3" t="s">
        <v>17</v>
      </c>
      <c r="C669" s="43" t="s">
        <v>874</v>
      </c>
      <c r="D669" s="43" t="s">
        <v>1187</v>
      </c>
      <c r="E669" s="78">
        <v>1.4</v>
      </c>
      <c r="F669" s="3" t="s">
        <v>35</v>
      </c>
      <c r="G669" s="78">
        <v>17.93</v>
      </c>
      <c r="H669" s="20">
        <f t="shared" si="12"/>
        <v>25.1</v>
      </c>
      <c r="K669" s="96"/>
    </row>
    <row r="670" spans="1:11" ht="20.100000000000001" customHeight="1" x14ac:dyDescent="0.25">
      <c r="A670" s="59" t="s">
        <v>638</v>
      </c>
      <c r="B670" s="3" t="s">
        <v>17</v>
      </c>
      <c r="C670" s="43" t="s">
        <v>838</v>
      </c>
      <c r="D670" s="43" t="s">
        <v>1361</v>
      </c>
      <c r="E670" s="78">
        <v>2.6</v>
      </c>
      <c r="F670" s="3" t="s">
        <v>277</v>
      </c>
      <c r="G670" s="78">
        <v>3.84</v>
      </c>
      <c r="H670" s="20">
        <f t="shared" si="12"/>
        <v>9.98</v>
      </c>
      <c r="K670" s="96"/>
    </row>
    <row r="671" spans="1:11" ht="20.100000000000001" customHeight="1" x14ac:dyDescent="0.25">
      <c r="A671" s="52"/>
      <c r="B671" s="9"/>
      <c r="C671" s="44" t="s">
        <v>643</v>
      </c>
      <c r="D671" s="44" t="s">
        <v>643</v>
      </c>
      <c r="E671" s="78">
        <v>1</v>
      </c>
      <c r="F671" s="9"/>
      <c r="G671" s="79">
        <f>SUM(H665:H670)</f>
        <v>143.19</v>
      </c>
      <c r="H671" s="29">
        <f t="shared" si="12"/>
        <v>143.19</v>
      </c>
      <c r="K671" s="96"/>
    </row>
    <row r="672" spans="1:11" ht="20.100000000000001" hidden="1" customHeight="1" outlineLevel="1" x14ac:dyDescent="0.25">
      <c r="A672" s="60"/>
      <c r="B672" s="12"/>
      <c r="C672" s="45"/>
      <c r="D672" s="45"/>
      <c r="E672" s="34"/>
      <c r="F672" s="12"/>
      <c r="G672" s="34"/>
      <c r="H672" s="30"/>
      <c r="K672" s="96"/>
    </row>
    <row r="673" spans="1:13" ht="20.100000000000001" hidden="1" customHeight="1" outlineLevel="1" x14ac:dyDescent="0.25">
      <c r="A673" s="62" t="s">
        <v>877</v>
      </c>
      <c r="B673" s="7" t="s">
        <v>9</v>
      </c>
      <c r="C673" s="47" t="s">
        <v>878</v>
      </c>
      <c r="D673" s="47" t="s">
        <v>1373</v>
      </c>
      <c r="E673" s="81">
        <f>E677</f>
        <v>1</v>
      </c>
      <c r="F673" s="7" t="s">
        <v>10</v>
      </c>
      <c r="G673" s="81">
        <f>G677</f>
        <v>0</v>
      </c>
      <c r="H673" s="21">
        <f>H677</f>
        <v>0</v>
      </c>
      <c r="K673" s="96"/>
    </row>
    <row r="674" spans="1:13" ht="20.100000000000001" hidden="1" customHeight="1" outlineLevel="1" x14ac:dyDescent="0.25">
      <c r="A674" s="59" t="s">
        <v>879</v>
      </c>
      <c r="B674" s="3" t="s">
        <v>17</v>
      </c>
      <c r="C674" s="43" t="s">
        <v>880</v>
      </c>
      <c r="D674" s="43" t="s">
        <v>1374</v>
      </c>
      <c r="E674" s="78">
        <v>9.6</v>
      </c>
      <c r="F674" s="3" t="s">
        <v>18</v>
      </c>
      <c r="G674" s="78"/>
      <c r="H674" s="20"/>
      <c r="K674" s="96"/>
    </row>
    <row r="675" spans="1:13" ht="20.100000000000001" hidden="1" customHeight="1" outlineLevel="1" x14ac:dyDescent="0.25">
      <c r="A675" s="59" t="s">
        <v>881</v>
      </c>
      <c r="B675" s="3" t="s">
        <v>17</v>
      </c>
      <c r="C675" s="43" t="s">
        <v>882</v>
      </c>
      <c r="D675" s="43" t="s">
        <v>1375</v>
      </c>
      <c r="E675" s="78">
        <v>3.4</v>
      </c>
      <c r="F675" s="3" t="s">
        <v>277</v>
      </c>
      <c r="G675" s="78"/>
      <c r="H675" s="20"/>
      <c r="K675" s="96"/>
    </row>
    <row r="676" spans="1:13" ht="20.100000000000001" hidden="1" customHeight="1" outlineLevel="1" x14ac:dyDescent="0.25">
      <c r="A676" s="59" t="s">
        <v>883</v>
      </c>
      <c r="B676" s="3" t="s">
        <v>17</v>
      </c>
      <c r="C676" s="43" t="s">
        <v>884</v>
      </c>
      <c r="D676" s="43" t="s">
        <v>1376</v>
      </c>
      <c r="E676" s="78">
        <v>1</v>
      </c>
      <c r="F676" s="3" t="s">
        <v>433</v>
      </c>
      <c r="G676" s="78"/>
      <c r="H676" s="20"/>
      <c r="K676" s="96"/>
    </row>
    <row r="677" spans="1:13" ht="20.100000000000001" hidden="1" customHeight="1" outlineLevel="1" x14ac:dyDescent="0.25">
      <c r="A677" s="52"/>
      <c r="B677" s="9"/>
      <c r="C677" s="44" t="s">
        <v>885</v>
      </c>
      <c r="D677" s="44" t="s">
        <v>885</v>
      </c>
      <c r="E677" s="78">
        <v>1</v>
      </c>
      <c r="F677" s="9"/>
      <c r="G677" s="79">
        <f>SUM(H674:H676)</f>
        <v>0</v>
      </c>
      <c r="H677" s="29">
        <f>ROUND(E677*G677,2)</f>
        <v>0</v>
      </c>
      <c r="K677" s="96"/>
    </row>
    <row r="678" spans="1:13" ht="20.100000000000001" customHeight="1" collapsed="1" x14ac:dyDescent="0.25">
      <c r="A678" s="60"/>
      <c r="B678" s="12"/>
      <c r="C678" s="45"/>
      <c r="D678" s="45"/>
      <c r="E678" s="34"/>
      <c r="F678" s="12"/>
      <c r="G678" s="34"/>
      <c r="H678" s="30"/>
      <c r="K678" s="96"/>
    </row>
    <row r="679" spans="1:13" ht="20.100000000000001" customHeight="1" x14ac:dyDescent="0.25">
      <c r="A679" s="62" t="s">
        <v>644</v>
      </c>
      <c r="B679" s="7" t="s">
        <v>9</v>
      </c>
      <c r="C679" s="47" t="s">
        <v>771</v>
      </c>
      <c r="D679" s="93" t="s">
        <v>1049</v>
      </c>
      <c r="E679" s="81">
        <f>E683</f>
        <v>1</v>
      </c>
      <c r="F679" s="7" t="s">
        <v>433</v>
      </c>
      <c r="G679" s="81">
        <f>G683</f>
        <v>206.85</v>
      </c>
      <c r="H679" s="21">
        <f>H683</f>
        <v>206.85</v>
      </c>
      <c r="K679" s="96"/>
    </row>
    <row r="680" spans="1:13" ht="20.100000000000001" customHeight="1" x14ac:dyDescent="0.25">
      <c r="A680" s="59" t="s">
        <v>645</v>
      </c>
      <c r="B680" s="3" t="s">
        <v>17</v>
      </c>
      <c r="C680" s="43" t="s">
        <v>888</v>
      </c>
      <c r="D680" s="43" t="s">
        <v>1368</v>
      </c>
      <c r="E680" s="78">
        <v>6.51</v>
      </c>
      <c r="F680" s="3" t="s">
        <v>18</v>
      </c>
      <c r="G680" s="78">
        <v>14.65</v>
      </c>
      <c r="H680" s="20">
        <f>ROUND(E680*G680,2)</f>
        <v>95.37</v>
      </c>
      <c r="K680" s="96"/>
    </row>
    <row r="681" spans="1:13" ht="20.100000000000001" customHeight="1" x14ac:dyDescent="0.25">
      <c r="A681" s="59" t="s">
        <v>646</v>
      </c>
      <c r="B681" s="3" t="s">
        <v>17</v>
      </c>
      <c r="C681" s="43" t="s">
        <v>857</v>
      </c>
      <c r="D681" s="43" t="s">
        <v>1369</v>
      </c>
      <c r="E681" s="78">
        <v>1</v>
      </c>
      <c r="F681" s="3" t="s">
        <v>26</v>
      </c>
      <c r="G681" s="78">
        <v>111.48</v>
      </c>
      <c r="H681" s="20">
        <f>ROUND(E681*G681,2)</f>
        <v>111.48</v>
      </c>
      <c r="K681" s="96"/>
    </row>
    <row r="682" spans="1:13" ht="20.100000000000001" hidden="1" customHeight="1" outlineLevel="1" x14ac:dyDescent="0.25">
      <c r="A682" s="59" t="s">
        <v>1379</v>
      </c>
      <c r="B682" s="3" t="s">
        <v>17</v>
      </c>
      <c r="C682" s="43" t="s">
        <v>891</v>
      </c>
      <c r="D682" s="97" t="s">
        <v>1380</v>
      </c>
      <c r="E682" s="78">
        <v>3</v>
      </c>
      <c r="F682" s="3" t="s">
        <v>10</v>
      </c>
      <c r="G682" s="78"/>
      <c r="H682" s="20"/>
      <c r="K682" s="96"/>
    </row>
    <row r="683" spans="1:13" ht="20.100000000000001" customHeight="1" collapsed="1" x14ac:dyDescent="0.25">
      <c r="A683" s="52"/>
      <c r="B683" s="9"/>
      <c r="C683" s="44" t="s">
        <v>655</v>
      </c>
      <c r="D683" s="44" t="s">
        <v>655</v>
      </c>
      <c r="E683" s="78">
        <v>1</v>
      </c>
      <c r="F683" s="9"/>
      <c r="G683" s="79">
        <f>SUM(H680:H682)</f>
        <v>206.85</v>
      </c>
      <c r="H683" s="29">
        <f>ROUND(E683*G683,2)</f>
        <v>206.85</v>
      </c>
      <c r="K683" s="96"/>
    </row>
    <row r="684" spans="1:13" ht="20.100000000000001" customHeight="1" x14ac:dyDescent="0.25">
      <c r="A684" s="60"/>
      <c r="B684" s="12"/>
      <c r="C684" s="45"/>
      <c r="D684" s="45"/>
      <c r="E684" s="34"/>
      <c r="F684" s="12"/>
      <c r="G684" s="34"/>
      <c r="H684" s="30"/>
      <c r="K684" s="96"/>
    </row>
    <row r="685" spans="1:13" s="8" customFormat="1" ht="20.100000000000001" customHeight="1" x14ac:dyDescent="0.25">
      <c r="A685" s="52"/>
      <c r="B685" s="9"/>
      <c r="C685" s="44" t="s">
        <v>893</v>
      </c>
      <c r="D685" s="44"/>
      <c r="E685" s="78">
        <v>1</v>
      </c>
      <c r="F685" s="9"/>
      <c r="G685" s="79">
        <f>H659+H664+H673+H679</f>
        <v>770.12</v>
      </c>
      <c r="H685" s="29">
        <f>ROUND(E685*G685,2)</f>
        <v>770.12</v>
      </c>
      <c r="K685" s="96"/>
      <c r="M685" s="110"/>
    </row>
    <row r="686" spans="1:13" ht="20.100000000000001" customHeight="1" x14ac:dyDescent="0.25">
      <c r="A686" s="60"/>
      <c r="B686" s="12"/>
      <c r="C686" s="45"/>
      <c r="D686" s="45"/>
      <c r="E686" s="34"/>
      <c r="F686" s="12"/>
      <c r="G686" s="34"/>
      <c r="H686" s="30"/>
      <c r="K686" s="96"/>
    </row>
    <row r="687" spans="1:13" s="8" customFormat="1" ht="20.100000000000001" customHeight="1" x14ac:dyDescent="0.25">
      <c r="A687" s="52"/>
      <c r="B687" s="9"/>
      <c r="C687" s="44" t="s">
        <v>894</v>
      </c>
      <c r="D687" s="44"/>
      <c r="E687" s="78">
        <v>1</v>
      </c>
      <c r="F687" s="9"/>
      <c r="G687" s="79">
        <f>H609+H658</f>
        <v>50314.38</v>
      </c>
      <c r="H687" s="29">
        <f>ROUND(E687*G687,2)</f>
        <v>50314.38</v>
      </c>
      <c r="K687" s="96"/>
      <c r="M687" s="110"/>
    </row>
    <row r="688" spans="1:13" ht="20.100000000000001" customHeight="1" x14ac:dyDescent="0.25">
      <c r="A688" s="60"/>
      <c r="B688" s="12"/>
      <c r="C688" s="45"/>
      <c r="D688" s="45"/>
      <c r="E688" s="34"/>
      <c r="F688" s="12"/>
      <c r="G688" s="34"/>
      <c r="H688" s="30"/>
      <c r="K688" s="96"/>
    </row>
    <row r="689" spans="1:13" ht="20.100000000000001" hidden="1" customHeight="1" outlineLevel="1" x14ac:dyDescent="0.25">
      <c r="A689" s="58"/>
      <c r="B689" s="5" t="s">
        <v>9</v>
      </c>
      <c r="C689" s="42" t="s">
        <v>895</v>
      </c>
      <c r="D689" s="42" t="s">
        <v>1381</v>
      </c>
      <c r="E689" s="77">
        <f>E695</f>
        <v>1</v>
      </c>
      <c r="F689" s="5" t="s">
        <v>10</v>
      </c>
      <c r="G689" s="77">
        <f>G695</f>
        <v>0</v>
      </c>
      <c r="H689" s="28">
        <f>H695</f>
        <v>0</v>
      </c>
      <c r="K689" s="96"/>
    </row>
    <row r="690" spans="1:13" ht="20.100000000000001" hidden="1" customHeight="1" outlineLevel="1" x14ac:dyDescent="0.25">
      <c r="A690" s="61" t="s">
        <v>896</v>
      </c>
      <c r="B690" s="17" t="s">
        <v>9</v>
      </c>
      <c r="C690" s="46" t="s">
        <v>897</v>
      </c>
      <c r="D690" s="94" t="s">
        <v>897</v>
      </c>
      <c r="E690" s="80">
        <f>E693</f>
        <v>1</v>
      </c>
      <c r="F690" s="17" t="s">
        <v>10</v>
      </c>
      <c r="G690" s="80">
        <f>G693</f>
        <v>0</v>
      </c>
      <c r="H690" s="31">
        <f>H693</f>
        <v>0</v>
      </c>
      <c r="K690" s="96"/>
    </row>
    <row r="691" spans="1:13" ht="20.100000000000001" hidden="1" customHeight="1" outlineLevel="1" x14ac:dyDescent="0.25">
      <c r="A691" s="59" t="s">
        <v>898</v>
      </c>
      <c r="B691" s="3" t="s">
        <v>17</v>
      </c>
      <c r="C691" s="43" t="s">
        <v>899</v>
      </c>
      <c r="D691" s="91" t="s">
        <v>899</v>
      </c>
      <c r="E691" s="78">
        <v>19.3</v>
      </c>
      <c r="F691" s="3" t="s">
        <v>54</v>
      </c>
      <c r="G691" s="78"/>
      <c r="H691" s="20"/>
      <c r="K691" s="96"/>
    </row>
    <row r="692" spans="1:13" ht="20.100000000000001" hidden="1" customHeight="1" outlineLevel="1" x14ac:dyDescent="0.25">
      <c r="A692" s="59" t="s">
        <v>900</v>
      </c>
      <c r="B692" s="3" t="s">
        <v>17</v>
      </c>
      <c r="C692" s="43" t="s">
        <v>901</v>
      </c>
      <c r="D692" s="91" t="s">
        <v>1457</v>
      </c>
      <c r="E692" s="78">
        <v>192.95</v>
      </c>
      <c r="F692" s="3" t="s">
        <v>35</v>
      </c>
      <c r="G692" s="78"/>
      <c r="H692" s="20"/>
      <c r="K692" s="96"/>
    </row>
    <row r="693" spans="1:13" ht="20.100000000000001" hidden="1" customHeight="1" outlineLevel="1" x14ac:dyDescent="0.25">
      <c r="A693" s="52"/>
      <c r="B693" s="9"/>
      <c r="C693" s="44" t="s">
        <v>902</v>
      </c>
      <c r="D693" s="44" t="s">
        <v>902</v>
      </c>
      <c r="E693" s="78">
        <v>1</v>
      </c>
      <c r="F693" s="9"/>
      <c r="G693" s="79">
        <f>SUM(H691:H692)</f>
        <v>0</v>
      </c>
      <c r="H693" s="29">
        <f>ROUND(E693*G693,2)</f>
        <v>0</v>
      </c>
      <c r="K693" s="96"/>
    </row>
    <row r="694" spans="1:13" ht="20.100000000000001" hidden="1" customHeight="1" outlineLevel="1" x14ac:dyDescent="0.25">
      <c r="A694" s="60"/>
      <c r="B694" s="12"/>
      <c r="C694" s="45"/>
      <c r="D694" s="45"/>
      <c r="E694" s="34"/>
      <c r="F694" s="12"/>
      <c r="G694" s="34"/>
      <c r="H694" s="30"/>
      <c r="K694" s="96"/>
    </row>
    <row r="695" spans="1:13" s="8" customFormat="1" ht="20.100000000000001" customHeight="1" collapsed="1" x14ac:dyDescent="0.25">
      <c r="A695" s="52"/>
      <c r="B695" s="9"/>
      <c r="C695" s="44" t="s">
        <v>903</v>
      </c>
      <c r="D695" s="44"/>
      <c r="E695" s="78">
        <v>1</v>
      </c>
      <c r="F695" s="9"/>
      <c r="G695" s="79">
        <f>H690</f>
        <v>0</v>
      </c>
      <c r="H695" s="29">
        <f>ROUND(E695*G695,2)</f>
        <v>0</v>
      </c>
      <c r="K695" s="96"/>
      <c r="M695" s="110"/>
    </row>
    <row r="696" spans="1:13" ht="20.100000000000001" customHeight="1" x14ac:dyDescent="0.25">
      <c r="A696" s="60"/>
      <c r="B696" s="12"/>
      <c r="C696" s="45"/>
      <c r="D696" s="45"/>
      <c r="E696" s="34"/>
      <c r="F696" s="12"/>
      <c r="G696" s="34"/>
      <c r="H696" s="30"/>
      <c r="K696" s="96"/>
    </row>
    <row r="697" spans="1:13" ht="20.100000000000001" customHeight="1" x14ac:dyDescent="0.25">
      <c r="A697" s="58"/>
      <c r="B697" s="5" t="s">
        <v>9</v>
      </c>
      <c r="C697" s="42" t="s">
        <v>904</v>
      </c>
      <c r="D697" s="42" t="s">
        <v>1382</v>
      </c>
      <c r="E697" s="77">
        <f>E711</f>
        <v>1</v>
      </c>
      <c r="F697" s="5" t="s">
        <v>10</v>
      </c>
      <c r="G697" s="77">
        <f>G711</f>
        <v>29447.42</v>
      </c>
      <c r="H697" s="28">
        <f>H711</f>
        <v>29447.42</v>
      </c>
      <c r="K697" s="96"/>
    </row>
    <row r="698" spans="1:13" ht="20.100000000000001" customHeight="1" x14ac:dyDescent="0.25">
      <c r="A698" s="61" t="s">
        <v>656</v>
      </c>
      <c r="B698" s="17" t="s">
        <v>9</v>
      </c>
      <c r="C698" s="46" t="s">
        <v>906</v>
      </c>
      <c r="D698" s="46" t="s">
        <v>1383</v>
      </c>
      <c r="E698" s="80">
        <f>E709</f>
        <v>1</v>
      </c>
      <c r="F698" s="17" t="s">
        <v>65</v>
      </c>
      <c r="G698" s="80">
        <f>G709</f>
        <v>29447.42</v>
      </c>
      <c r="H698" s="31">
        <f>H709</f>
        <v>29447.42</v>
      </c>
      <c r="K698" s="96"/>
    </row>
    <row r="699" spans="1:13" ht="20.100000000000001" customHeight="1" x14ac:dyDescent="0.25">
      <c r="A699" s="59" t="s">
        <v>657</v>
      </c>
      <c r="B699" s="3" t="s">
        <v>17</v>
      </c>
      <c r="C699" s="43" t="s">
        <v>908</v>
      </c>
      <c r="D699" s="91" t="s">
        <v>1384</v>
      </c>
      <c r="E699" s="78">
        <v>10</v>
      </c>
      <c r="F699" s="3" t="s">
        <v>10</v>
      </c>
      <c r="G699" s="78">
        <v>358.42</v>
      </c>
      <c r="H699" s="20">
        <f t="shared" ref="H699:H709" si="13">ROUND(E699*G699,2)</f>
        <v>3584.2</v>
      </c>
      <c r="K699" s="96"/>
    </row>
    <row r="700" spans="1:13" ht="20.100000000000001" customHeight="1" x14ac:dyDescent="0.25">
      <c r="A700" s="59" t="s">
        <v>659</v>
      </c>
      <c r="B700" s="3" t="s">
        <v>17</v>
      </c>
      <c r="C700" s="43" t="s">
        <v>910</v>
      </c>
      <c r="D700" s="91" t="s">
        <v>1385</v>
      </c>
      <c r="E700" s="78">
        <v>18</v>
      </c>
      <c r="F700" s="3" t="s">
        <v>10</v>
      </c>
      <c r="G700" s="78">
        <v>358.42</v>
      </c>
      <c r="H700" s="20">
        <f t="shared" si="13"/>
        <v>6451.56</v>
      </c>
      <c r="K700" s="96"/>
    </row>
    <row r="701" spans="1:13" ht="20.100000000000001" customHeight="1" x14ac:dyDescent="0.25">
      <c r="A701" s="59" t="s">
        <v>661</v>
      </c>
      <c r="B701" s="3" t="s">
        <v>17</v>
      </c>
      <c r="C701" s="43" t="s">
        <v>912</v>
      </c>
      <c r="D701" s="91" t="s">
        <v>1386</v>
      </c>
      <c r="E701" s="78">
        <v>2</v>
      </c>
      <c r="F701" s="3" t="s">
        <v>10</v>
      </c>
      <c r="G701" s="78">
        <v>885.24</v>
      </c>
      <c r="H701" s="20">
        <f t="shared" si="13"/>
        <v>1770.48</v>
      </c>
      <c r="K701" s="96"/>
    </row>
    <row r="702" spans="1:13" ht="20.100000000000001" customHeight="1" x14ac:dyDescent="0.25">
      <c r="A702" s="59" t="s">
        <v>662</v>
      </c>
      <c r="B702" s="3" t="s">
        <v>17</v>
      </c>
      <c r="C702" s="43" t="s">
        <v>914</v>
      </c>
      <c r="D702" s="91" t="s">
        <v>1387</v>
      </c>
      <c r="E702" s="78">
        <v>2</v>
      </c>
      <c r="F702" s="3" t="s">
        <v>10</v>
      </c>
      <c r="G702" s="78">
        <v>863.92</v>
      </c>
      <c r="H702" s="20">
        <f t="shared" si="13"/>
        <v>1727.84</v>
      </c>
      <c r="K702" s="96"/>
    </row>
    <row r="703" spans="1:13" ht="20.100000000000001" customHeight="1" x14ac:dyDescent="0.25">
      <c r="A703" s="59" t="s">
        <v>664</v>
      </c>
      <c r="B703" s="3" t="s">
        <v>17</v>
      </c>
      <c r="C703" s="43" t="s">
        <v>916</v>
      </c>
      <c r="D703" s="91" t="s">
        <v>1388</v>
      </c>
      <c r="E703" s="78">
        <v>1</v>
      </c>
      <c r="F703" s="3" t="s">
        <v>10</v>
      </c>
      <c r="G703" s="78">
        <v>1191.99</v>
      </c>
      <c r="H703" s="20">
        <f t="shared" si="13"/>
        <v>1191.99</v>
      </c>
      <c r="K703" s="96"/>
    </row>
    <row r="704" spans="1:13" ht="20.100000000000001" customHeight="1" x14ac:dyDescent="0.25">
      <c r="A704" s="59" t="s">
        <v>666</v>
      </c>
      <c r="B704" s="3" t="s">
        <v>17</v>
      </c>
      <c r="C704" s="43" t="s">
        <v>918</v>
      </c>
      <c r="D704" s="91" t="s">
        <v>1389</v>
      </c>
      <c r="E704" s="78">
        <v>1</v>
      </c>
      <c r="F704" s="3" t="s">
        <v>10</v>
      </c>
      <c r="G704" s="78">
        <v>935.24</v>
      </c>
      <c r="H704" s="20">
        <f t="shared" si="13"/>
        <v>935.24</v>
      </c>
      <c r="K704" s="96"/>
    </row>
    <row r="705" spans="1:13" ht="20.100000000000001" customHeight="1" x14ac:dyDescent="0.25">
      <c r="A705" s="59" t="s">
        <v>668</v>
      </c>
      <c r="B705" s="3" t="s">
        <v>17</v>
      </c>
      <c r="C705" s="43" t="s">
        <v>920</v>
      </c>
      <c r="D705" s="91" t="s">
        <v>1390</v>
      </c>
      <c r="E705" s="78">
        <v>2</v>
      </c>
      <c r="F705" s="3" t="s">
        <v>10</v>
      </c>
      <c r="G705" s="78">
        <v>1371.74</v>
      </c>
      <c r="H705" s="20">
        <f t="shared" si="13"/>
        <v>2743.48</v>
      </c>
      <c r="K705" s="96"/>
    </row>
    <row r="706" spans="1:13" ht="39.950000000000003" customHeight="1" x14ac:dyDescent="0.25">
      <c r="A706" s="59" t="s">
        <v>670</v>
      </c>
      <c r="B706" s="3" t="s">
        <v>17</v>
      </c>
      <c r="C706" s="43" t="s">
        <v>922</v>
      </c>
      <c r="D706" s="43" t="s">
        <v>1391</v>
      </c>
      <c r="E706" s="78">
        <v>103.14</v>
      </c>
      <c r="F706" s="3" t="s">
        <v>48</v>
      </c>
      <c r="G706" s="78">
        <v>23.47</v>
      </c>
      <c r="H706" s="20">
        <f t="shared" si="13"/>
        <v>2420.6999999999998</v>
      </c>
      <c r="K706" s="96"/>
    </row>
    <row r="707" spans="1:13" ht="20.100000000000001" customHeight="1" x14ac:dyDescent="0.25">
      <c r="A707" s="59" t="s">
        <v>671</v>
      </c>
      <c r="B707" s="3" t="s">
        <v>17</v>
      </c>
      <c r="C707" s="43" t="s">
        <v>924</v>
      </c>
      <c r="D707" s="43" t="s">
        <v>1392</v>
      </c>
      <c r="E707" s="78">
        <v>1</v>
      </c>
      <c r="F707" s="3" t="s">
        <v>10</v>
      </c>
      <c r="G707" s="78">
        <v>7790</v>
      </c>
      <c r="H707" s="20">
        <f t="shared" si="13"/>
        <v>7790</v>
      </c>
      <c r="K707" s="96"/>
    </row>
    <row r="708" spans="1:13" ht="20.100000000000001" customHeight="1" x14ac:dyDescent="0.25">
      <c r="A708" s="59" t="s">
        <v>672</v>
      </c>
      <c r="B708" s="3" t="s">
        <v>17</v>
      </c>
      <c r="C708" s="43" t="s">
        <v>926</v>
      </c>
      <c r="D708" s="43" t="s">
        <v>1393</v>
      </c>
      <c r="E708" s="78">
        <v>1</v>
      </c>
      <c r="F708" s="3" t="s">
        <v>10</v>
      </c>
      <c r="G708" s="78">
        <v>831.93</v>
      </c>
      <c r="H708" s="20">
        <f t="shared" si="13"/>
        <v>831.93</v>
      </c>
      <c r="K708" s="96"/>
    </row>
    <row r="709" spans="1:13" ht="20.100000000000001" customHeight="1" x14ac:dyDescent="0.25">
      <c r="A709" s="52"/>
      <c r="B709" s="9"/>
      <c r="C709" s="44" t="s">
        <v>673</v>
      </c>
      <c r="D709" s="44" t="s">
        <v>673</v>
      </c>
      <c r="E709" s="78">
        <v>1</v>
      </c>
      <c r="F709" s="9"/>
      <c r="G709" s="79">
        <f>SUM(H699:H708)</f>
        <v>29447.42</v>
      </c>
      <c r="H709" s="29">
        <f t="shared" si="13"/>
        <v>29447.42</v>
      </c>
      <c r="K709" s="96"/>
    </row>
    <row r="710" spans="1:13" ht="20.100000000000001" customHeight="1" x14ac:dyDescent="0.25">
      <c r="A710" s="60"/>
      <c r="B710" s="12"/>
      <c r="C710" s="45"/>
      <c r="D710" s="45"/>
      <c r="E710" s="34"/>
      <c r="F710" s="12"/>
      <c r="G710" s="34"/>
      <c r="H710" s="30"/>
      <c r="K710" s="96"/>
    </row>
    <row r="711" spans="1:13" s="8" customFormat="1" ht="20.100000000000001" customHeight="1" x14ac:dyDescent="0.25">
      <c r="A711" s="52"/>
      <c r="B711" s="9"/>
      <c r="C711" s="44" t="s">
        <v>928</v>
      </c>
      <c r="D711" s="44"/>
      <c r="E711" s="78">
        <v>1</v>
      </c>
      <c r="F711" s="9"/>
      <c r="G711" s="79">
        <f>H698</f>
        <v>29447.42</v>
      </c>
      <c r="H711" s="29">
        <f>ROUND(E711*G711,2)</f>
        <v>29447.42</v>
      </c>
      <c r="K711" s="96"/>
      <c r="M711" s="110"/>
    </row>
    <row r="712" spans="1:13" ht="20.100000000000001" customHeight="1" x14ac:dyDescent="0.25">
      <c r="A712" s="60"/>
      <c r="B712" s="12"/>
      <c r="C712" s="45"/>
      <c r="D712" s="45"/>
      <c r="E712" s="34"/>
      <c r="F712" s="12"/>
      <c r="G712" s="34"/>
      <c r="H712" s="30"/>
      <c r="K712" s="96"/>
    </row>
    <row r="713" spans="1:13" s="8" customFormat="1" ht="20.100000000000001" customHeight="1" x14ac:dyDescent="0.25">
      <c r="A713" s="52"/>
      <c r="B713" s="9"/>
      <c r="C713" s="44" t="s">
        <v>929</v>
      </c>
      <c r="D713" s="44"/>
      <c r="E713" s="78">
        <v>1</v>
      </c>
      <c r="F713" s="9"/>
      <c r="G713" s="79">
        <f>H608+H689+H697</f>
        <v>79761.8</v>
      </c>
      <c r="H713" s="29">
        <f>ROUND(E713*G713,2)</f>
        <v>79761.8</v>
      </c>
      <c r="K713" s="96"/>
      <c r="M713" s="110"/>
    </row>
    <row r="714" spans="1:13" ht="20.100000000000001" customHeight="1" x14ac:dyDescent="0.25">
      <c r="A714" s="60"/>
      <c r="B714" s="12"/>
      <c r="C714" s="45"/>
      <c r="D714" s="45"/>
      <c r="E714" s="34"/>
      <c r="F714" s="12"/>
      <c r="G714" s="34"/>
      <c r="H714" s="30"/>
      <c r="K714" s="96"/>
    </row>
    <row r="715" spans="1:13" ht="20.100000000000001" customHeight="1" x14ac:dyDescent="0.25">
      <c r="A715" s="57"/>
      <c r="B715" s="16" t="s">
        <v>9</v>
      </c>
      <c r="C715" s="41" t="s">
        <v>930</v>
      </c>
      <c r="D715" s="41" t="s">
        <v>1394</v>
      </c>
      <c r="E715" s="76">
        <f>E779</f>
        <v>1</v>
      </c>
      <c r="F715" s="16" t="s">
        <v>10</v>
      </c>
      <c r="G715" s="76">
        <f>G779</f>
        <v>152399.01999999999</v>
      </c>
      <c r="H715" s="27">
        <f>H779</f>
        <v>152399.01999999999</v>
      </c>
      <c r="K715" s="96"/>
    </row>
    <row r="716" spans="1:13" ht="20.100000000000001" customHeight="1" x14ac:dyDescent="0.25">
      <c r="A716" s="58"/>
      <c r="B716" s="5" t="s">
        <v>9</v>
      </c>
      <c r="C716" s="42" t="s">
        <v>931</v>
      </c>
      <c r="D716" s="42" t="s">
        <v>1395</v>
      </c>
      <c r="E716" s="77">
        <f>E727</f>
        <v>1</v>
      </c>
      <c r="F716" s="5" t="s">
        <v>10</v>
      </c>
      <c r="G716" s="77">
        <f>G727</f>
        <v>152399.01999999999</v>
      </c>
      <c r="H716" s="28">
        <f>H727</f>
        <v>152399.01999999999</v>
      </c>
      <c r="K716" s="96"/>
    </row>
    <row r="717" spans="1:13" ht="20.100000000000001" hidden="1" customHeight="1" outlineLevel="1" x14ac:dyDescent="0.25">
      <c r="A717" s="59" t="s">
        <v>932</v>
      </c>
      <c r="B717" s="3" t="s">
        <v>17</v>
      </c>
      <c r="C717" s="43" t="s">
        <v>933</v>
      </c>
      <c r="D717" s="43" t="s">
        <v>1396</v>
      </c>
      <c r="E717" s="78">
        <v>0</v>
      </c>
      <c r="F717" s="3" t="s">
        <v>10</v>
      </c>
      <c r="G717" s="78"/>
      <c r="H717" s="20"/>
      <c r="K717" s="96"/>
    </row>
    <row r="718" spans="1:13" ht="20.100000000000001" customHeight="1" collapsed="1" x14ac:dyDescent="0.25">
      <c r="A718" s="59" t="s">
        <v>674</v>
      </c>
      <c r="B718" s="3" t="s">
        <v>17</v>
      </c>
      <c r="C718" s="43" t="s">
        <v>935</v>
      </c>
      <c r="D718" s="43" t="s">
        <v>1447</v>
      </c>
      <c r="E718" s="78">
        <v>1</v>
      </c>
      <c r="F718" s="3" t="s">
        <v>10</v>
      </c>
      <c r="G718" s="78">
        <f>46118.03+8075.1</f>
        <v>54193.13</v>
      </c>
      <c r="H718" s="20">
        <f>ROUND(E718*G718,2)</f>
        <v>54193.13</v>
      </c>
      <c r="I718" s="96"/>
      <c r="J718" s="96"/>
      <c r="K718" s="96"/>
    </row>
    <row r="719" spans="1:13" ht="20.100000000000001" hidden="1" customHeight="1" outlineLevel="1" x14ac:dyDescent="0.25">
      <c r="A719" s="59" t="s">
        <v>936</v>
      </c>
      <c r="B719" s="3" t="s">
        <v>17</v>
      </c>
      <c r="C719" s="43" t="s">
        <v>937</v>
      </c>
      <c r="D719" s="43" t="s">
        <v>1448</v>
      </c>
      <c r="E719" s="78">
        <v>1</v>
      </c>
      <c r="F719" s="3" t="s">
        <v>10</v>
      </c>
      <c r="G719" s="78"/>
      <c r="H719" s="20"/>
      <c r="I719" s="96"/>
      <c r="J719" s="96"/>
      <c r="K719" s="96"/>
    </row>
    <row r="720" spans="1:13" ht="20.100000000000001" hidden="1" customHeight="1" outlineLevel="1" x14ac:dyDescent="0.25">
      <c r="A720" s="59" t="s">
        <v>938</v>
      </c>
      <c r="B720" s="3" t="s">
        <v>17</v>
      </c>
      <c r="C720" s="43" t="s">
        <v>939</v>
      </c>
      <c r="D720" s="6" t="s">
        <v>1397</v>
      </c>
      <c r="E720" s="78">
        <v>0</v>
      </c>
      <c r="F720" s="3" t="s">
        <v>10</v>
      </c>
      <c r="G720" s="78"/>
      <c r="H720" s="20"/>
      <c r="I720" s="96"/>
      <c r="J720" s="96"/>
      <c r="K720" s="96"/>
    </row>
    <row r="721" spans="1:11" ht="20.100000000000001" customHeight="1" collapsed="1" x14ac:dyDescent="0.25">
      <c r="A721" s="59" t="s">
        <v>691</v>
      </c>
      <c r="B721" s="3" t="s">
        <v>17</v>
      </c>
      <c r="C721" s="43" t="s">
        <v>941</v>
      </c>
      <c r="D721" s="6" t="s">
        <v>1449</v>
      </c>
      <c r="E721" s="78">
        <v>1</v>
      </c>
      <c r="F721" s="3" t="s">
        <v>10</v>
      </c>
      <c r="G721" s="78">
        <v>56110.54</v>
      </c>
      <c r="H721" s="20">
        <f>ROUND(E721*G721,2)</f>
        <v>56110.54</v>
      </c>
      <c r="I721" s="96"/>
      <c r="J721" s="96"/>
      <c r="K721" s="96"/>
    </row>
    <row r="722" spans="1:11" ht="20.100000000000001" hidden="1" customHeight="1" outlineLevel="1" x14ac:dyDescent="0.25">
      <c r="A722" s="59" t="s">
        <v>942</v>
      </c>
      <c r="B722" s="3" t="s">
        <v>17</v>
      </c>
      <c r="C722" s="43" t="s">
        <v>943</v>
      </c>
      <c r="D722" s="6" t="s">
        <v>1450</v>
      </c>
      <c r="E722" s="78">
        <v>1</v>
      </c>
      <c r="F722" s="3" t="s">
        <v>10</v>
      </c>
      <c r="G722" s="78"/>
      <c r="H722" s="20"/>
      <c r="I722" s="96"/>
      <c r="J722" s="96"/>
      <c r="K722" s="96"/>
    </row>
    <row r="723" spans="1:11" ht="20.100000000000001" customHeight="1" collapsed="1" x14ac:dyDescent="0.25">
      <c r="A723" s="59" t="s">
        <v>704</v>
      </c>
      <c r="B723" s="3" t="s">
        <v>17</v>
      </c>
      <c r="C723" s="43" t="s">
        <v>945</v>
      </c>
      <c r="D723" s="6" t="s">
        <v>1398</v>
      </c>
      <c r="E723" s="78">
        <v>1</v>
      </c>
      <c r="F723" s="3" t="s">
        <v>10</v>
      </c>
      <c r="G723" s="78">
        <v>10324.120000000001</v>
      </c>
      <c r="H723" s="20">
        <f>ROUND(E723*G723,2)</f>
        <v>10324.120000000001</v>
      </c>
      <c r="I723" s="96"/>
      <c r="J723" s="96"/>
      <c r="K723" s="96"/>
    </row>
    <row r="724" spans="1:11" ht="20.100000000000001" hidden="1" customHeight="1" outlineLevel="1" x14ac:dyDescent="0.25">
      <c r="A724" s="59" t="s">
        <v>946</v>
      </c>
      <c r="B724" s="3" t="s">
        <v>17</v>
      </c>
      <c r="C724" s="43" t="s">
        <v>947</v>
      </c>
      <c r="D724" s="6" t="s">
        <v>1399</v>
      </c>
      <c r="E724" s="78">
        <v>0</v>
      </c>
      <c r="F724" s="3" t="s">
        <v>10</v>
      </c>
      <c r="G724" s="78"/>
      <c r="H724" s="20"/>
      <c r="I724" s="96"/>
      <c r="J724" s="96"/>
      <c r="K724" s="96"/>
    </row>
    <row r="725" spans="1:11" ht="20.100000000000001" customHeight="1" collapsed="1" x14ac:dyDescent="0.25">
      <c r="A725" s="59" t="s">
        <v>728</v>
      </c>
      <c r="B725" s="3" t="s">
        <v>17</v>
      </c>
      <c r="C725" s="43" t="s">
        <v>949</v>
      </c>
      <c r="D725" s="6" t="s">
        <v>1451</v>
      </c>
      <c r="E725" s="78">
        <v>1</v>
      </c>
      <c r="F725" s="3" t="s">
        <v>10</v>
      </c>
      <c r="G725" s="78">
        <v>31771.23</v>
      </c>
      <c r="H725" s="20">
        <f>ROUND(E725*G725,2)</f>
        <v>31771.23</v>
      </c>
      <c r="I725" s="96"/>
      <c r="J725" s="96"/>
      <c r="K725" s="96"/>
    </row>
    <row r="726" spans="1:11" ht="20.100000000000001" hidden="1" customHeight="1" outlineLevel="1" x14ac:dyDescent="0.25">
      <c r="A726" s="59" t="s">
        <v>950</v>
      </c>
      <c r="B726" s="3" t="s">
        <v>17</v>
      </c>
      <c r="C726" s="43" t="s">
        <v>949</v>
      </c>
      <c r="D726" s="6" t="s">
        <v>1452</v>
      </c>
      <c r="E726" s="78">
        <v>1</v>
      </c>
      <c r="F726" s="3" t="s">
        <v>10</v>
      </c>
      <c r="G726" s="78"/>
      <c r="H726" s="20"/>
      <c r="K726" s="96"/>
    </row>
    <row r="727" spans="1:11" ht="20.100000000000001" customHeight="1" collapsed="1" x14ac:dyDescent="0.25">
      <c r="A727" s="52"/>
      <c r="B727" s="9"/>
      <c r="C727" s="44" t="s">
        <v>1400</v>
      </c>
      <c r="D727" s="44"/>
      <c r="E727" s="78">
        <v>1</v>
      </c>
      <c r="F727" s="9"/>
      <c r="G727" s="79">
        <f>SUM(H717:H726)</f>
        <v>152399.01999999999</v>
      </c>
      <c r="H727" s="29">
        <f>ROUND(E727*G727,2)</f>
        <v>152399.01999999999</v>
      </c>
      <c r="I727" s="99"/>
      <c r="J727" s="99"/>
      <c r="K727" s="96"/>
    </row>
    <row r="728" spans="1:11" ht="20.100000000000001" hidden="1" customHeight="1" outlineLevel="1" x14ac:dyDescent="0.25">
      <c r="A728" s="60"/>
      <c r="B728" s="12"/>
      <c r="C728" s="45"/>
      <c r="D728" s="45"/>
      <c r="E728" s="34"/>
      <c r="F728" s="12"/>
      <c r="G728" s="34"/>
      <c r="H728" s="30"/>
      <c r="K728" s="96"/>
    </row>
    <row r="729" spans="1:11" ht="20.100000000000001" hidden="1" customHeight="1" outlineLevel="1" x14ac:dyDescent="0.25">
      <c r="A729" s="58"/>
      <c r="B729" s="5" t="s">
        <v>9</v>
      </c>
      <c r="C729" s="42" t="s">
        <v>951</v>
      </c>
      <c r="D729" s="42" t="s">
        <v>1401</v>
      </c>
      <c r="E729" s="77">
        <f>E741</f>
        <v>1</v>
      </c>
      <c r="F729" s="5" t="s">
        <v>65</v>
      </c>
      <c r="G729" s="77">
        <f>G741</f>
        <v>0</v>
      </c>
      <c r="H729" s="28">
        <f>H741</f>
        <v>0</v>
      </c>
      <c r="K729" s="96"/>
    </row>
    <row r="730" spans="1:11" ht="20.100000000000001" hidden="1" customHeight="1" outlineLevel="1" x14ac:dyDescent="0.25">
      <c r="A730" s="61" t="s">
        <v>952</v>
      </c>
      <c r="B730" s="17" t="s">
        <v>9</v>
      </c>
      <c r="C730" s="46" t="s">
        <v>953</v>
      </c>
      <c r="D730" s="46" t="s">
        <v>1402</v>
      </c>
      <c r="E730" s="80">
        <f>E734</f>
        <v>1</v>
      </c>
      <c r="F730" s="17" t="s">
        <v>65</v>
      </c>
      <c r="G730" s="80">
        <f>G734</f>
        <v>0</v>
      </c>
      <c r="H730" s="31">
        <f>H734</f>
        <v>0</v>
      </c>
      <c r="K730" s="96"/>
    </row>
    <row r="731" spans="1:11" ht="20.100000000000001" hidden="1" customHeight="1" outlineLevel="1" x14ac:dyDescent="0.25">
      <c r="A731" s="59" t="s">
        <v>954</v>
      </c>
      <c r="B731" s="3" t="s">
        <v>17</v>
      </c>
      <c r="C731" s="43" t="s">
        <v>955</v>
      </c>
      <c r="D731" s="43" t="s">
        <v>1403</v>
      </c>
      <c r="E731" s="78">
        <v>1</v>
      </c>
      <c r="F731" s="3" t="s">
        <v>433</v>
      </c>
      <c r="G731" s="78"/>
      <c r="H731" s="20"/>
      <c r="K731" s="96"/>
    </row>
    <row r="732" spans="1:11" ht="20.100000000000001" hidden="1" customHeight="1" outlineLevel="1" x14ac:dyDescent="0.25">
      <c r="A732" s="59" t="s">
        <v>956</v>
      </c>
      <c r="B732" s="3" t="s">
        <v>17</v>
      </c>
      <c r="C732" s="43" t="s">
        <v>957</v>
      </c>
      <c r="D732" s="43" t="s">
        <v>1404</v>
      </c>
      <c r="E732" s="78">
        <v>1</v>
      </c>
      <c r="F732" s="3" t="s">
        <v>433</v>
      </c>
      <c r="G732" s="78"/>
      <c r="H732" s="20"/>
      <c r="K732" s="96"/>
    </row>
    <row r="733" spans="1:11" ht="20.100000000000001" hidden="1" customHeight="1" outlineLevel="1" x14ac:dyDescent="0.25">
      <c r="A733" s="59" t="s">
        <v>958</v>
      </c>
      <c r="B733" s="3" t="s">
        <v>17</v>
      </c>
      <c r="C733" s="43" t="s">
        <v>959</v>
      </c>
      <c r="D733" s="43" t="s">
        <v>1405</v>
      </c>
      <c r="E733" s="78">
        <v>1</v>
      </c>
      <c r="F733" s="3" t="s">
        <v>433</v>
      </c>
      <c r="G733" s="78"/>
      <c r="H733" s="20"/>
      <c r="K733" s="96"/>
    </row>
    <row r="734" spans="1:11" ht="20.100000000000001" hidden="1" customHeight="1" outlineLevel="1" x14ac:dyDescent="0.25">
      <c r="A734" s="52"/>
      <c r="B734" s="9"/>
      <c r="C734" s="44" t="s">
        <v>960</v>
      </c>
      <c r="D734" s="44" t="s">
        <v>960</v>
      </c>
      <c r="E734" s="78">
        <v>1</v>
      </c>
      <c r="F734" s="9"/>
      <c r="G734" s="79">
        <f>SUM(H731:H733)</f>
        <v>0</v>
      </c>
      <c r="H734" s="29">
        <f>ROUND(E734*G734,2)</f>
        <v>0</v>
      </c>
      <c r="K734" s="96"/>
    </row>
    <row r="735" spans="1:11" ht="20.100000000000001" hidden="1" customHeight="1" outlineLevel="1" x14ac:dyDescent="0.25">
      <c r="A735" s="60"/>
      <c r="B735" s="12"/>
      <c r="C735" s="45"/>
      <c r="D735" s="45"/>
      <c r="E735" s="34"/>
      <c r="F735" s="12"/>
      <c r="G735" s="34"/>
      <c r="H735" s="30"/>
      <c r="K735" s="96"/>
    </row>
    <row r="736" spans="1:11" ht="20.100000000000001" hidden="1" customHeight="1" outlineLevel="1" x14ac:dyDescent="0.25">
      <c r="A736" s="61" t="s">
        <v>961</v>
      </c>
      <c r="B736" s="17" t="s">
        <v>9</v>
      </c>
      <c r="C736" s="46" t="s">
        <v>962</v>
      </c>
      <c r="D736" s="46" t="s">
        <v>1410</v>
      </c>
      <c r="E736" s="80">
        <v>1</v>
      </c>
      <c r="F736" s="17" t="s">
        <v>65</v>
      </c>
      <c r="G736" s="80">
        <f>+G739</f>
        <v>0</v>
      </c>
      <c r="H736" s="31">
        <f>ROUND(E736*G736,2)</f>
        <v>0</v>
      </c>
      <c r="K736" s="96"/>
    </row>
    <row r="737" spans="1:13" s="8" customFormat="1" ht="20.100000000000001" hidden="1" customHeight="1" outlineLevel="1" x14ac:dyDescent="0.25">
      <c r="A737" s="65" t="s">
        <v>1406</v>
      </c>
      <c r="B737" s="19"/>
      <c r="C737" s="43" t="s">
        <v>1407</v>
      </c>
      <c r="D737" s="43" t="s">
        <v>1411</v>
      </c>
      <c r="E737" s="78">
        <v>1</v>
      </c>
      <c r="F737" s="3" t="s">
        <v>10</v>
      </c>
      <c r="G737" s="78"/>
      <c r="H737" s="20"/>
      <c r="K737" s="96"/>
      <c r="M737" s="110"/>
    </row>
    <row r="738" spans="1:13" s="8" customFormat="1" ht="20.100000000000001" hidden="1" customHeight="1" outlineLevel="1" x14ac:dyDescent="0.25">
      <c r="A738" s="65" t="s">
        <v>1406</v>
      </c>
      <c r="B738" s="19"/>
      <c r="C738" s="43" t="s">
        <v>1408</v>
      </c>
      <c r="D738" s="43" t="s">
        <v>1412</v>
      </c>
      <c r="E738" s="78">
        <v>1</v>
      </c>
      <c r="F738" s="3" t="s">
        <v>10</v>
      </c>
      <c r="G738" s="78"/>
      <c r="H738" s="20"/>
      <c r="K738" s="96"/>
      <c r="M738" s="110"/>
    </row>
    <row r="739" spans="1:13" s="8" customFormat="1" ht="20.100000000000001" hidden="1" customHeight="1" outlineLevel="1" x14ac:dyDescent="0.25">
      <c r="A739" s="65"/>
      <c r="B739" s="19"/>
      <c r="C739" s="44" t="s">
        <v>1409</v>
      </c>
      <c r="D739" s="44" t="s">
        <v>1409</v>
      </c>
      <c r="E739" s="79">
        <v>1</v>
      </c>
      <c r="F739" s="19"/>
      <c r="G739" s="79">
        <f>SUM(H737:H738)</f>
        <v>0</v>
      </c>
      <c r="H739" s="29">
        <f>ROUND(E739*G739,2)</f>
        <v>0</v>
      </c>
      <c r="K739" s="96"/>
      <c r="M739" s="110"/>
    </row>
    <row r="740" spans="1:13" s="8" customFormat="1" ht="20.100000000000001" hidden="1" customHeight="1" outlineLevel="1" x14ac:dyDescent="0.25">
      <c r="A740" s="65"/>
      <c r="B740" s="19"/>
      <c r="C740" s="44"/>
      <c r="D740" s="44"/>
      <c r="E740" s="79"/>
      <c r="F740" s="19"/>
      <c r="G740" s="79"/>
      <c r="H740" s="29"/>
      <c r="K740" s="96"/>
      <c r="M740" s="110"/>
    </row>
    <row r="741" spans="1:13" ht="20.100000000000001" hidden="1" customHeight="1" outlineLevel="1" x14ac:dyDescent="0.25">
      <c r="A741" s="52"/>
      <c r="B741" s="9"/>
      <c r="C741" s="44" t="s">
        <v>963</v>
      </c>
      <c r="D741" s="44" t="s">
        <v>963</v>
      </c>
      <c r="E741" s="78">
        <v>1</v>
      </c>
      <c r="F741" s="9"/>
      <c r="G741" s="79">
        <f>H730+H736</f>
        <v>0</v>
      </c>
      <c r="H741" s="29">
        <f>ROUND(E741*G741,2)</f>
        <v>0</v>
      </c>
      <c r="K741" s="96"/>
    </row>
    <row r="742" spans="1:13" ht="20.100000000000001" hidden="1" customHeight="1" outlineLevel="1" x14ac:dyDescent="0.25">
      <c r="A742" s="60"/>
      <c r="B742" s="12"/>
      <c r="C742" s="45"/>
      <c r="D742" s="45"/>
      <c r="E742" s="34"/>
      <c r="F742" s="12"/>
      <c r="G742" s="34"/>
      <c r="H742" s="30"/>
      <c r="K742" s="96"/>
    </row>
    <row r="743" spans="1:13" ht="20.100000000000001" hidden="1" customHeight="1" outlineLevel="1" x14ac:dyDescent="0.25">
      <c r="A743" s="58" t="s">
        <v>964</v>
      </c>
      <c r="B743" s="5" t="s">
        <v>9</v>
      </c>
      <c r="C743" s="42" t="s">
        <v>965</v>
      </c>
      <c r="D743" s="42" t="s">
        <v>1413</v>
      </c>
      <c r="E743" s="77">
        <f>E759</f>
        <v>1</v>
      </c>
      <c r="F743" s="5" t="s">
        <v>10</v>
      </c>
      <c r="G743" s="77">
        <f>G759</f>
        <v>0</v>
      </c>
      <c r="H743" s="28">
        <f>H759</f>
        <v>0</v>
      </c>
      <c r="K743" s="96"/>
    </row>
    <row r="744" spans="1:13" ht="20.100000000000001" hidden="1" customHeight="1" outlineLevel="1" x14ac:dyDescent="0.25">
      <c r="A744" s="61" t="s">
        <v>966</v>
      </c>
      <c r="B744" s="17" t="s">
        <v>9</v>
      </c>
      <c r="C744" s="46" t="s">
        <v>967</v>
      </c>
      <c r="D744" s="42" t="s">
        <v>1413</v>
      </c>
      <c r="E744" s="80">
        <f>E749</f>
        <v>1</v>
      </c>
      <c r="F744" s="17" t="s">
        <v>10</v>
      </c>
      <c r="G744" s="80">
        <f>G749</f>
        <v>0</v>
      </c>
      <c r="H744" s="31">
        <f>H749</f>
        <v>0</v>
      </c>
      <c r="K744" s="96"/>
    </row>
    <row r="745" spans="1:13" ht="20.100000000000001" hidden="1" customHeight="1" outlineLevel="1" x14ac:dyDescent="0.25">
      <c r="A745" s="59" t="s">
        <v>887</v>
      </c>
      <c r="B745" s="3" t="s">
        <v>17</v>
      </c>
      <c r="C745" s="43" t="s">
        <v>1440</v>
      </c>
      <c r="D745" s="95" t="s">
        <v>1453</v>
      </c>
      <c r="E745" s="78">
        <v>1</v>
      </c>
      <c r="F745" s="3" t="s">
        <v>10</v>
      </c>
      <c r="G745" s="78"/>
      <c r="H745" s="20"/>
      <c r="K745" s="96"/>
    </row>
    <row r="746" spans="1:13" ht="20.100000000000001" hidden="1" customHeight="1" outlineLevel="1" x14ac:dyDescent="0.25">
      <c r="A746" s="59" t="s">
        <v>889</v>
      </c>
      <c r="B746" s="3" t="s">
        <v>17</v>
      </c>
      <c r="C746" s="43" t="s">
        <v>1441</v>
      </c>
      <c r="D746" s="95" t="s">
        <v>1454</v>
      </c>
      <c r="E746" s="78">
        <v>1</v>
      </c>
      <c r="F746" s="3" t="s">
        <v>10</v>
      </c>
      <c r="G746" s="78"/>
      <c r="H746" s="20"/>
      <c r="K746" s="96"/>
    </row>
    <row r="747" spans="1:13" ht="20.100000000000001" hidden="1" customHeight="1" outlineLevel="1" x14ac:dyDescent="0.25">
      <c r="A747" s="59" t="s">
        <v>890</v>
      </c>
      <c r="B747" s="3" t="s">
        <v>17</v>
      </c>
      <c r="C747" s="43" t="s">
        <v>1442</v>
      </c>
      <c r="D747" s="95" t="s">
        <v>1455</v>
      </c>
      <c r="E747" s="78">
        <v>1</v>
      </c>
      <c r="F747" s="3" t="s">
        <v>10</v>
      </c>
      <c r="G747" s="78"/>
      <c r="H747" s="20"/>
      <c r="K747" s="96"/>
    </row>
    <row r="748" spans="1:13" ht="20.100000000000001" hidden="1" customHeight="1" outlineLevel="1" x14ac:dyDescent="0.25">
      <c r="A748" s="59" t="s">
        <v>968</v>
      </c>
      <c r="B748" s="3" t="s">
        <v>17</v>
      </c>
      <c r="C748" s="43" t="s">
        <v>969</v>
      </c>
      <c r="D748" s="43" t="s">
        <v>1456</v>
      </c>
      <c r="E748" s="78">
        <v>1</v>
      </c>
      <c r="F748" s="3" t="s">
        <v>10</v>
      </c>
      <c r="G748" s="78"/>
      <c r="H748" s="20"/>
      <c r="K748" s="96"/>
    </row>
    <row r="749" spans="1:13" ht="20.100000000000001" hidden="1" customHeight="1" outlineLevel="1" x14ac:dyDescent="0.25">
      <c r="A749" s="52"/>
      <c r="B749" s="9"/>
      <c r="C749" s="44" t="s">
        <v>970</v>
      </c>
      <c r="D749" s="44" t="s">
        <v>970</v>
      </c>
      <c r="E749" s="78">
        <v>1</v>
      </c>
      <c r="F749" s="9"/>
      <c r="G749" s="79">
        <f>SUM(H745:H748)</f>
        <v>0</v>
      </c>
      <c r="H749" s="29">
        <f>ROUND(E749*G749,2)</f>
        <v>0</v>
      </c>
      <c r="K749" s="96"/>
    </row>
    <row r="750" spans="1:13" ht="20.100000000000001" hidden="1" customHeight="1" outlineLevel="1" x14ac:dyDescent="0.25">
      <c r="A750" s="60"/>
      <c r="B750" s="12"/>
      <c r="C750" s="45"/>
      <c r="D750" s="45"/>
      <c r="E750" s="34"/>
      <c r="F750" s="12"/>
      <c r="G750" s="34"/>
      <c r="H750" s="30"/>
      <c r="K750" s="96"/>
    </row>
    <row r="751" spans="1:13" ht="20.100000000000001" hidden="1" customHeight="1" outlineLevel="1" x14ac:dyDescent="0.25">
      <c r="A751" s="61" t="s">
        <v>971</v>
      </c>
      <c r="B751" s="17" t="s">
        <v>9</v>
      </c>
      <c r="C751" s="46" t="s">
        <v>972</v>
      </c>
      <c r="D751" s="46" t="s">
        <v>1414</v>
      </c>
      <c r="E751" s="80">
        <f>E757</f>
        <v>1</v>
      </c>
      <c r="F751" s="17" t="s">
        <v>10</v>
      </c>
      <c r="G751" s="80">
        <f>G757</f>
        <v>0</v>
      </c>
      <c r="H751" s="31">
        <f>H757</f>
        <v>0</v>
      </c>
      <c r="K751" s="96"/>
    </row>
    <row r="752" spans="1:13" ht="20.100000000000001" hidden="1" customHeight="1" outlineLevel="1" x14ac:dyDescent="0.25">
      <c r="A752" s="59" t="s">
        <v>973</v>
      </c>
      <c r="B752" s="3" t="s">
        <v>17</v>
      </c>
      <c r="C752" s="43" t="s">
        <v>974</v>
      </c>
      <c r="D752" s="43" t="s">
        <v>1415</v>
      </c>
      <c r="E752" s="78">
        <v>1</v>
      </c>
      <c r="F752" s="3" t="s">
        <v>10</v>
      </c>
      <c r="G752" s="78"/>
      <c r="H752" s="20"/>
      <c r="K752" s="96"/>
    </row>
    <row r="753" spans="1:13" ht="20.100000000000001" hidden="1" customHeight="1" outlineLevel="1" x14ac:dyDescent="0.25">
      <c r="A753" s="59" t="s">
        <v>975</v>
      </c>
      <c r="B753" s="3" t="s">
        <v>17</v>
      </c>
      <c r="C753" s="43" t="s">
        <v>976</v>
      </c>
      <c r="D753" s="43" t="s">
        <v>1416</v>
      </c>
      <c r="E753" s="78">
        <v>1</v>
      </c>
      <c r="F753" s="3" t="s">
        <v>10</v>
      </c>
      <c r="G753" s="78"/>
      <c r="H753" s="20"/>
      <c r="K753" s="96"/>
    </row>
    <row r="754" spans="1:13" ht="20.100000000000001" hidden="1" customHeight="1" outlineLevel="1" x14ac:dyDescent="0.25">
      <c r="A754" s="59" t="s">
        <v>977</v>
      </c>
      <c r="B754" s="3" t="s">
        <v>17</v>
      </c>
      <c r="C754" s="43" t="s">
        <v>978</v>
      </c>
      <c r="D754" s="43" t="s">
        <v>1417</v>
      </c>
      <c r="E754" s="78">
        <v>4</v>
      </c>
      <c r="F754" s="3" t="s">
        <v>10</v>
      </c>
      <c r="G754" s="78"/>
      <c r="H754" s="20"/>
      <c r="K754" s="96"/>
    </row>
    <row r="755" spans="1:13" ht="20.100000000000001" hidden="1" customHeight="1" outlineLevel="1" x14ac:dyDescent="0.25">
      <c r="A755" s="59" t="s">
        <v>979</v>
      </c>
      <c r="B755" s="3" t="s">
        <v>17</v>
      </c>
      <c r="C755" s="43" t="s">
        <v>980</v>
      </c>
      <c r="D755" s="43" t="s">
        <v>1418</v>
      </c>
      <c r="E755" s="78">
        <v>1</v>
      </c>
      <c r="F755" s="3" t="s">
        <v>10</v>
      </c>
      <c r="G755" s="78"/>
      <c r="H755" s="20"/>
      <c r="K755" s="96"/>
    </row>
    <row r="756" spans="1:13" ht="20.100000000000001" hidden="1" customHeight="1" outlineLevel="1" x14ac:dyDescent="0.25">
      <c r="A756" s="59" t="s">
        <v>981</v>
      </c>
      <c r="B756" s="3" t="s">
        <v>17</v>
      </c>
      <c r="C756" s="43" t="s">
        <v>982</v>
      </c>
      <c r="D756" s="43" t="s">
        <v>1419</v>
      </c>
      <c r="E756" s="78">
        <v>1</v>
      </c>
      <c r="F756" s="3" t="s">
        <v>433</v>
      </c>
      <c r="G756" s="78"/>
      <c r="H756" s="20"/>
      <c r="K756" s="96"/>
    </row>
    <row r="757" spans="1:13" ht="20.100000000000001" hidden="1" customHeight="1" outlineLevel="1" x14ac:dyDescent="0.25">
      <c r="A757" s="52"/>
      <c r="B757" s="9"/>
      <c r="C757" s="44" t="s">
        <v>983</v>
      </c>
      <c r="D757" s="44" t="s">
        <v>983</v>
      </c>
      <c r="E757" s="78">
        <v>1</v>
      </c>
      <c r="F757" s="9"/>
      <c r="G757" s="79">
        <f>SUM(H752:H756)</f>
        <v>0</v>
      </c>
      <c r="H757" s="29">
        <f>ROUND(E757*G757,2)</f>
        <v>0</v>
      </c>
      <c r="K757" s="96"/>
    </row>
    <row r="758" spans="1:13" ht="20.100000000000001" hidden="1" customHeight="1" outlineLevel="1" x14ac:dyDescent="0.25">
      <c r="A758" s="60"/>
      <c r="B758" s="12"/>
      <c r="C758" s="45"/>
      <c r="D758" s="45"/>
      <c r="E758" s="34"/>
      <c r="F758" s="12"/>
      <c r="G758" s="34"/>
      <c r="H758" s="30"/>
      <c r="K758" s="96"/>
    </row>
    <row r="759" spans="1:13" s="8" customFormat="1" ht="20.100000000000001" hidden="1" customHeight="1" outlineLevel="1" x14ac:dyDescent="0.25">
      <c r="A759" s="52"/>
      <c r="B759" s="9"/>
      <c r="C759" s="44" t="s">
        <v>984</v>
      </c>
      <c r="D759" s="44"/>
      <c r="E759" s="78">
        <v>1</v>
      </c>
      <c r="F759" s="9"/>
      <c r="G759" s="79">
        <f>H744+H751</f>
        <v>0</v>
      </c>
      <c r="H759" s="29">
        <f>ROUND(E759*G759,2)</f>
        <v>0</v>
      </c>
      <c r="K759" s="96"/>
      <c r="M759" s="110"/>
    </row>
    <row r="760" spans="1:13" ht="20.100000000000001" hidden="1" customHeight="1" outlineLevel="1" x14ac:dyDescent="0.25">
      <c r="A760" s="60"/>
      <c r="B760" s="12"/>
      <c r="C760" s="45"/>
      <c r="D760" s="45"/>
      <c r="E760" s="34"/>
      <c r="F760" s="12"/>
      <c r="G760" s="34"/>
      <c r="H760" s="30"/>
      <c r="K760" s="96"/>
    </row>
    <row r="761" spans="1:13" ht="20.100000000000001" hidden="1" customHeight="1" outlineLevel="1" x14ac:dyDescent="0.25">
      <c r="A761" s="58"/>
      <c r="B761" s="5" t="s">
        <v>9</v>
      </c>
      <c r="C761" s="42" t="s">
        <v>985</v>
      </c>
      <c r="D761" s="42" t="s">
        <v>1420</v>
      </c>
      <c r="E761" s="77">
        <f>E777</f>
        <v>1</v>
      </c>
      <c r="F761" s="5" t="s">
        <v>10</v>
      </c>
      <c r="G761" s="77">
        <f>G777</f>
        <v>0</v>
      </c>
      <c r="H761" s="28">
        <f>H777</f>
        <v>0</v>
      </c>
      <c r="K761" s="96"/>
    </row>
    <row r="762" spans="1:13" ht="20.100000000000001" hidden="1" customHeight="1" outlineLevel="1" x14ac:dyDescent="0.25">
      <c r="A762" s="61" t="s">
        <v>986</v>
      </c>
      <c r="B762" s="17" t="s">
        <v>9</v>
      </c>
      <c r="C762" s="46" t="s">
        <v>987</v>
      </c>
      <c r="D762" s="46" t="s">
        <v>1421</v>
      </c>
      <c r="E762" s="80">
        <f>E767</f>
        <v>1</v>
      </c>
      <c r="F762" s="17" t="s">
        <v>10</v>
      </c>
      <c r="G762" s="80">
        <f>G767</f>
        <v>0</v>
      </c>
      <c r="H762" s="31">
        <f>H767</f>
        <v>0</v>
      </c>
      <c r="K762" s="96"/>
    </row>
    <row r="763" spans="1:13" ht="20.100000000000001" hidden="1" customHeight="1" outlineLevel="1" x14ac:dyDescent="0.25">
      <c r="A763" s="59" t="s">
        <v>988</v>
      </c>
      <c r="B763" s="3" t="s">
        <v>17</v>
      </c>
      <c r="C763" s="43" t="s">
        <v>989</v>
      </c>
      <c r="D763" s="43" t="s">
        <v>1422</v>
      </c>
      <c r="E763" s="78">
        <v>1</v>
      </c>
      <c r="F763" s="3" t="s">
        <v>10</v>
      </c>
      <c r="G763" s="78"/>
      <c r="H763" s="20"/>
      <c r="K763" s="96"/>
    </row>
    <row r="764" spans="1:13" ht="20.100000000000001" hidden="1" customHeight="1" outlineLevel="1" x14ac:dyDescent="0.25">
      <c r="A764" s="59" t="s">
        <v>990</v>
      </c>
      <c r="B764" s="3" t="s">
        <v>17</v>
      </c>
      <c r="C764" s="43" t="s">
        <v>991</v>
      </c>
      <c r="D764" s="43" t="s">
        <v>1423</v>
      </c>
      <c r="E764" s="78">
        <v>1</v>
      </c>
      <c r="F764" s="3" t="s">
        <v>10</v>
      </c>
      <c r="G764" s="78"/>
      <c r="H764" s="20"/>
      <c r="K764" s="96"/>
    </row>
    <row r="765" spans="1:13" ht="20.100000000000001" hidden="1" customHeight="1" outlineLevel="1" x14ac:dyDescent="0.25">
      <c r="A765" s="59" t="s">
        <v>992</v>
      </c>
      <c r="B765" s="3" t="s">
        <v>17</v>
      </c>
      <c r="C765" s="43" t="s">
        <v>993</v>
      </c>
      <c r="D765" s="43" t="s">
        <v>1424</v>
      </c>
      <c r="E765" s="78">
        <v>1</v>
      </c>
      <c r="F765" s="3" t="s">
        <v>10</v>
      </c>
      <c r="G765" s="78"/>
      <c r="H765" s="20"/>
      <c r="K765" s="96"/>
    </row>
    <row r="766" spans="1:13" ht="20.100000000000001" hidden="1" customHeight="1" outlineLevel="1" x14ac:dyDescent="0.25">
      <c r="A766" s="59" t="s">
        <v>994</v>
      </c>
      <c r="B766" s="3" t="s">
        <v>17</v>
      </c>
      <c r="C766" s="43" t="s">
        <v>995</v>
      </c>
      <c r="D766" s="43" t="s">
        <v>1425</v>
      </c>
      <c r="E766" s="78">
        <v>1</v>
      </c>
      <c r="F766" s="3" t="s">
        <v>10</v>
      </c>
      <c r="G766" s="78"/>
      <c r="H766" s="20"/>
      <c r="K766" s="96"/>
    </row>
    <row r="767" spans="1:13" ht="20.100000000000001" hidden="1" customHeight="1" outlineLevel="1" x14ac:dyDescent="0.25">
      <c r="A767" s="52"/>
      <c r="B767" s="9"/>
      <c r="C767" s="44" t="s">
        <v>996</v>
      </c>
      <c r="D767" s="44" t="s">
        <v>996</v>
      </c>
      <c r="E767" s="78">
        <v>1</v>
      </c>
      <c r="F767" s="9"/>
      <c r="G767" s="79">
        <f>SUM(H763:H766)</f>
        <v>0</v>
      </c>
      <c r="H767" s="29">
        <f>ROUND(E767*G767,2)</f>
        <v>0</v>
      </c>
      <c r="K767" s="96"/>
    </row>
    <row r="768" spans="1:13" ht="20.100000000000001" hidden="1" customHeight="1" outlineLevel="1" x14ac:dyDescent="0.25">
      <c r="A768" s="60"/>
      <c r="B768" s="12"/>
      <c r="C768" s="45"/>
      <c r="D768" s="45"/>
      <c r="E768" s="34"/>
      <c r="F768" s="12"/>
      <c r="G768" s="34"/>
      <c r="H768" s="30"/>
      <c r="K768" s="96"/>
    </row>
    <row r="769" spans="1:11" ht="20.100000000000001" hidden="1" customHeight="1" outlineLevel="1" x14ac:dyDescent="0.25">
      <c r="A769" s="61" t="s">
        <v>997</v>
      </c>
      <c r="B769" s="17" t="s">
        <v>9</v>
      </c>
      <c r="C769" s="46" t="s">
        <v>998</v>
      </c>
      <c r="D769" s="46" t="s">
        <v>1426</v>
      </c>
      <c r="E769" s="80">
        <f>E775</f>
        <v>1</v>
      </c>
      <c r="F769" s="17" t="s">
        <v>10</v>
      </c>
      <c r="G769" s="80">
        <f>G775</f>
        <v>0</v>
      </c>
      <c r="H769" s="31">
        <f>H775</f>
        <v>0</v>
      </c>
      <c r="K769" s="96"/>
    </row>
    <row r="770" spans="1:11" ht="20.100000000000001" hidden="1" customHeight="1" outlineLevel="1" x14ac:dyDescent="0.25">
      <c r="A770" s="59" t="s">
        <v>999</v>
      </c>
      <c r="B770" s="3" t="s">
        <v>17</v>
      </c>
      <c r="C770" s="43" t="s">
        <v>1443</v>
      </c>
      <c r="D770" s="43" t="s">
        <v>1445</v>
      </c>
      <c r="E770" s="78">
        <v>1</v>
      </c>
      <c r="F770" s="3" t="s">
        <v>10</v>
      </c>
      <c r="G770" s="78"/>
      <c r="H770" s="20"/>
      <c r="K770" s="96"/>
    </row>
    <row r="771" spans="1:11" ht="20.100000000000001" hidden="1" customHeight="1" outlineLevel="1" x14ac:dyDescent="0.25">
      <c r="A771" s="59" t="s">
        <v>1000</v>
      </c>
      <c r="B771" s="3" t="s">
        <v>17</v>
      </c>
      <c r="C771" s="43" t="s">
        <v>1444</v>
      </c>
      <c r="D771" s="43" t="s">
        <v>1446</v>
      </c>
      <c r="E771" s="78">
        <v>1</v>
      </c>
      <c r="F771" s="3" t="s">
        <v>10</v>
      </c>
      <c r="G771" s="78"/>
      <c r="H771" s="20"/>
      <c r="K771" s="96"/>
    </row>
    <row r="772" spans="1:11" ht="20.100000000000001" hidden="1" customHeight="1" outlineLevel="1" x14ac:dyDescent="0.25">
      <c r="A772" s="59" t="s">
        <v>1001</v>
      </c>
      <c r="B772" s="3" t="s">
        <v>17</v>
      </c>
      <c r="C772" s="43" t="s">
        <v>1002</v>
      </c>
      <c r="D772" s="43" t="s">
        <v>1427</v>
      </c>
      <c r="E772" s="78">
        <v>1</v>
      </c>
      <c r="F772" s="3" t="s">
        <v>10</v>
      </c>
      <c r="G772" s="78"/>
      <c r="H772" s="20"/>
      <c r="K772" s="96"/>
    </row>
    <row r="773" spans="1:11" ht="20.100000000000001" hidden="1" customHeight="1" outlineLevel="1" x14ac:dyDescent="0.25">
      <c r="A773" s="59" t="s">
        <v>1003</v>
      </c>
      <c r="B773" s="3" t="s">
        <v>17</v>
      </c>
      <c r="C773" s="43" t="s">
        <v>1004</v>
      </c>
      <c r="D773" s="43" t="s">
        <v>1428</v>
      </c>
      <c r="E773" s="78">
        <v>3</v>
      </c>
      <c r="F773" s="3" t="s">
        <v>10</v>
      </c>
      <c r="G773" s="78"/>
      <c r="H773" s="20"/>
      <c r="K773" s="96"/>
    </row>
    <row r="774" spans="1:11" ht="20.100000000000001" hidden="1" customHeight="1" outlineLevel="1" x14ac:dyDescent="0.25">
      <c r="A774" s="59" t="s">
        <v>1005</v>
      </c>
      <c r="B774" s="3" t="s">
        <v>17</v>
      </c>
      <c r="C774" s="43" t="s">
        <v>1006</v>
      </c>
      <c r="D774" s="43" t="s">
        <v>1429</v>
      </c>
      <c r="E774" s="78">
        <v>3</v>
      </c>
      <c r="F774" s="3" t="s">
        <v>10</v>
      </c>
      <c r="G774" s="78"/>
      <c r="H774" s="20"/>
      <c r="K774" s="96"/>
    </row>
    <row r="775" spans="1:11" ht="20.100000000000001" hidden="1" customHeight="1" outlineLevel="1" x14ac:dyDescent="0.25">
      <c r="A775" s="52"/>
      <c r="B775" s="9"/>
      <c r="C775" s="44" t="s">
        <v>1007</v>
      </c>
      <c r="D775" s="44" t="s">
        <v>1007</v>
      </c>
      <c r="E775" s="78">
        <v>1</v>
      </c>
      <c r="F775" s="9"/>
      <c r="G775" s="79">
        <f>SUM(H770:H774)</f>
        <v>0</v>
      </c>
      <c r="H775" s="29">
        <f>ROUND(E775*G775,2)</f>
        <v>0</v>
      </c>
      <c r="K775" s="96"/>
    </row>
    <row r="776" spans="1:11" ht="20.100000000000001" hidden="1" customHeight="1" outlineLevel="1" x14ac:dyDescent="0.25">
      <c r="A776" s="60"/>
      <c r="B776" s="12"/>
      <c r="C776" s="45"/>
      <c r="D776" s="45"/>
      <c r="E776" s="34"/>
      <c r="F776" s="12"/>
      <c r="G776" s="34"/>
      <c r="H776" s="30"/>
      <c r="K776" s="96"/>
    </row>
    <row r="777" spans="1:11" ht="20.100000000000001" hidden="1" customHeight="1" outlineLevel="1" x14ac:dyDescent="0.25">
      <c r="A777" s="52"/>
      <c r="B777" s="9"/>
      <c r="C777" s="44" t="s">
        <v>1008</v>
      </c>
      <c r="D777" s="44" t="s">
        <v>1008</v>
      </c>
      <c r="E777" s="78">
        <v>1</v>
      </c>
      <c r="F777" s="9"/>
      <c r="G777" s="79">
        <f>H762+H769</f>
        <v>0</v>
      </c>
      <c r="H777" s="29">
        <f>ROUND(E777*G777,2)</f>
        <v>0</v>
      </c>
      <c r="K777" s="96"/>
    </row>
    <row r="778" spans="1:11" ht="20.100000000000001" customHeight="1" collapsed="1" x14ac:dyDescent="0.25">
      <c r="A778" s="60"/>
      <c r="B778" s="12"/>
      <c r="C778" s="45"/>
      <c r="D778" s="45"/>
      <c r="E778" s="34"/>
      <c r="F778" s="12"/>
      <c r="G778" s="34"/>
      <c r="H778" s="30"/>
    </row>
    <row r="779" spans="1:11" ht="20.100000000000001" customHeight="1" x14ac:dyDescent="0.25">
      <c r="A779" s="52"/>
      <c r="B779" s="9"/>
      <c r="C779" s="44" t="s">
        <v>1009</v>
      </c>
      <c r="D779" s="44" t="s">
        <v>1009</v>
      </c>
      <c r="E779" s="78">
        <v>1</v>
      </c>
      <c r="F779" s="9"/>
      <c r="G779" s="79">
        <f>H716+H729+H743+H761</f>
        <v>152399.01999999999</v>
      </c>
      <c r="H779" s="29">
        <f>ROUND(E779*G779,2)</f>
        <v>152399.01999999999</v>
      </c>
    </row>
    <row r="780" spans="1:11" ht="20.100000000000001" customHeight="1" x14ac:dyDescent="0.25">
      <c r="A780" s="60"/>
      <c r="B780" s="12"/>
      <c r="C780" s="45"/>
      <c r="D780" s="45"/>
      <c r="E780" s="34"/>
      <c r="F780" s="12"/>
      <c r="G780" s="34"/>
      <c r="H780" s="30"/>
    </row>
    <row r="781" spans="1:11" ht="20.100000000000001" customHeight="1" x14ac:dyDescent="0.25">
      <c r="A781" s="52"/>
      <c r="B781" s="9"/>
      <c r="C781" s="44" t="s">
        <v>1010</v>
      </c>
      <c r="D781" s="44" t="s">
        <v>1010</v>
      </c>
      <c r="E781" s="89">
        <v>1</v>
      </c>
      <c r="F781" s="9"/>
      <c r="G781" s="79">
        <f>H8+H37+H607+H715</f>
        <v>915627.85</v>
      </c>
      <c r="H781" s="29">
        <f>ROUND(E781*G781,2)</f>
        <v>915627.85</v>
      </c>
      <c r="I781" s="99"/>
      <c r="J781" s="99"/>
    </row>
    <row r="782" spans="1:11" ht="20.100000000000001" customHeight="1" thickBot="1" x14ac:dyDescent="0.3">
      <c r="A782" s="60"/>
      <c r="B782" s="12"/>
      <c r="C782" s="45"/>
      <c r="D782" s="45"/>
      <c r="E782" s="34"/>
      <c r="F782" s="12"/>
      <c r="G782" s="34"/>
      <c r="H782" s="30"/>
    </row>
    <row r="783" spans="1:11" ht="20.100000000000001" customHeight="1" x14ac:dyDescent="0.25">
      <c r="A783" s="56" t="s">
        <v>1011</v>
      </c>
      <c r="B783" s="15" t="s">
        <v>9</v>
      </c>
      <c r="C783" s="40" t="s">
        <v>1012</v>
      </c>
      <c r="D783" s="40" t="s">
        <v>1430</v>
      </c>
      <c r="E783" s="88">
        <f>E795</f>
        <v>1</v>
      </c>
      <c r="F783" s="15" t="s">
        <v>10</v>
      </c>
      <c r="G783" s="75">
        <f>G795</f>
        <v>164778.9</v>
      </c>
      <c r="H783" s="26">
        <f>H795</f>
        <v>164778.9</v>
      </c>
    </row>
    <row r="784" spans="1:11" ht="20.100000000000001" customHeight="1" x14ac:dyDescent="0.25">
      <c r="A784" s="57" t="s">
        <v>1013</v>
      </c>
      <c r="B784" s="16" t="s">
        <v>9</v>
      </c>
      <c r="C784" s="41" t="s">
        <v>1012</v>
      </c>
      <c r="D784" s="41" t="s">
        <v>1430</v>
      </c>
      <c r="E784" s="76">
        <f>E793</f>
        <v>1</v>
      </c>
      <c r="F784" s="16" t="s">
        <v>10</v>
      </c>
      <c r="G784" s="76">
        <f>G793</f>
        <v>164778.9</v>
      </c>
      <c r="H784" s="27">
        <f>H793</f>
        <v>164778.9</v>
      </c>
    </row>
    <row r="785" spans="1:13" ht="20.100000000000001" customHeight="1" x14ac:dyDescent="0.25">
      <c r="A785" s="59" t="s">
        <v>1014</v>
      </c>
      <c r="B785" s="3" t="s">
        <v>17</v>
      </c>
      <c r="C785" s="43" t="s">
        <v>1015</v>
      </c>
      <c r="D785" s="95" t="s">
        <v>1431</v>
      </c>
      <c r="E785" s="78">
        <f>+$E$26</f>
        <v>10</v>
      </c>
      <c r="F785" s="3" t="s">
        <v>38</v>
      </c>
      <c r="G785" s="78">
        <v>670.05</v>
      </c>
      <c r="H785" s="20">
        <f>ROUND(E785*G785,2)</f>
        <v>6700.5</v>
      </c>
    </row>
    <row r="786" spans="1:13" ht="20.100000000000001" customHeight="1" x14ac:dyDescent="0.25">
      <c r="A786" s="59" t="s">
        <v>1016</v>
      </c>
      <c r="B786" s="3" t="s">
        <v>17</v>
      </c>
      <c r="C786" s="43" t="s">
        <v>1017</v>
      </c>
      <c r="D786" s="6" t="s">
        <v>1432</v>
      </c>
      <c r="E786" s="78">
        <v>1</v>
      </c>
      <c r="F786" s="3" t="s">
        <v>26</v>
      </c>
      <c r="G786" s="78">
        <f>9353.4*0.3</f>
        <v>2806.02</v>
      </c>
      <c r="H786" s="20">
        <f t="shared" ref="H786:H793" si="14">ROUND(E786*G786,2)</f>
        <v>2806.02</v>
      </c>
    </row>
    <row r="787" spans="1:13" ht="20.100000000000001" customHeight="1" x14ac:dyDescent="0.25">
      <c r="A787" s="59" t="s">
        <v>1018</v>
      </c>
      <c r="B787" s="3" t="s">
        <v>17</v>
      </c>
      <c r="C787" s="43" t="s">
        <v>1019</v>
      </c>
      <c r="D787" s="6" t="s">
        <v>1433</v>
      </c>
      <c r="E787" s="78">
        <f>+E785</f>
        <v>10</v>
      </c>
      <c r="F787" s="3" t="s">
        <v>38</v>
      </c>
      <c r="G787" s="78">
        <v>877.19</v>
      </c>
      <c r="H787" s="20">
        <f t="shared" si="14"/>
        <v>8771.9</v>
      </c>
    </row>
    <row r="788" spans="1:13" ht="20.100000000000001" hidden="1" customHeight="1" outlineLevel="1" x14ac:dyDescent="0.25">
      <c r="A788" s="59" t="s">
        <v>1020</v>
      </c>
      <c r="B788" s="3" t="s">
        <v>17</v>
      </c>
      <c r="C788" s="43" t="s">
        <v>1021</v>
      </c>
      <c r="D788" s="6" t="s">
        <v>1434</v>
      </c>
      <c r="E788" s="78">
        <v>0</v>
      </c>
      <c r="F788" s="3" t="s">
        <v>38</v>
      </c>
      <c r="G788" s="78">
        <v>695.02</v>
      </c>
      <c r="H788" s="20">
        <f t="shared" si="14"/>
        <v>0</v>
      </c>
    </row>
    <row r="789" spans="1:13" ht="20.100000000000001" customHeight="1" collapsed="1" x14ac:dyDescent="0.25">
      <c r="A789" s="59" t="s">
        <v>1020</v>
      </c>
      <c r="B789" s="3" t="s">
        <v>17</v>
      </c>
      <c r="C789" s="43" t="s">
        <v>1024</v>
      </c>
      <c r="D789" s="95" t="s">
        <v>1435</v>
      </c>
      <c r="E789" s="78">
        <v>2</v>
      </c>
      <c r="F789" s="3" t="s">
        <v>1023</v>
      </c>
      <c r="G789" s="78">
        <f>+H781/100</f>
        <v>9156.2800000000007</v>
      </c>
      <c r="H789" s="20">
        <f t="shared" si="14"/>
        <v>18312.560000000001</v>
      </c>
    </row>
    <row r="790" spans="1:13" ht="20.100000000000001" customHeight="1" x14ac:dyDescent="0.25">
      <c r="A790" s="59" t="s">
        <v>1022</v>
      </c>
      <c r="B790" s="3" t="s">
        <v>17</v>
      </c>
      <c r="C790" s="43" t="s">
        <v>1026</v>
      </c>
      <c r="D790" s="95" t="s">
        <v>1436</v>
      </c>
      <c r="E790" s="78">
        <v>3</v>
      </c>
      <c r="F790" s="3" t="s">
        <v>1023</v>
      </c>
      <c r="G790" s="78">
        <f>+H781/100</f>
        <v>9156.2800000000007</v>
      </c>
      <c r="H790" s="20">
        <f t="shared" si="14"/>
        <v>27468.84</v>
      </c>
    </row>
    <row r="791" spans="1:13" ht="20.100000000000001" customHeight="1" x14ac:dyDescent="0.25">
      <c r="A791" s="59" t="s">
        <v>1025</v>
      </c>
      <c r="B791" s="3" t="s">
        <v>17</v>
      </c>
      <c r="C791" s="43" t="s">
        <v>1028</v>
      </c>
      <c r="D791" s="95" t="s">
        <v>1437</v>
      </c>
      <c r="E791" s="78">
        <v>3</v>
      </c>
      <c r="F791" s="3" t="s">
        <v>1023</v>
      </c>
      <c r="G791" s="78">
        <f>+H781/100</f>
        <v>9156.2800000000007</v>
      </c>
      <c r="H791" s="20">
        <f t="shared" si="14"/>
        <v>27468.84</v>
      </c>
    </row>
    <row r="792" spans="1:13" ht="20.100000000000001" customHeight="1" x14ac:dyDescent="0.25">
      <c r="A792" s="59" t="s">
        <v>1027</v>
      </c>
      <c r="B792" s="3" t="s">
        <v>17</v>
      </c>
      <c r="C792" s="43" t="s">
        <v>1030</v>
      </c>
      <c r="D792" s="95" t="s">
        <v>1438</v>
      </c>
      <c r="E792" s="78">
        <v>8</v>
      </c>
      <c r="F792" s="3" t="s">
        <v>1023</v>
      </c>
      <c r="G792" s="78">
        <f>+H781/100</f>
        <v>9156.2800000000007</v>
      </c>
      <c r="H792" s="20">
        <f t="shared" si="14"/>
        <v>73250.240000000005</v>
      </c>
    </row>
    <row r="793" spans="1:13" ht="20.100000000000001" customHeight="1" x14ac:dyDescent="0.25">
      <c r="A793" s="52"/>
      <c r="B793" s="9"/>
      <c r="C793" s="44" t="s">
        <v>1031</v>
      </c>
      <c r="D793" s="44"/>
      <c r="E793" s="78">
        <v>1</v>
      </c>
      <c r="F793" s="9"/>
      <c r="G793" s="79">
        <f>SUM(H785:H792)</f>
        <v>164778.9</v>
      </c>
      <c r="H793" s="29">
        <f t="shared" si="14"/>
        <v>164778.9</v>
      </c>
    </row>
    <row r="794" spans="1:13" ht="20.100000000000001" customHeight="1" x14ac:dyDescent="0.25">
      <c r="A794" s="60"/>
      <c r="B794" s="12"/>
      <c r="C794" s="45"/>
      <c r="D794" s="45"/>
      <c r="E794" s="34"/>
      <c r="F794" s="12"/>
      <c r="G794" s="34"/>
      <c r="H794" s="30"/>
    </row>
    <row r="795" spans="1:13" s="8" customFormat="1" ht="20.100000000000001" customHeight="1" x14ac:dyDescent="0.25">
      <c r="A795" s="52"/>
      <c r="B795" s="9"/>
      <c r="C795" s="44" t="s">
        <v>1032</v>
      </c>
      <c r="D795" s="44" t="s">
        <v>1032</v>
      </c>
      <c r="E795" s="89">
        <v>1</v>
      </c>
      <c r="F795" s="9"/>
      <c r="G795" s="79">
        <f>H784</f>
        <v>164778.9</v>
      </c>
      <c r="H795" s="29">
        <f>ROUND(E795*G795,2)</f>
        <v>164778.9</v>
      </c>
      <c r="K795" s="108"/>
      <c r="M795" s="110"/>
    </row>
    <row r="796" spans="1:13" ht="20.100000000000001" customHeight="1" x14ac:dyDescent="0.25">
      <c r="A796" s="60"/>
      <c r="B796" s="12"/>
      <c r="C796" s="45"/>
      <c r="D796" s="45"/>
      <c r="E796" s="34"/>
      <c r="F796" s="12"/>
      <c r="G796" s="34"/>
      <c r="H796" s="30"/>
    </row>
    <row r="797" spans="1:13" ht="20.100000000000001" customHeight="1" thickBot="1" x14ac:dyDescent="0.3">
      <c r="A797" s="59"/>
      <c r="B797" s="3"/>
      <c r="C797" s="95" t="s">
        <v>1439</v>
      </c>
      <c r="D797" s="95" t="s">
        <v>1439</v>
      </c>
      <c r="E797" s="89">
        <f>+(H781+H793)/100</f>
        <v>10804</v>
      </c>
      <c r="F797" s="3" t="s">
        <v>1023</v>
      </c>
      <c r="G797" s="78">
        <v>1.8</v>
      </c>
      <c r="H797" s="20">
        <f>ROUND(E797*G797,2)</f>
        <v>19447.2</v>
      </c>
    </row>
    <row r="798" spans="1:13" s="8" customFormat="1" ht="20.100000000000001" customHeight="1" thickBot="1" x14ac:dyDescent="0.3">
      <c r="A798" s="67"/>
      <c r="B798" s="68"/>
      <c r="C798" s="69" t="s">
        <v>1033</v>
      </c>
      <c r="D798" s="69"/>
      <c r="E798" s="90">
        <v>1</v>
      </c>
      <c r="F798" s="68"/>
      <c r="G798" s="85">
        <f>H7+H783+H797</f>
        <v>1099853.95</v>
      </c>
      <c r="H798" s="70">
        <f>ROUND(E798*G798,2)</f>
        <v>1099853.95</v>
      </c>
      <c r="I798" s="111"/>
      <c r="J798" s="111"/>
      <c r="K798" s="112"/>
      <c r="M798" s="110"/>
    </row>
    <row r="799" spans="1:13" ht="20.100000000000001" customHeight="1" x14ac:dyDescent="0.25">
      <c r="A799" s="66"/>
      <c r="B799" s="12"/>
      <c r="C799" s="45"/>
      <c r="D799" s="45"/>
      <c r="E799" s="34"/>
      <c r="F799" s="12"/>
      <c r="G799" s="34"/>
      <c r="H799" s="34"/>
      <c r="I799" s="114"/>
    </row>
    <row r="801" spans="3:8" ht="20.100000000000001" customHeight="1" x14ac:dyDescent="0.25">
      <c r="C801" s="1"/>
      <c r="D801" s="1" t="s">
        <v>1459</v>
      </c>
      <c r="E801" s="96">
        <v>972.98</v>
      </c>
      <c r="F801" s="13" t="s">
        <v>1460</v>
      </c>
      <c r="G801" s="2"/>
    </row>
    <row r="802" spans="3:8" ht="20.100000000000001" customHeight="1" x14ac:dyDescent="0.25">
      <c r="C802" s="1"/>
      <c r="D802" s="1" t="s">
        <v>1461</v>
      </c>
      <c r="E802" s="96">
        <f>+H798/E801</f>
        <v>1130.4000000000001</v>
      </c>
      <c r="F802" s="13" t="s">
        <v>1462</v>
      </c>
      <c r="G802" s="2"/>
    </row>
    <row r="803" spans="3:8" ht="20.100000000000001" customHeight="1" x14ac:dyDescent="0.25">
      <c r="H803" s="113"/>
    </row>
    <row r="804" spans="3:8" ht="20.100000000000001" customHeight="1" x14ac:dyDescent="0.25">
      <c r="H804" s="84"/>
    </row>
  </sheetData>
  <dataValidations count="1">
    <dataValidation type="list" allowBlank="1" showInputMessage="1" showErrorMessage="1" sqref="B7:B799" xr:uid="{2F46A445-2DF6-4410-8787-2516D63B7F28}">
      <formula1>"Capítulo,Partida,Mano de obra,Maquinaria,Material,Otros,Tarea,"</formula1>
    </dataValidation>
  </dataValidations>
  <printOptions gridLines="1"/>
  <pageMargins left="0.70866141732283472" right="0.70866141732283472" top="0.74803149606299213" bottom="0.74803149606299213" header="0.31496062992125984" footer="0.31496062992125984"/>
  <pageSetup paperSize="9" scale="64" orientation="portrait" r:id="rId1"/>
  <rowBreaks count="2" manualBreakCount="2">
    <brk id="149" max="16383" man="1"/>
    <brk id="782" max="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1D7A-4A07-4E05-9AF2-8C8FD43E5D7A}">
  <sheetPr>
    <tabColor rgb="FF92D050"/>
  </sheetPr>
  <dimension ref="A1:I802"/>
  <sheetViews>
    <sheetView topLeftCell="A721" zoomScaleNormal="100" workbookViewId="0">
      <selection activeCell="G718" sqref="G718"/>
    </sheetView>
  </sheetViews>
  <sheetFormatPr defaultColWidth="11.42578125" defaultRowHeight="20.100000000000001" customHeight="1" outlineLevelRow="1" outlineLevelCol="1" x14ac:dyDescent="0.25"/>
  <cols>
    <col min="1" max="1" width="12" style="50" customWidth="1"/>
    <col min="2" max="2" width="6.7109375" style="13" customWidth="1" outlineLevel="1"/>
    <col min="3" max="3" width="50.85546875" style="50" customWidth="1" outlineLevel="1"/>
    <col min="4" max="4" width="64.5703125" style="50" customWidth="1"/>
    <col min="5" max="5" width="15.5703125" style="35" customWidth="1"/>
    <col min="6" max="6" width="8.7109375" style="13" customWidth="1"/>
    <col min="7" max="8" width="16.85546875" style="35" customWidth="1"/>
    <col min="9" max="16384" width="11.42578125" style="2"/>
  </cols>
  <sheetData>
    <row r="1" spans="1:8" ht="20.100000000000001" customHeight="1" x14ac:dyDescent="0.25">
      <c r="A1" s="51"/>
      <c r="B1" s="14"/>
      <c r="C1" s="36"/>
      <c r="D1" s="36"/>
      <c r="E1" s="86" t="s">
        <v>1065</v>
      </c>
      <c r="F1" s="14"/>
      <c r="G1" s="72"/>
      <c r="H1" s="22"/>
    </row>
    <row r="2" spans="1:8" ht="20.100000000000001" customHeight="1" x14ac:dyDescent="0.25">
      <c r="A2" s="52"/>
      <c r="B2" s="9"/>
      <c r="C2" s="37"/>
      <c r="D2" s="37"/>
      <c r="E2" s="87" t="s">
        <v>1066</v>
      </c>
      <c r="F2" s="9"/>
      <c r="G2" s="73"/>
      <c r="H2" s="23"/>
    </row>
    <row r="3" spans="1:8" ht="20.100000000000001" customHeight="1" x14ac:dyDescent="0.25">
      <c r="A3" s="52"/>
      <c r="B3" s="9"/>
      <c r="C3" s="37"/>
      <c r="D3" s="37"/>
      <c r="E3" s="87" t="s">
        <v>1067</v>
      </c>
      <c r="F3" s="9"/>
      <c r="G3" s="73"/>
      <c r="H3" s="23"/>
    </row>
    <row r="4" spans="1:8" ht="20.100000000000001" customHeight="1" x14ac:dyDescent="0.25">
      <c r="A4" s="53" t="s">
        <v>0</v>
      </c>
      <c r="B4" s="9"/>
      <c r="C4" s="37"/>
      <c r="D4" s="37"/>
      <c r="E4" s="73"/>
      <c r="F4" s="9"/>
      <c r="G4" s="73"/>
      <c r="H4" s="23"/>
    </row>
    <row r="5" spans="1:8" ht="20.100000000000001" customHeight="1" thickBot="1" x14ac:dyDescent="0.3">
      <c r="A5" s="54" t="s">
        <v>1034</v>
      </c>
      <c r="B5" s="10"/>
      <c r="C5" s="38"/>
      <c r="D5" s="38"/>
      <c r="E5" s="71"/>
      <c r="F5" s="10"/>
      <c r="G5" s="71"/>
      <c r="H5" s="24"/>
    </row>
    <row r="6" spans="1:8" ht="20.100000000000001" customHeight="1" thickBot="1" x14ac:dyDescent="0.3">
      <c r="A6" s="55" t="s">
        <v>1</v>
      </c>
      <c r="B6" s="11" t="s">
        <v>2</v>
      </c>
      <c r="C6" s="39" t="s">
        <v>4</v>
      </c>
      <c r="D6" s="39" t="s">
        <v>1038</v>
      </c>
      <c r="E6" s="74" t="s">
        <v>5</v>
      </c>
      <c r="F6" s="11" t="s">
        <v>3</v>
      </c>
      <c r="G6" s="74" t="s">
        <v>6</v>
      </c>
      <c r="H6" s="25" t="s">
        <v>7</v>
      </c>
    </row>
    <row r="7" spans="1:8" ht="20.100000000000001" customHeight="1" x14ac:dyDescent="0.25">
      <c r="A7" s="56" t="s">
        <v>8</v>
      </c>
      <c r="B7" s="15" t="s">
        <v>9</v>
      </c>
      <c r="C7" s="40" t="s">
        <v>11</v>
      </c>
      <c r="D7" s="40" t="s">
        <v>1035</v>
      </c>
      <c r="E7" s="88">
        <f>E781</f>
        <v>1</v>
      </c>
      <c r="F7" s="15" t="s">
        <v>10</v>
      </c>
      <c r="G7" s="75">
        <f>G781</f>
        <v>945009.77</v>
      </c>
      <c r="H7" s="26">
        <f>H781</f>
        <v>945009.77</v>
      </c>
    </row>
    <row r="8" spans="1:8" ht="20.100000000000001" customHeight="1" x14ac:dyDescent="0.25">
      <c r="A8" s="57" t="s">
        <v>12</v>
      </c>
      <c r="B8" s="16" t="s">
        <v>9</v>
      </c>
      <c r="C8" s="41" t="s">
        <v>13</v>
      </c>
      <c r="D8" s="41" t="s">
        <v>1036</v>
      </c>
      <c r="E8" s="76">
        <f>E35</f>
        <v>1</v>
      </c>
      <c r="F8" s="16" t="s">
        <v>10</v>
      </c>
      <c r="G8" s="76">
        <f>G35</f>
        <v>119435.93</v>
      </c>
      <c r="H8" s="27">
        <f>H35</f>
        <v>119435.93</v>
      </c>
    </row>
    <row r="9" spans="1:8" ht="20.100000000000001" customHeight="1" x14ac:dyDescent="0.25">
      <c r="A9" s="58" t="s">
        <v>14</v>
      </c>
      <c r="B9" s="5" t="s">
        <v>9</v>
      </c>
      <c r="C9" s="42" t="s">
        <v>15</v>
      </c>
      <c r="D9" s="42" t="s">
        <v>1037</v>
      </c>
      <c r="E9" s="77">
        <f>E12</f>
        <v>1</v>
      </c>
      <c r="F9" s="5" t="s">
        <v>10</v>
      </c>
      <c r="G9" s="77">
        <f>G12</f>
        <v>10612.17</v>
      </c>
      <c r="H9" s="28">
        <f>H12</f>
        <v>10612.17</v>
      </c>
    </row>
    <row r="10" spans="1:8" ht="20.100000000000001" customHeight="1" x14ac:dyDescent="0.25">
      <c r="A10" s="59" t="s">
        <v>16</v>
      </c>
      <c r="B10" s="3" t="s">
        <v>17</v>
      </c>
      <c r="C10" s="43" t="s">
        <v>19</v>
      </c>
      <c r="D10" s="43" t="s">
        <v>1039</v>
      </c>
      <c r="E10" s="78">
        <v>2868.89</v>
      </c>
      <c r="F10" s="3" t="s">
        <v>18</v>
      </c>
      <c r="G10" s="78">
        <v>1.96</v>
      </c>
      <c r="H10" s="20">
        <f>ROUND(E10*G10,2)</f>
        <v>5623.02</v>
      </c>
    </row>
    <row r="11" spans="1:8" ht="20.100000000000001" customHeight="1" x14ac:dyDescent="0.25">
      <c r="A11" s="59" t="s">
        <v>20</v>
      </c>
      <c r="B11" s="3" t="s">
        <v>17</v>
      </c>
      <c r="C11" s="43" t="s">
        <v>21</v>
      </c>
      <c r="D11" s="43" t="s">
        <v>1040</v>
      </c>
      <c r="E11" s="78">
        <v>1794.66</v>
      </c>
      <c r="F11" s="3" t="s">
        <v>18</v>
      </c>
      <c r="G11" s="78">
        <v>2.78</v>
      </c>
      <c r="H11" s="20">
        <f>ROUND(E11*G11,2)</f>
        <v>4989.1499999999996</v>
      </c>
    </row>
    <row r="12" spans="1:8" ht="20.100000000000001" customHeight="1" x14ac:dyDescent="0.25">
      <c r="A12" s="52"/>
      <c r="B12" s="9"/>
      <c r="C12" s="44" t="s">
        <v>22</v>
      </c>
      <c r="D12" s="44" t="s">
        <v>22</v>
      </c>
      <c r="E12" s="78">
        <v>1</v>
      </c>
      <c r="F12" s="9"/>
      <c r="G12" s="79">
        <f>SUM(H10:H11)</f>
        <v>10612.17</v>
      </c>
      <c r="H12" s="29">
        <f>ROUND(E12*G12,2)</f>
        <v>10612.17</v>
      </c>
    </row>
    <row r="13" spans="1:8" ht="20.100000000000001" customHeight="1" x14ac:dyDescent="0.25">
      <c r="A13" s="60"/>
      <c r="B13" s="12"/>
      <c r="C13" s="45"/>
      <c r="D13" s="45"/>
      <c r="E13" s="34"/>
      <c r="F13" s="12"/>
      <c r="G13" s="34"/>
      <c r="H13" s="30"/>
    </row>
    <row r="14" spans="1:8" ht="20.100000000000001" customHeight="1" x14ac:dyDescent="0.25">
      <c r="A14" s="58" t="s">
        <v>23</v>
      </c>
      <c r="B14" s="5" t="s">
        <v>9</v>
      </c>
      <c r="C14" s="42" t="s">
        <v>24</v>
      </c>
      <c r="D14" s="42" t="s">
        <v>1043</v>
      </c>
      <c r="E14" s="77">
        <f>E17</f>
        <v>1</v>
      </c>
      <c r="F14" s="5" t="s">
        <v>10</v>
      </c>
      <c r="G14" s="77">
        <f>G17</f>
        <v>5115.58</v>
      </c>
      <c r="H14" s="28">
        <f>H17</f>
        <v>5115.58</v>
      </c>
    </row>
    <row r="15" spans="1:8" ht="20.100000000000001" customHeight="1" x14ac:dyDescent="0.25">
      <c r="A15" s="59" t="s">
        <v>25</v>
      </c>
      <c r="B15" s="3" t="s">
        <v>17</v>
      </c>
      <c r="C15" s="43" t="s">
        <v>27</v>
      </c>
      <c r="D15" s="43" t="s">
        <v>1041</v>
      </c>
      <c r="E15" s="78">
        <v>1</v>
      </c>
      <c r="F15" s="3" t="s">
        <v>26</v>
      </c>
      <c r="G15" s="78">
        <v>3563</v>
      </c>
      <c r="H15" s="20">
        <f>ROUND(E15*G15,2)</f>
        <v>3563</v>
      </c>
    </row>
    <row r="16" spans="1:8" ht="20.100000000000001" customHeight="1" x14ac:dyDescent="0.25">
      <c r="A16" s="59" t="s">
        <v>28</v>
      </c>
      <c r="B16" s="3" t="s">
        <v>17</v>
      </c>
      <c r="C16" s="43" t="s">
        <v>30</v>
      </c>
      <c r="D16" s="43" t="s">
        <v>1042</v>
      </c>
      <c r="E16" s="78">
        <v>176.43</v>
      </c>
      <c r="F16" s="3" t="s">
        <v>29</v>
      </c>
      <c r="G16" s="78">
        <v>8.8000000000000007</v>
      </c>
      <c r="H16" s="20">
        <f>ROUND(E16*G16,2)</f>
        <v>1552.58</v>
      </c>
    </row>
    <row r="17" spans="1:8" ht="20.100000000000001" customHeight="1" x14ac:dyDescent="0.25">
      <c r="A17" s="52"/>
      <c r="B17" s="9"/>
      <c r="C17" s="44" t="s">
        <v>31</v>
      </c>
      <c r="D17" s="44" t="s">
        <v>31</v>
      </c>
      <c r="E17" s="78">
        <v>1</v>
      </c>
      <c r="F17" s="9"/>
      <c r="G17" s="79">
        <f>SUM(H15:H16)</f>
        <v>5115.58</v>
      </c>
      <c r="H17" s="29">
        <f>ROUND(E17*G17,2)</f>
        <v>5115.58</v>
      </c>
    </row>
    <row r="18" spans="1:8" ht="20.100000000000001" customHeight="1" x14ac:dyDescent="0.25">
      <c r="A18" s="60"/>
      <c r="B18" s="12"/>
      <c r="C18" s="45"/>
      <c r="D18" s="45"/>
      <c r="E18" s="34"/>
      <c r="F18" s="12"/>
      <c r="G18" s="34"/>
      <c r="H18" s="30"/>
    </row>
    <row r="19" spans="1:8" ht="20.100000000000001" customHeight="1" x14ac:dyDescent="0.25">
      <c r="A19" s="58" t="s">
        <v>32</v>
      </c>
      <c r="B19" s="5" t="s">
        <v>9</v>
      </c>
      <c r="C19" s="42" t="s">
        <v>33</v>
      </c>
      <c r="D19" s="42" t="s">
        <v>1050</v>
      </c>
      <c r="E19" s="77">
        <f>E23</f>
        <v>1</v>
      </c>
      <c r="F19" s="5" t="s">
        <v>10</v>
      </c>
      <c r="G19" s="77">
        <f>G23</f>
        <v>18358.150000000001</v>
      </c>
      <c r="H19" s="28">
        <f>H23</f>
        <v>18358.150000000001</v>
      </c>
    </row>
    <row r="20" spans="1:8" ht="20.100000000000001" customHeight="1" x14ac:dyDescent="0.25">
      <c r="A20" s="59" t="s">
        <v>34</v>
      </c>
      <c r="B20" s="3" t="s">
        <v>17</v>
      </c>
      <c r="C20" s="43" t="s">
        <v>36</v>
      </c>
      <c r="D20" s="43" t="s">
        <v>1044</v>
      </c>
      <c r="E20" s="78">
        <v>396</v>
      </c>
      <c r="F20" s="3" t="s">
        <v>35</v>
      </c>
      <c r="G20" s="78">
        <v>29.82</v>
      </c>
      <c r="H20" s="20">
        <f>ROUND(E20*G20,2)</f>
        <v>11808.72</v>
      </c>
    </row>
    <row r="21" spans="1:8" ht="20.100000000000001" customHeight="1" x14ac:dyDescent="0.25">
      <c r="A21" s="59" t="s">
        <v>37</v>
      </c>
      <c r="B21" s="3" t="s">
        <v>17</v>
      </c>
      <c r="C21" s="43" t="s">
        <v>39</v>
      </c>
      <c r="D21" s="43" t="s">
        <v>1045</v>
      </c>
      <c r="E21" s="78">
        <v>12</v>
      </c>
      <c r="F21" s="3" t="s">
        <v>38</v>
      </c>
      <c r="G21" s="78">
        <v>197.28</v>
      </c>
      <c r="H21" s="20">
        <f>ROUND(E21*G21,2)</f>
        <v>2367.36</v>
      </c>
    </row>
    <row r="22" spans="1:8" ht="20.100000000000001" customHeight="1" x14ac:dyDescent="0.25">
      <c r="A22" s="59" t="s">
        <v>40</v>
      </c>
      <c r="B22" s="3" t="s">
        <v>17</v>
      </c>
      <c r="C22" s="43" t="s">
        <v>41</v>
      </c>
      <c r="D22" s="43" t="s">
        <v>1046</v>
      </c>
      <c r="E22" s="78">
        <v>1</v>
      </c>
      <c r="F22" s="3" t="s">
        <v>10</v>
      </c>
      <c r="G22" s="78">
        <v>4182.07</v>
      </c>
      <c r="H22" s="20">
        <f>ROUND(E22*G22,2)</f>
        <v>4182.07</v>
      </c>
    </row>
    <row r="23" spans="1:8" ht="20.100000000000001" customHeight="1" x14ac:dyDescent="0.25">
      <c r="A23" s="52"/>
      <c r="B23" s="9"/>
      <c r="C23" s="44" t="s">
        <v>42</v>
      </c>
      <c r="D23" s="44" t="s">
        <v>42</v>
      </c>
      <c r="E23" s="78">
        <v>1</v>
      </c>
      <c r="F23" s="9"/>
      <c r="G23" s="79">
        <f>SUM(H20:H22)</f>
        <v>18358.150000000001</v>
      </c>
      <c r="H23" s="29">
        <f>ROUND(E23*G23,2)</f>
        <v>18358.150000000001</v>
      </c>
    </row>
    <row r="24" spans="1:8" ht="20.100000000000001" customHeight="1" x14ac:dyDescent="0.25">
      <c r="A24" s="60"/>
      <c r="B24" s="12"/>
      <c r="C24" s="45"/>
      <c r="D24" s="45"/>
      <c r="E24" s="34"/>
      <c r="F24" s="12"/>
      <c r="G24" s="34"/>
      <c r="H24" s="30"/>
    </row>
    <row r="25" spans="1:8" ht="20.100000000000001" customHeight="1" x14ac:dyDescent="0.25">
      <c r="A25" s="58" t="s">
        <v>43</v>
      </c>
      <c r="B25" s="5" t="s">
        <v>9</v>
      </c>
      <c r="C25" s="42" t="s">
        <v>44</v>
      </c>
      <c r="D25" s="42" t="s">
        <v>1049</v>
      </c>
      <c r="E25" s="77">
        <f>E28</f>
        <v>1</v>
      </c>
      <c r="F25" s="5" t="s">
        <v>10</v>
      </c>
      <c r="G25" s="77">
        <f>G28</f>
        <v>44045.96</v>
      </c>
      <c r="H25" s="28">
        <f>H28</f>
        <v>44045.96</v>
      </c>
    </row>
    <row r="26" spans="1:8" ht="20.100000000000001" customHeight="1" x14ac:dyDescent="0.25">
      <c r="A26" s="59" t="s">
        <v>45</v>
      </c>
      <c r="B26" s="3" t="s">
        <v>17</v>
      </c>
      <c r="C26" s="43" t="s">
        <v>46</v>
      </c>
      <c r="D26" s="43" t="s">
        <v>1047</v>
      </c>
      <c r="E26" s="78">
        <v>12</v>
      </c>
      <c r="F26" s="3" t="s">
        <v>38</v>
      </c>
      <c r="G26" s="78">
        <v>3325.87</v>
      </c>
      <c r="H26" s="20">
        <f>ROUND(E26*G26,2)</f>
        <v>39910.44</v>
      </c>
    </row>
    <row r="27" spans="1:8" ht="20.100000000000001" customHeight="1" x14ac:dyDescent="0.25">
      <c r="A27" s="59" t="s">
        <v>47</v>
      </c>
      <c r="B27" s="3" t="s">
        <v>17</v>
      </c>
      <c r="C27" s="43" t="s">
        <v>49</v>
      </c>
      <c r="D27" s="43" t="s">
        <v>1048</v>
      </c>
      <c r="E27" s="78">
        <v>559.61</v>
      </c>
      <c r="F27" s="3" t="s">
        <v>48</v>
      </c>
      <c r="G27" s="78">
        <v>7.39</v>
      </c>
      <c r="H27" s="20">
        <f>ROUND(E27*G27,2)</f>
        <v>4135.5200000000004</v>
      </c>
    </row>
    <row r="28" spans="1:8" ht="20.100000000000001" customHeight="1" x14ac:dyDescent="0.25">
      <c r="A28" s="52"/>
      <c r="B28" s="9"/>
      <c r="C28" s="44" t="s">
        <v>50</v>
      </c>
      <c r="D28" s="44" t="s">
        <v>50</v>
      </c>
      <c r="E28" s="78">
        <v>1</v>
      </c>
      <c r="F28" s="9"/>
      <c r="G28" s="79">
        <f>SUM(H26:H27)</f>
        <v>44045.96</v>
      </c>
      <c r="H28" s="29">
        <f>ROUND(E28*G28,2)</f>
        <v>44045.96</v>
      </c>
    </row>
    <row r="29" spans="1:8" ht="20.100000000000001" customHeight="1" x14ac:dyDescent="0.25">
      <c r="A29" s="60"/>
      <c r="B29" s="12"/>
      <c r="C29" s="45"/>
      <c r="D29" s="45"/>
      <c r="E29" s="34"/>
      <c r="F29" s="12"/>
      <c r="G29" s="34"/>
      <c r="H29" s="30"/>
    </row>
    <row r="30" spans="1:8" ht="20.100000000000001" customHeight="1" x14ac:dyDescent="0.25">
      <c r="A30" s="58" t="s">
        <v>51</v>
      </c>
      <c r="B30" s="5" t="s">
        <v>9</v>
      </c>
      <c r="C30" s="42" t="s">
        <v>52</v>
      </c>
      <c r="D30" s="42" t="s">
        <v>1051</v>
      </c>
      <c r="E30" s="77">
        <f>E33</f>
        <v>1</v>
      </c>
      <c r="F30" s="5" t="s">
        <v>10</v>
      </c>
      <c r="G30" s="77">
        <f>G33</f>
        <v>41304.07</v>
      </c>
      <c r="H30" s="28">
        <f>H33</f>
        <v>41304.07</v>
      </c>
    </row>
    <row r="31" spans="1:8" ht="20.100000000000001" customHeight="1" x14ac:dyDescent="0.25">
      <c r="A31" s="59" t="s">
        <v>53</v>
      </c>
      <c r="B31" s="3" t="s">
        <v>17</v>
      </c>
      <c r="C31" s="43" t="s">
        <v>55</v>
      </c>
      <c r="D31" s="43" t="s">
        <v>1063</v>
      </c>
      <c r="E31" s="78">
        <v>977.83</v>
      </c>
      <c r="F31" s="3" t="s">
        <v>54</v>
      </c>
      <c r="G31" s="78">
        <v>27.54</v>
      </c>
      <c r="H31" s="20">
        <f>ROUND(E31*G31,2)</f>
        <v>26929.439999999999</v>
      </c>
    </row>
    <row r="32" spans="1:8" ht="20.100000000000001" customHeight="1" x14ac:dyDescent="0.25">
      <c r="A32" s="59" t="s">
        <v>56</v>
      </c>
      <c r="B32" s="3" t="s">
        <v>17</v>
      </c>
      <c r="C32" s="43" t="s">
        <v>57</v>
      </c>
      <c r="D32" s="43" t="s">
        <v>1064</v>
      </c>
      <c r="E32" s="78">
        <v>760.16</v>
      </c>
      <c r="F32" s="3" t="s">
        <v>54</v>
      </c>
      <c r="G32" s="78">
        <v>18.91</v>
      </c>
      <c r="H32" s="20">
        <f>ROUND(E32*G32,2)</f>
        <v>14374.63</v>
      </c>
    </row>
    <row r="33" spans="1:8" ht="20.100000000000001" customHeight="1" x14ac:dyDescent="0.25">
      <c r="A33" s="52"/>
      <c r="B33" s="9"/>
      <c r="C33" s="44" t="s">
        <v>58</v>
      </c>
      <c r="D33" s="44" t="s">
        <v>58</v>
      </c>
      <c r="E33" s="78">
        <v>1</v>
      </c>
      <c r="F33" s="9"/>
      <c r="G33" s="79">
        <f>SUM(H31:H32)</f>
        <v>41304.07</v>
      </c>
      <c r="H33" s="29">
        <f>ROUND(E33*G33,2)</f>
        <v>41304.07</v>
      </c>
    </row>
    <row r="34" spans="1:8" ht="20.100000000000001" customHeight="1" x14ac:dyDescent="0.25">
      <c r="A34" s="60"/>
      <c r="B34" s="12"/>
      <c r="C34" s="45"/>
      <c r="D34" s="45"/>
      <c r="E34" s="34"/>
      <c r="F34" s="12"/>
      <c r="G34" s="34"/>
      <c r="H34" s="30"/>
    </row>
    <row r="35" spans="1:8" ht="20.100000000000001" customHeight="1" x14ac:dyDescent="0.25">
      <c r="A35" s="52"/>
      <c r="B35" s="9"/>
      <c r="C35" s="44" t="s">
        <v>59</v>
      </c>
      <c r="D35" s="44" t="s">
        <v>59</v>
      </c>
      <c r="E35" s="78">
        <v>1</v>
      </c>
      <c r="F35" s="9"/>
      <c r="G35" s="79">
        <f>H9+H14+H19+H25+H30</f>
        <v>119435.93</v>
      </c>
      <c r="H35" s="29">
        <f>ROUND(E35*G35,2)</f>
        <v>119435.93</v>
      </c>
    </row>
    <row r="36" spans="1:8" ht="20.100000000000001" customHeight="1" x14ac:dyDescent="0.25">
      <c r="A36" s="60"/>
      <c r="B36" s="12"/>
      <c r="C36" s="45"/>
      <c r="D36" s="45"/>
      <c r="E36" s="34"/>
      <c r="F36" s="12"/>
      <c r="G36" s="34"/>
      <c r="H36" s="30"/>
    </row>
    <row r="37" spans="1:8" ht="20.100000000000001" customHeight="1" x14ac:dyDescent="0.25">
      <c r="A37" s="57" t="s">
        <v>60</v>
      </c>
      <c r="B37" s="16" t="s">
        <v>9</v>
      </c>
      <c r="C37" s="41" t="s">
        <v>61</v>
      </c>
      <c r="D37" s="41" t="s">
        <v>1052</v>
      </c>
      <c r="E37" s="76">
        <f>E605</f>
        <v>1</v>
      </c>
      <c r="F37" s="16" t="s">
        <v>10</v>
      </c>
      <c r="G37" s="76">
        <f>G605</f>
        <v>579503.18000000005</v>
      </c>
      <c r="H37" s="27">
        <f>H605</f>
        <v>579503.18000000005</v>
      </c>
    </row>
    <row r="38" spans="1:8" ht="20.100000000000001" customHeight="1" x14ac:dyDescent="0.25">
      <c r="A38" s="58" t="s">
        <v>62</v>
      </c>
      <c r="B38" s="5" t="s">
        <v>9</v>
      </c>
      <c r="C38" s="42" t="s">
        <v>63</v>
      </c>
      <c r="D38" s="42" t="s">
        <v>1053</v>
      </c>
      <c r="E38" s="77">
        <f>E221</f>
        <v>1</v>
      </c>
      <c r="F38" s="5" t="s">
        <v>10</v>
      </c>
      <c r="G38" s="77">
        <f>G221</f>
        <v>424351.74</v>
      </c>
      <c r="H38" s="28">
        <f>H221</f>
        <v>424351.74</v>
      </c>
    </row>
    <row r="39" spans="1:8" ht="20.100000000000001" customHeight="1" x14ac:dyDescent="0.25">
      <c r="A39" s="61" t="s">
        <v>64</v>
      </c>
      <c r="B39" s="17" t="s">
        <v>9</v>
      </c>
      <c r="C39" s="46" t="s">
        <v>66</v>
      </c>
      <c r="D39" s="46" t="s">
        <v>1054</v>
      </c>
      <c r="E39" s="80">
        <f>E94</f>
        <v>1</v>
      </c>
      <c r="F39" s="17" t="s">
        <v>65</v>
      </c>
      <c r="G39" s="80">
        <f>G94</f>
        <v>131156.24</v>
      </c>
      <c r="H39" s="31">
        <f>H94</f>
        <v>131156.24</v>
      </c>
    </row>
    <row r="40" spans="1:8" ht="20.100000000000001" customHeight="1" x14ac:dyDescent="0.25">
      <c r="A40" s="62" t="s">
        <v>67</v>
      </c>
      <c r="B40" s="7" t="s">
        <v>9</v>
      </c>
      <c r="C40" s="47" t="s">
        <v>68</v>
      </c>
      <c r="D40" s="47" t="s">
        <v>1055</v>
      </c>
      <c r="E40" s="81">
        <f>E48</f>
        <v>1</v>
      </c>
      <c r="F40" s="7" t="s">
        <v>10</v>
      </c>
      <c r="G40" s="81">
        <f>G48</f>
        <v>37920.06</v>
      </c>
      <c r="H40" s="21">
        <f>H48</f>
        <v>37920.06</v>
      </c>
    </row>
    <row r="41" spans="1:8" ht="20.100000000000001" customHeight="1" x14ac:dyDescent="0.25">
      <c r="A41" s="59" t="s">
        <v>69</v>
      </c>
      <c r="B41" s="3" t="s">
        <v>17</v>
      </c>
      <c r="C41" s="43" t="s">
        <v>71</v>
      </c>
      <c r="D41" s="43" t="s">
        <v>1056</v>
      </c>
      <c r="E41" s="78">
        <v>119.73</v>
      </c>
      <c r="F41" s="3" t="s">
        <v>70</v>
      </c>
      <c r="G41" s="78">
        <v>33.47</v>
      </c>
      <c r="H41" s="20">
        <f t="shared" ref="H41:H48" si="0">ROUND(E41*G41,2)</f>
        <v>4007.36</v>
      </c>
    </row>
    <row r="42" spans="1:8" ht="20.100000000000001" customHeight="1" x14ac:dyDescent="0.25">
      <c r="A42" s="59" t="s">
        <v>72</v>
      </c>
      <c r="B42" s="3" t="s">
        <v>17</v>
      </c>
      <c r="C42" s="43" t="s">
        <v>73</v>
      </c>
      <c r="D42" s="43" t="s">
        <v>1057</v>
      </c>
      <c r="E42" s="78">
        <v>164.25</v>
      </c>
      <c r="F42" s="3" t="s">
        <v>70</v>
      </c>
      <c r="G42" s="78">
        <v>33.47</v>
      </c>
      <c r="H42" s="20">
        <f t="shared" si="0"/>
        <v>5497.45</v>
      </c>
    </row>
    <row r="43" spans="1:8" ht="20.100000000000001" customHeight="1" x14ac:dyDescent="0.25">
      <c r="A43" s="59" t="s">
        <v>74</v>
      </c>
      <c r="B43" s="3" t="s">
        <v>17</v>
      </c>
      <c r="C43" s="43" t="s">
        <v>76</v>
      </c>
      <c r="D43" s="43" t="s">
        <v>1059</v>
      </c>
      <c r="E43" s="78">
        <v>151.58000000000001</v>
      </c>
      <c r="F43" s="3" t="s">
        <v>75</v>
      </c>
      <c r="G43" s="78">
        <v>17.46</v>
      </c>
      <c r="H43" s="20">
        <f t="shared" si="0"/>
        <v>2646.59</v>
      </c>
    </row>
    <row r="44" spans="1:8" ht="20.100000000000001" customHeight="1" x14ac:dyDescent="0.25">
      <c r="A44" s="59" t="s">
        <v>77</v>
      </c>
      <c r="B44" s="3" t="s">
        <v>17</v>
      </c>
      <c r="C44" s="43" t="s">
        <v>78</v>
      </c>
      <c r="D44" s="43" t="s">
        <v>1058</v>
      </c>
      <c r="E44" s="78">
        <v>595.71</v>
      </c>
      <c r="F44" s="3" t="s">
        <v>54</v>
      </c>
      <c r="G44" s="78">
        <v>27.54</v>
      </c>
      <c r="H44" s="20">
        <f t="shared" si="0"/>
        <v>16405.849999999999</v>
      </c>
    </row>
    <row r="45" spans="1:8" ht="20.100000000000001" customHeight="1" x14ac:dyDescent="0.25">
      <c r="A45" s="59" t="s">
        <v>79</v>
      </c>
      <c r="B45" s="3" t="s">
        <v>17</v>
      </c>
      <c r="C45" s="43" t="s">
        <v>81</v>
      </c>
      <c r="D45" s="43" t="s">
        <v>1060</v>
      </c>
      <c r="E45" s="78">
        <v>217.84</v>
      </c>
      <c r="F45" s="3" t="s">
        <v>80</v>
      </c>
      <c r="G45" s="78">
        <v>8.08</v>
      </c>
      <c r="H45" s="20">
        <f t="shared" si="0"/>
        <v>1760.15</v>
      </c>
    </row>
    <row r="46" spans="1:8" ht="20.100000000000001" customHeight="1" x14ac:dyDescent="0.25">
      <c r="A46" s="59" t="s">
        <v>82</v>
      </c>
      <c r="B46" s="3" t="s">
        <v>17</v>
      </c>
      <c r="C46" s="43" t="s">
        <v>83</v>
      </c>
      <c r="D46" s="43" t="s">
        <v>1061</v>
      </c>
      <c r="E46" s="78">
        <v>2273.17</v>
      </c>
      <c r="F46" s="3" t="s">
        <v>18</v>
      </c>
      <c r="G46" s="78">
        <v>2.65</v>
      </c>
      <c r="H46" s="20">
        <f t="shared" si="0"/>
        <v>6023.9</v>
      </c>
    </row>
    <row r="47" spans="1:8" ht="20.100000000000001" customHeight="1" x14ac:dyDescent="0.25">
      <c r="A47" s="59" t="s">
        <v>84</v>
      </c>
      <c r="B47" s="3" t="s">
        <v>17</v>
      </c>
      <c r="C47" s="43" t="s">
        <v>85</v>
      </c>
      <c r="D47" s="43" t="s">
        <v>1062</v>
      </c>
      <c r="E47" s="78">
        <v>595.76</v>
      </c>
      <c r="F47" s="3" t="s">
        <v>18</v>
      </c>
      <c r="G47" s="78">
        <v>2.65</v>
      </c>
      <c r="H47" s="20">
        <f t="shared" si="0"/>
        <v>1578.76</v>
      </c>
    </row>
    <row r="48" spans="1:8" ht="20.100000000000001" customHeight="1" x14ac:dyDescent="0.25">
      <c r="A48" s="52"/>
      <c r="B48" s="9"/>
      <c r="C48" s="44" t="s">
        <v>86</v>
      </c>
      <c r="D48" s="44" t="s">
        <v>86</v>
      </c>
      <c r="E48" s="78">
        <v>1</v>
      </c>
      <c r="F48" s="9"/>
      <c r="G48" s="79">
        <f>SUM(H41:H47)</f>
        <v>37920.06</v>
      </c>
      <c r="H48" s="29">
        <f t="shared" si="0"/>
        <v>37920.06</v>
      </c>
    </row>
    <row r="49" spans="1:8" ht="20.100000000000001" customHeight="1" x14ac:dyDescent="0.25">
      <c r="A49" s="60"/>
      <c r="B49" s="12"/>
      <c r="C49" s="45"/>
      <c r="D49" s="45"/>
      <c r="E49" s="34"/>
      <c r="F49" s="12"/>
      <c r="G49" s="34"/>
      <c r="H49" s="30"/>
    </row>
    <row r="50" spans="1:8" ht="20.100000000000001" customHeight="1" x14ac:dyDescent="0.25">
      <c r="A50" s="62" t="s">
        <v>87</v>
      </c>
      <c r="B50" s="7" t="s">
        <v>9</v>
      </c>
      <c r="C50" s="47" t="s">
        <v>88</v>
      </c>
      <c r="D50" s="47" t="s">
        <v>1150</v>
      </c>
      <c r="E50" s="81">
        <f>E87</f>
        <v>1</v>
      </c>
      <c r="F50" s="7" t="s">
        <v>10</v>
      </c>
      <c r="G50" s="81">
        <f>G87</f>
        <v>61427.93</v>
      </c>
      <c r="H50" s="21">
        <f>H87</f>
        <v>61427.93</v>
      </c>
    </row>
    <row r="51" spans="1:8" ht="20.100000000000001" customHeight="1" x14ac:dyDescent="0.25">
      <c r="A51" s="59" t="s">
        <v>89</v>
      </c>
      <c r="B51" s="3" t="s">
        <v>17</v>
      </c>
      <c r="C51" s="43" t="s">
        <v>90</v>
      </c>
      <c r="D51" s="43" t="s">
        <v>1068</v>
      </c>
      <c r="E51" s="78">
        <v>4.37</v>
      </c>
      <c r="F51" s="3" t="s">
        <v>54</v>
      </c>
      <c r="G51" s="78">
        <v>243.76</v>
      </c>
      <c r="H51" s="20">
        <f t="shared" ref="H51:H87" si="1">ROUND(E51*G51,2)</f>
        <v>1065.23</v>
      </c>
    </row>
    <row r="52" spans="1:8" ht="20.100000000000001" customHeight="1" x14ac:dyDescent="0.25">
      <c r="A52" s="59" t="s">
        <v>91</v>
      </c>
      <c r="B52" s="3" t="s">
        <v>17</v>
      </c>
      <c r="C52" s="43" t="s">
        <v>92</v>
      </c>
      <c r="D52" s="43" t="s">
        <v>1069</v>
      </c>
      <c r="E52" s="78">
        <v>0.78</v>
      </c>
      <c r="F52" s="3" t="s">
        <v>54</v>
      </c>
      <c r="G52" s="78">
        <v>243</v>
      </c>
      <c r="H52" s="20">
        <f t="shared" si="1"/>
        <v>189.54</v>
      </c>
    </row>
    <row r="53" spans="1:8" ht="20.100000000000001" customHeight="1" x14ac:dyDescent="0.25">
      <c r="A53" s="59" t="s">
        <v>93</v>
      </c>
      <c r="B53" s="3" t="s">
        <v>17</v>
      </c>
      <c r="C53" s="43" t="s">
        <v>94</v>
      </c>
      <c r="D53" s="43" t="s">
        <v>1070</v>
      </c>
      <c r="E53" s="78">
        <v>1.6</v>
      </c>
      <c r="F53" s="3" t="s">
        <v>54</v>
      </c>
      <c r="G53" s="78">
        <v>243</v>
      </c>
      <c r="H53" s="20">
        <f t="shared" si="1"/>
        <v>388.8</v>
      </c>
    </row>
    <row r="54" spans="1:8" ht="20.100000000000001" customHeight="1" x14ac:dyDescent="0.25">
      <c r="A54" s="59" t="s">
        <v>95</v>
      </c>
      <c r="B54" s="3" t="s">
        <v>17</v>
      </c>
      <c r="C54" s="43" t="s">
        <v>96</v>
      </c>
      <c r="D54" s="43" t="s">
        <v>1071</v>
      </c>
      <c r="E54" s="78">
        <v>3.74</v>
      </c>
      <c r="F54" s="3" t="s">
        <v>54</v>
      </c>
      <c r="G54" s="78">
        <v>242.25</v>
      </c>
      <c r="H54" s="20">
        <f t="shared" si="1"/>
        <v>906.02</v>
      </c>
    </row>
    <row r="55" spans="1:8" ht="20.100000000000001" customHeight="1" x14ac:dyDescent="0.25">
      <c r="A55" s="59" t="s">
        <v>97</v>
      </c>
      <c r="B55" s="3" t="s">
        <v>17</v>
      </c>
      <c r="C55" s="43" t="s">
        <v>98</v>
      </c>
      <c r="D55" s="43" t="s">
        <v>1072</v>
      </c>
      <c r="E55" s="78">
        <v>2.2000000000000002</v>
      </c>
      <c r="F55" s="3" t="s">
        <v>54</v>
      </c>
      <c r="G55" s="78">
        <v>239.95</v>
      </c>
      <c r="H55" s="20">
        <f t="shared" si="1"/>
        <v>527.89</v>
      </c>
    </row>
    <row r="56" spans="1:8" ht="20.100000000000001" customHeight="1" x14ac:dyDescent="0.25">
      <c r="A56" s="59" t="s">
        <v>99</v>
      </c>
      <c r="B56" s="3" t="s">
        <v>17</v>
      </c>
      <c r="C56" s="43" t="s">
        <v>100</v>
      </c>
      <c r="D56" s="43" t="s">
        <v>1073</v>
      </c>
      <c r="E56" s="78">
        <v>2.2999999999999998</v>
      </c>
      <c r="F56" s="3" t="s">
        <v>54</v>
      </c>
      <c r="G56" s="78">
        <v>278.11</v>
      </c>
      <c r="H56" s="20">
        <f t="shared" si="1"/>
        <v>639.65</v>
      </c>
    </row>
    <row r="57" spans="1:8" ht="20.100000000000001" customHeight="1" x14ac:dyDescent="0.25">
      <c r="A57" s="59" t="s">
        <v>101</v>
      </c>
      <c r="B57" s="3" t="s">
        <v>17</v>
      </c>
      <c r="C57" s="43" t="s">
        <v>102</v>
      </c>
      <c r="D57" s="43" t="s">
        <v>1074</v>
      </c>
      <c r="E57" s="78">
        <v>1.31</v>
      </c>
      <c r="F57" s="3" t="s">
        <v>54</v>
      </c>
      <c r="G57" s="78">
        <v>326.95999999999998</v>
      </c>
      <c r="H57" s="20">
        <f t="shared" si="1"/>
        <v>428.32</v>
      </c>
    </row>
    <row r="58" spans="1:8" ht="20.100000000000001" customHeight="1" x14ac:dyDescent="0.25">
      <c r="A58" s="59" t="s">
        <v>103</v>
      </c>
      <c r="B58" s="3" t="s">
        <v>17</v>
      </c>
      <c r="C58" s="43" t="s">
        <v>104</v>
      </c>
      <c r="D58" s="43" t="s">
        <v>1075</v>
      </c>
      <c r="E58" s="78">
        <v>7.38</v>
      </c>
      <c r="F58" s="3" t="s">
        <v>54</v>
      </c>
      <c r="G58" s="78">
        <v>288.02999999999997</v>
      </c>
      <c r="H58" s="20">
        <f t="shared" si="1"/>
        <v>2125.66</v>
      </c>
    </row>
    <row r="59" spans="1:8" ht="20.100000000000001" customHeight="1" x14ac:dyDescent="0.25">
      <c r="A59" s="59" t="s">
        <v>105</v>
      </c>
      <c r="B59" s="3" t="s">
        <v>17</v>
      </c>
      <c r="C59" s="43" t="s">
        <v>106</v>
      </c>
      <c r="D59" s="43" t="s">
        <v>1076</v>
      </c>
      <c r="E59" s="78">
        <v>1.98</v>
      </c>
      <c r="F59" s="3" t="s">
        <v>54</v>
      </c>
      <c r="G59" s="78">
        <v>234.61</v>
      </c>
      <c r="H59" s="20">
        <f t="shared" si="1"/>
        <v>464.53</v>
      </c>
    </row>
    <row r="60" spans="1:8" ht="20.100000000000001" customHeight="1" x14ac:dyDescent="0.25">
      <c r="A60" s="59" t="s">
        <v>107</v>
      </c>
      <c r="B60" s="3" t="s">
        <v>17</v>
      </c>
      <c r="C60" s="43" t="s">
        <v>108</v>
      </c>
      <c r="D60" s="43" t="s">
        <v>1077</v>
      </c>
      <c r="E60" s="78">
        <v>3.19</v>
      </c>
      <c r="F60" s="3" t="s">
        <v>54</v>
      </c>
      <c r="G60" s="78">
        <v>232.31</v>
      </c>
      <c r="H60" s="20">
        <f t="shared" si="1"/>
        <v>741.07</v>
      </c>
    </row>
    <row r="61" spans="1:8" ht="20.100000000000001" customHeight="1" x14ac:dyDescent="0.25">
      <c r="A61" s="59" t="s">
        <v>109</v>
      </c>
      <c r="B61" s="3" t="s">
        <v>17</v>
      </c>
      <c r="C61" s="43" t="s">
        <v>110</v>
      </c>
      <c r="D61" s="43" t="s">
        <v>1078</v>
      </c>
      <c r="E61" s="78">
        <v>1.94</v>
      </c>
      <c r="F61" s="3" t="s">
        <v>54</v>
      </c>
      <c r="G61" s="78">
        <v>236.19</v>
      </c>
      <c r="H61" s="20">
        <f t="shared" si="1"/>
        <v>458.21</v>
      </c>
    </row>
    <row r="62" spans="1:8" ht="20.100000000000001" customHeight="1" x14ac:dyDescent="0.25">
      <c r="A62" s="59" t="s">
        <v>111</v>
      </c>
      <c r="B62" s="3" t="s">
        <v>17</v>
      </c>
      <c r="C62" s="43" t="s">
        <v>112</v>
      </c>
      <c r="D62" s="43" t="s">
        <v>1079</v>
      </c>
      <c r="E62" s="78">
        <v>2.34</v>
      </c>
      <c r="F62" s="3" t="s">
        <v>54</v>
      </c>
      <c r="G62" s="78">
        <v>238.82</v>
      </c>
      <c r="H62" s="20">
        <f t="shared" si="1"/>
        <v>558.84</v>
      </c>
    </row>
    <row r="63" spans="1:8" ht="20.100000000000001" customHeight="1" x14ac:dyDescent="0.25">
      <c r="A63" s="59" t="s">
        <v>113</v>
      </c>
      <c r="B63" s="3" t="s">
        <v>17</v>
      </c>
      <c r="C63" s="43" t="s">
        <v>114</v>
      </c>
      <c r="D63" s="43" t="s">
        <v>1080</v>
      </c>
      <c r="E63" s="78">
        <v>4.42</v>
      </c>
      <c r="F63" s="3" t="s">
        <v>54</v>
      </c>
      <c r="G63" s="78">
        <v>264.38</v>
      </c>
      <c r="H63" s="20">
        <f t="shared" si="1"/>
        <v>1168.56</v>
      </c>
    </row>
    <row r="64" spans="1:8" ht="20.100000000000001" customHeight="1" x14ac:dyDescent="0.25">
      <c r="A64" s="59" t="s">
        <v>115</v>
      </c>
      <c r="B64" s="3" t="s">
        <v>17</v>
      </c>
      <c r="C64" s="43" t="s">
        <v>116</v>
      </c>
      <c r="D64" s="43" t="s">
        <v>1081</v>
      </c>
      <c r="E64" s="78">
        <v>0.97</v>
      </c>
      <c r="F64" s="3" t="s">
        <v>54</v>
      </c>
      <c r="G64" s="78">
        <v>281.92</v>
      </c>
      <c r="H64" s="20">
        <f t="shared" si="1"/>
        <v>273.45999999999998</v>
      </c>
    </row>
    <row r="65" spans="1:8" ht="20.100000000000001" customHeight="1" x14ac:dyDescent="0.25">
      <c r="A65" s="59" t="s">
        <v>117</v>
      </c>
      <c r="B65" s="3" t="s">
        <v>17</v>
      </c>
      <c r="C65" s="43" t="s">
        <v>118</v>
      </c>
      <c r="D65" s="43" t="s">
        <v>1082</v>
      </c>
      <c r="E65" s="78">
        <v>1.22</v>
      </c>
      <c r="F65" s="3" t="s">
        <v>54</v>
      </c>
      <c r="G65" s="78">
        <v>280.68</v>
      </c>
      <c r="H65" s="20">
        <f t="shared" si="1"/>
        <v>342.43</v>
      </c>
    </row>
    <row r="66" spans="1:8" ht="20.100000000000001" customHeight="1" x14ac:dyDescent="0.25">
      <c r="A66" s="59" t="s">
        <v>119</v>
      </c>
      <c r="B66" s="3" t="s">
        <v>17</v>
      </c>
      <c r="C66" s="43" t="s">
        <v>120</v>
      </c>
      <c r="D66" s="43" t="s">
        <v>1083</v>
      </c>
      <c r="E66" s="78">
        <v>1.44</v>
      </c>
      <c r="F66" s="3" t="s">
        <v>54</v>
      </c>
      <c r="G66" s="78">
        <v>275.82</v>
      </c>
      <c r="H66" s="20">
        <f t="shared" si="1"/>
        <v>397.18</v>
      </c>
    </row>
    <row r="67" spans="1:8" ht="20.100000000000001" customHeight="1" x14ac:dyDescent="0.25">
      <c r="A67" s="59" t="s">
        <v>121</v>
      </c>
      <c r="B67" s="3" t="s">
        <v>17</v>
      </c>
      <c r="C67" s="43" t="s">
        <v>122</v>
      </c>
      <c r="D67" s="43" t="s">
        <v>1084</v>
      </c>
      <c r="E67" s="78">
        <v>41.44</v>
      </c>
      <c r="F67" s="3" t="s">
        <v>54</v>
      </c>
      <c r="G67" s="78">
        <v>227.35</v>
      </c>
      <c r="H67" s="20">
        <f t="shared" si="1"/>
        <v>9421.3799999999992</v>
      </c>
    </row>
    <row r="68" spans="1:8" ht="20.100000000000001" customHeight="1" x14ac:dyDescent="0.25">
      <c r="A68" s="59" t="s">
        <v>123</v>
      </c>
      <c r="B68" s="3" t="s">
        <v>17</v>
      </c>
      <c r="C68" s="43" t="s">
        <v>124</v>
      </c>
      <c r="D68" s="43" t="s">
        <v>1085</v>
      </c>
      <c r="E68" s="78">
        <v>5.27</v>
      </c>
      <c r="F68" s="3" t="s">
        <v>54</v>
      </c>
      <c r="G68" s="78">
        <v>227.35</v>
      </c>
      <c r="H68" s="20">
        <f t="shared" si="1"/>
        <v>1198.1300000000001</v>
      </c>
    </row>
    <row r="69" spans="1:8" ht="20.100000000000001" customHeight="1" x14ac:dyDescent="0.25">
      <c r="A69" s="59" t="s">
        <v>125</v>
      </c>
      <c r="B69" s="3" t="s">
        <v>17</v>
      </c>
      <c r="C69" s="43" t="s">
        <v>126</v>
      </c>
      <c r="D69" s="43" t="s">
        <v>1086</v>
      </c>
      <c r="E69" s="78">
        <v>0.56999999999999995</v>
      </c>
      <c r="F69" s="3" t="s">
        <v>54</v>
      </c>
      <c r="G69" s="78">
        <v>249.04</v>
      </c>
      <c r="H69" s="20">
        <f t="shared" si="1"/>
        <v>141.94999999999999</v>
      </c>
    </row>
    <row r="70" spans="1:8" ht="20.100000000000001" customHeight="1" x14ac:dyDescent="0.25">
      <c r="A70" s="59" t="s">
        <v>127</v>
      </c>
      <c r="B70" s="3" t="s">
        <v>17</v>
      </c>
      <c r="C70" s="43" t="s">
        <v>128</v>
      </c>
      <c r="D70" s="43" t="s">
        <v>1087</v>
      </c>
      <c r="E70" s="78">
        <v>3.58</v>
      </c>
      <c r="F70" s="3" t="s">
        <v>54</v>
      </c>
      <c r="G70" s="78">
        <v>869.71</v>
      </c>
      <c r="H70" s="20">
        <f t="shared" si="1"/>
        <v>3113.56</v>
      </c>
    </row>
    <row r="71" spans="1:8" ht="20.100000000000001" customHeight="1" x14ac:dyDescent="0.25">
      <c r="A71" s="59" t="s">
        <v>129</v>
      </c>
      <c r="B71" s="3" t="s">
        <v>17</v>
      </c>
      <c r="C71" s="43" t="s">
        <v>130</v>
      </c>
      <c r="D71" s="43" t="s">
        <v>1088</v>
      </c>
      <c r="E71" s="78">
        <v>0.54</v>
      </c>
      <c r="F71" s="3" t="s">
        <v>54</v>
      </c>
      <c r="G71" s="78">
        <v>763.31</v>
      </c>
      <c r="H71" s="20">
        <f t="shared" si="1"/>
        <v>412.19</v>
      </c>
    </row>
    <row r="72" spans="1:8" ht="20.100000000000001" customHeight="1" x14ac:dyDescent="0.25">
      <c r="A72" s="59" t="s">
        <v>131</v>
      </c>
      <c r="B72" s="3" t="s">
        <v>17</v>
      </c>
      <c r="C72" s="43" t="s">
        <v>132</v>
      </c>
      <c r="D72" s="43" t="s">
        <v>1089</v>
      </c>
      <c r="E72" s="78">
        <v>0.81</v>
      </c>
      <c r="F72" s="3" t="s">
        <v>54</v>
      </c>
      <c r="G72" s="78">
        <v>771.01</v>
      </c>
      <c r="H72" s="20">
        <f t="shared" si="1"/>
        <v>624.52</v>
      </c>
    </row>
    <row r="73" spans="1:8" ht="20.100000000000001" customHeight="1" x14ac:dyDescent="0.25">
      <c r="A73" s="59" t="s">
        <v>133</v>
      </c>
      <c r="B73" s="3" t="s">
        <v>17</v>
      </c>
      <c r="C73" s="43" t="s">
        <v>134</v>
      </c>
      <c r="D73" s="43" t="s">
        <v>1090</v>
      </c>
      <c r="E73" s="78">
        <v>0.68</v>
      </c>
      <c r="F73" s="3" t="s">
        <v>54</v>
      </c>
      <c r="G73" s="78">
        <v>701.85</v>
      </c>
      <c r="H73" s="20">
        <f t="shared" si="1"/>
        <v>477.26</v>
      </c>
    </row>
    <row r="74" spans="1:8" ht="20.100000000000001" customHeight="1" x14ac:dyDescent="0.25">
      <c r="A74" s="59" t="s">
        <v>135</v>
      </c>
      <c r="B74" s="3" t="s">
        <v>17</v>
      </c>
      <c r="C74" s="43" t="s">
        <v>136</v>
      </c>
      <c r="D74" s="43" t="s">
        <v>1091</v>
      </c>
      <c r="E74" s="78">
        <v>0.98</v>
      </c>
      <c r="F74" s="3" t="s">
        <v>54</v>
      </c>
      <c r="G74" s="78">
        <v>879.79</v>
      </c>
      <c r="H74" s="20">
        <f t="shared" si="1"/>
        <v>862.19</v>
      </c>
    </row>
    <row r="75" spans="1:8" ht="20.100000000000001" customHeight="1" x14ac:dyDescent="0.25">
      <c r="A75" s="59" t="s">
        <v>137</v>
      </c>
      <c r="B75" s="3" t="s">
        <v>17</v>
      </c>
      <c r="C75" s="43" t="s">
        <v>138</v>
      </c>
      <c r="D75" s="43" t="s">
        <v>1092</v>
      </c>
      <c r="E75" s="78">
        <v>0.34</v>
      </c>
      <c r="F75" s="3" t="s">
        <v>54</v>
      </c>
      <c r="G75" s="78">
        <v>761.64</v>
      </c>
      <c r="H75" s="20">
        <f t="shared" si="1"/>
        <v>258.95999999999998</v>
      </c>
    </row>
    <row r="76" spans="1:8" ht="20.100000000000001" customHeight="1" x14ac:dyDescent="0.25">
      <c r="A76" s="59" t="s">
        <v>139</v>
      </c>
      <c r="B76" s="3" t="s">
        <v>17</v>
      </c>
      <c r="C76" s="43" t="s">
        <v>140</v>
      </c>
      <c r="D76" s="43" t="s">
        <v>1093</v>
      </c>
      <c r="E76" s="78">
        <v>0.68</v>
      </c>
      <c r="F76" s="3" t="s">
        <v>54</v>
      </c>
      <c r="G76" s="78">
        <v>701.85</v>
      </c>
      <c r="H76" s="20">
        <f t="shared" si="1"/>
        <v>477.26</v>
      </c>
    </row>
    <row r="77" spans="1:8" ht="20.100000000000001" customHeight="1" x14ac:dyDescent="0.25">
      <c r="A77" s="59" t="s">
        <v>141</v>
      </c>
      <c r="B77" s="3" t="s">
        <v>17</v>
      </c>
      <c r="C77" s="43" t="s">
        <v>142</v>
      </c>
      <c r="D77" s="43" t="s">
        <v>1094</v>
      </c>
      <c r="E77" s="78">
        <v>2.79</v>
      </c>
      <c r="F77" s="3" t="s">
        <v>54</v>
      </c>
      <c r="G77" s="78">
        <v>763.38</v>
      </c>
      <c r="H77" s="20">
        <f t="shared" si="1"/>
        <v>2129.83</v>
      </c>
    </row>
    <row r="78" spans="1:8" ht="20.100000000000001" customHeight="1" x14ac:dyDescent="0.25">
      <c r="A78" s="59" t="s">
        <v>143</v>
      </c>
      <c r="B78" s="3" t="s">
        <v>17</v>
      </c>
      <c r="C78" s="43" t="s">
        <v>144</v>
      </c>
      <c r="D78" s="43" t="s">
        <v>1095</v>
      </c>
      <c r="E78" s="78">
        <v>3.24</v>
      </c>
      <c r="F78" s="3" t="s">
        <v>54</v>
      </c>
      <c r="G78" s="78">
        <v>658.41</v>
      </c>
      <c r="H78" s="20">
        <f t="shared" si="1"/>
        <v>2133.25</v>
      </c>
    </row>
    <row r="79" spans="1:8" ht="20.100000000000001" customHeight="1" x14ac:dyDescent="0.25">
      <c r="A79" s="59" t="s">
        <v>145</v>
      </c>
      <c r="B79" s="3" t="s">
        <v>17</v>
      </c>
      <c r="C79" s="43" t="s">
        <v>146</v>
      </c>
      <c r="D79" s="43" t="s">
        <v>1096</v>
      </c>
      <c r="E79" s="78">
        <v>1.35</v>
      </c>
      <c r="F79" s="3" t="s">
        <v>54</v>
      </c>
      <c r="G79" s="78">
        <v>694.32</v>
      </c>
      <c r="H79" s="20">
        <f t="shared" si="1"/>
        <v>937.33</v>
      </c>
    </row>
    <row r="80" spans="1:8" ht="39.950000000000003" customHeight="1" x14ac:dyDescent="0.25">
      <c r="A80" s="59" t="s">
        <v>147</v>
      </c>
      <c r="B80" s="3" t="s">
        <v>17</v>
      </c>
      <c r="C80" s="43" t="s">
        <v>148</v>
      </c>
      <c r="D80" s="43" t="s">
        <v>1097</v>
      </c>
      <c r="E80" s="78">
        <v>2.93</v>
      </c>
      <c r="F80" s="3" t="s">
        <v>54</v>
      </c>
      <c r="G80" s="78">
        <v>950.17</v>
      </c>
      <c r="H80" s="20">
        <f t="shared" si="1"/>
        <v>2784</v>
      </c>
    </row>
    <row r="81" spans="1:8" ht="20.100000000000001" customHeight="1" x14ac:dyDescent="0.25">
      <c r="A81" s="59" t="s">
        <v>149</v>
      </c>
      <c r="B81" s="3" t="s">
        <v>17</v>
      </c>
      <c r="C81" s="43" t="s">
        <v>150</v>
      </c>
      <c r="D81" s="43" t="s">
        <v>1098</v>
      </c>
      <c r="E81" s="78">
        <v>1.22</v>
      </c>
      <c r="F81" s="3" t="s">
        <v>54</v>
      </c>
      <c r="G81" s="78">
        <v>588.64</v>
      </c>
      <c r="H81" s="20">
        <f t="shared" si="1"/>
        <v>718.14</v>
      </c>
    </row>
    <row r="82" spans="1:8" ht="20.100000000000001" customHeight="1" x14ac:dyDescent="0.25">
      <c r="A82" s="59" t="s">
        <v>151</v>
      </c>
      <c r="B82" s="3" t="s">
        <v>17</v>
      </c>
      <c r="C82" s="43" t="s">
        <v>152</v>
      </c>
      <c r="D82" s="43" t="s">
        <v>1099</v>
      </c>
      <c r="E82" s="78">
        <v>0.68</v>
      </c>
      <c r="F82" s="3" t="s">
        <v>54</v>
      </c>
      <c r="G82" s="78">
        <v>553.72</v>
      </c>
      <c r="H82" s="20">
        <f t="shared" si="1"/>
        <v>376.53</v>
      </c>
    </row>
    <row r="83" spans="1:8" ht="20.100000000000001" customHeight="1" x14ac:dyDescent="0.25">
      <c r="A83" s="59" t="s">
        <v>153</v>
      </c>
      <c r="B83" s="3" t="s">
        <v>17</v>
      </c>
      <c r="C83" s="43" t="s">
        <v>155</v>
      </c>
      <c r="D83" s="43" t="s">
        <v>1100</v>
      </c>
      <c r="E83" s="78">
        <v>43</v>
      </c>
      <c r="F83" s="3" t="s">
        <v>154</v>
      </c>
      <c r="G83" s="78">
        <v>37.68</v>
      </c>
      <c r="H83" s="20">
        <f t="shared" si="1"/>
        <v>1620.24</v>
      </c>
    </row>
    <row r="84" spans="1:8" ht="20.100000000000001" customHeight="1" x14ac:dyDescent="0.25">
      <c r="A84" s="59" t="s">
        <v>156</v>
      </c>
      <c r="B84" s="3" t="s">
        <v>17</v>
      </c>
      <c r="C84" s="43" t="s">
        <v>157</v>
      </c>
      <c r="D84" s="43" t="s">
        <v>1101</v>
      </c>
      <c r="E84" s="78">
        <v>1.07</v>
      </c>
      <c r="F84" s="3" t="s">
        <v>54</v>
      </c>
      <c r="G84" s="78">
        <v>762.71</v>
      </c>
      <c r="H84" s="20">
        <f t="shared" si="1"/>
        <v>816.1</v>
      </c>
    </row>
    <row r="85" spans="1:8" ht="20.100000000000001" customHeight="1" x14ac:dyDescent="0.25">
      <c r="A85" s="59" t="s">
        <v>158</v>
      </c>
      <c r="B85" s="3" t="s">
        <v>17</v>
      </c>
      <c r="C85" s="43" t="s">
        <v>159</v>
      </c>
      <c r="D85" s="43" t="s">
        <v>1102</v>
      </c>
      <c r="E85" s="78">
        <v>11.54</v>
      </c>
      <c r="F85" s="3" t="s">
        <v>54</v>
      </c>
      <c r="G85" s="78">
        <v>685.01</v>
      </c>
      <c r="H85" s="20">
        <f t="shared" si="1"/>
        <v>7905.02</v>
      </c>
    </row>
    <row r="86" spans="1:8" ht="20.100000000000001" customHeight="1" x14ac:dyDescent="0.25">
      <c r="A86" s="59" t="s">
        <v>160</v>
      </c>
      <c r="B86" s="3" t="s">
        <v>17</v>
      </c>
      <c r="C86" s="43" t="s">
        <v>161</v>
      </c>
      <c r="D86" s="43" t="s">
        <v>1103</v>
      </c>
      <c r="E86" s="78">
        <v>595.71</v>
      </c>
      <c r="F86" s="3" t="s">
        <v>18</v>
      </c>
      <c r="G86" s="78">
        <v>24.08</v>
      </c>
      <c r="H86" s="20">
        <f t="shared" si="1"/>
        <v>14344.7</v>
      </c>
    </row>
    <row r="87" spans="1:8" ht="20.100000000000001" customHeight="1" x14ac:dyDescent="0.25">
      <c r="A87" s="52"/>
      <c r="B87" s="9"/>
      <c r="C87" s="44" t="s">
        <v>162</v>
      </c>
      <c r="D87" s="44" t="s">
        <v>162</v>
      </c>
      <c r="E87" s="78">
        <v>1</v>
      </c>
      <c r="F87" s="9"/>
      <c r="G87" s="79">
        <f>SUM(H51:H86)</f>
        <v>61427.93</v>
      </c>
      <c r="H87" s="29">
        <f t="shared" si="1"/>
        <v>61427.93</v>
      </c>
    </row>
    <row r="88" spans="1:8" ht="20.100000000000001" customHeight="1" x14ac:dyDescent="0.25">
      <c r="A88" s="60"/>
      <c r="B88" s="12"/>
      <c r="C88" s="45"/>
      <c r="D88" s="45"/>
      <c r="E88" s="34"/>
      <c r="F88" s="12"/>
      <c r="G88" s="34"/>
      <c r="H88" s="30"/>
    </row>
    <row r="89" spans="1:8" ht="20.100000000000001" customHeight="1" x14ac:dyDescent="0.25">
      <c r="A89" s="62" t="s">
        <v>163</v>
      </c>
      <c r="B89" s="7" t="s">
        <v>9</v>
      </c>
      <c r="C89" s="47" t="s">
        <v>164</v>
      </c>
      <c r="D89" s="47" t="s">
        <v>1151</v>
      </c>
      <c r="E89" s="81">
        <f>E92</f>
        <v>1</v>
      </c>
      <c r="F89" s="7" t="s">
        <v>10</v>
      </c>
      <c r="G89" s="81">
        <f>G92</f>
        <v>31808.25</v>
      </c>
      <c r="H89" s="21">
        <f>H92</f>
        <v>31808.25</v>
      </c>
    </row>
    <row r="90" spans="1:8" ht="20.100000000000001" customHeight="1" x14ac:dyDescent="0.25">
      <c r="A90" s="59" t="s">
        <v>165</v>
      </c>
      <c r="B90" s="3" t="s">
        <v>17</v>
      </c>
      <c r="C90" s="43" t="s">
        <v>166</v>
      </c>
      <c r="D90" s="43" t="s">
        <v>1104</v>
      </c>
      <c r="E90" s="78">
        <v>76.56</v>
      </c>
      <c r="F90" s="3" t="s">
        <v>18</v>
      </c>
      <c r="G90" s="78">
        <v>40.200000000000003</v>
      </c>
      <c r="H90" s="20">
        <f>ROUND(E90*G90,2)</f>
        <v>3077.71</v>
      </c>
    </row>
    <row r="91" spans="1:8" ht="20.100000000000001" customHeight="1" x14ac:dyDescent="0.25">
      <c r="A91" s="59" t="s">
        <v>167</v>
      </c>
      <c r="B91" s="3" t="s">
        <v>17</v>
      </c>
      <c r="C91" s="43" t="s">
        <v>168</v>
      </c>
      <c r="D91" s="43" t="s">
        <v>1105</v>
      </c>
      <c r="E91" s="78">
        <v>620.53</v>
      </c>
      <c r="F91" s="3" t="s">
        <v>18</v>
      </c>
      <c r="G91" s="78">
        <v>46.3</v>
      </c>
      <c r="H91" s="20">
        <f>ROUND(E91*G91,2)</f>
        <v>28730.54</v>
      </c>
    </row>
    <row r="92" spans="1:8" ht="20.100000000000001" customHeight="1" x14ac:dyDescent="0.25">
      <c r="A92" s="52"/>
      <c r="B92" s="9"/>
      <c r="C92" s="44" t="s">
        <v>169</v>
      </c>
      <c r="D92" s="44" t="s">
        <v>169</v>
      </c>
      <c r="E92" s="78">
        <v>1</v>
      </c>
      <c r="F92" s="9"/>
      <c r="G92" s="79">
        <f>SUM(H90:H91)</f>
        <v>31808.25</v>
      </c>
      <c r="H92" s="29">
        <f>ROUND(E92*G92,2)</f>
        <v>31808.25</v>
      </c>
    </row>
    <row r="93" spans="1:8" ht="20.100000000000001" customHeight="1" x14ac:dyDescent="0.25">
      <c r="A93" s="60"/>
      <c r="B93" s="12"/>
      <c r="C93" s="45"/>
      <c r="D93" s="45"/>
      <c r="E93" s="34"/>
      <c r="F93" s="12"/>
      <c r="G93" s="34"/>
      <c r="H93" s="30"/>
    </row>
    <row r="94" spans="1:8" ht="20.100000000000001" customHeight="1" x14ac:dyDescent="0.25">
      <c r="A94" s="52"/>
      <c r="B94" s="9"/>
      <c r="C94" s="44" t="s">
        <v>170</v>
      </c>
      <c r="D94" s="44"/>
      <c r="E94" s="78">
        <v>1</v>
      </c>
      <c r="F94" s="9"/>
      <c r="G94" s="79">
        <f>H40+H50+H89</f>
        <v>131156.24</v>
      </c>
      <c r="H94" s="29">
        <f>ROUND(E94*G94,2)</f>
        <v>131156.24</v>
      </c>
    </row>
    <row r="95" spans="1:8" ht="20.100000000000001" customHeight="1" x14ac:dyDescent="0.25">
      <c r="A95" s="60"/>
      <c r="B95" s="12"/>
      <c r="C95" s="45"/>
      <c r="D95" s="45"/>
      <c r="E95" s="34"/>
      <c r="F95" s="12"/>
      <c r="G95" s="34"/>
      <c r="H95" s="30"/>
    </row>
    <row r="96" spans="1:8" ht="20.100000000000001" customHeight="1" x14ac:dyDescent="0.25">
      <c r="A96" s="61" t="s">
        <v>171</v>
      </c>
      <c r="B96" s="17" t="s">
        <v>9</v>
      </c>
      <c r="C96" s="46" t="s">
        <v>172</v>
      </c>
      <c r="D96" s="46" t="s">
        <v>1152</v>
      </c>
      <c r="E96" s="80">
        <f>E166</f>
        <v>1</v>
      </c>
      <c r="F96" s="17" t="s">
        <v>65</v>
      </c>
      <c r="G96" s="80">
        <f>G166</f>
        <v>164745.03</v>
      </c>
      <c r="H96" s="31">
        <f>H166</f>
        <v>164745.03</v>
      </c>
    </row>
    <row r="97" spans="1:8" ht="20.100000000000001" customHeight="1" x14ac:dyDescent="0.25">
      <c r="A97" s="62" t="s">
        <v>173</v>
      </c>
      <c r="B97" s="7" t="s">
        <v>9</v>
      </c>
      <c r="C97" s="47" t="s">
        <v>88</v>
      </c>
      <c r="D97" s="47" t="s">
        <v>1150</v>
      </c>
      <c r="E97" s="81">
        <f>E157</f>
        <v>1</v>
      </c>
      <c r="F97" s="7" t="s">
        <v>10</v>
      </c>
      <c r="G97" s="81">
        <f>G157</f>
        <v>129656.55</v>
      </c>
      <c r="H97" s="21">
        <f>H157</f>
        <v>129656.55</v>
      </c>
    </row>
    <row r="98" spans="1:8" ht="20.100000000000001" customHeight="1" x14ac:dyDescent="0.25">
      <c r="A98" s="59" t="s">
        <v>174</v>
      </c>
      <c r="B98" s="3" t="s">
        <v>17</v>
      </c>
      <c r="C98" s="43" t="s">
        <v>128</v>
      </c>
      <c r="D98" s="43" t="s">
        <v>1087</v>
      </c>
      <c r="E98" s="78">
        <v>2.4500000000000002</v>
      </c>
      <c r="F98" s="3" t="s">
        <v>54</v>
      </c>
      <c r="G98" s="78">
        <v>784.73</v>
      </c>
      <c r="H98" s="20">
        <f t="shared" ref="H98:H129" si="2">ROUND(E98*G98,2)</f>
        <v>1922.59</v>
      </c>
    </row>
    <row r="99" spans="1:8" ht="20.100000000000001" customHeight="1" x14ac:dyDescent="0.25">
      <c r="A99" s="59" t="s">
        <v>175</v>
      </c>
      <c r="B99" s="3" t="s">
        <v>17</v>
      </c>
      <c r="C99" s="43" t="s">
        <v>176</v>
      </c>
      <c r="D99" s="43" t="s">
        <v>1106</v>
      </c>
      <c r="E99" s="78">
        <v>4.66</v>
      </c>
      <c r="F99" s="3" t="s">
        <v>54</v>
      </c>
      <c r="G99" s="78">
        <v>784.73</v>
      </c>
      <c r="H99" s="20">
        <f t="shared" si="2"/>
        <v>3656.84</v>
      </c>
    </row>
    <row r="100" spans="1:8" ht="20.100000000000001" customHeight="1" x14ac:dyDescent="0.25">
      <c r="A100" s="59" t="s">
        <v>177</v>
      </c>
      <c r="B100" s="3" t="s">
        <v>17</v>
      </c>
      <c r="C100" s="43" t="s">
        <v>130</v>
      </c>
      <c r="D100" s="43" t="s">
        <v>1088</v>
      </c>
      <c r="E100" s="78">
        <v>0.96</v>
      </c>
      <c r="F100" s="3" t="s">
        <v>54</v>
      </c>
      <c r="G100" s="78">
        <v>715.37</v>
      </c>
      <c r="H100" s="20">
        <f t="shared" si="2"/>
        <v>686.76</v>
      </c>
    </row>
    <row r="101" spans="1:8" ht="20.100000000000001" customHeight="1" x14ac:dyDescent="0.25">
      <c r="A101" s="59" t="s">
        <v>178</v>
      </c>
      <c r="B101" s="3" t="s">
        <v>17</v>
      </c>
      <c r="C101" s="43" t="s">
        <v>132</v>
      </c>
      <c r="D101" s="43" t="s">
        <v>1089</v>
      </c>
      <c r="E101" s="78">
        <v>1.44</v>
      </c>
      <c r="F101" s="3" t="s">
        <v>54</v>
      </c>
      <c r="G101" s="78">
        <v>719.13</v>
      </c>
      <c r="H101" s="20">
        <f t="shared" si="2"/>
        <v>1035.55</v>
      </c>
    </row>
    <row r="102" spans="1:8" ht="20.100000000000001" customHeight="1" x14ac:dyDescent="0.25">
      <c r="A102" s="59" t="s">
        <v>179</v>
      </c>
      <c r="B102" s="3" t="s">
        <v>17</v>
      </c>
      <c r="C102" s="43" t="s">
        <v>134</v>
      </c>
      <c r="D102" s="43" t="s">
        <v>1090</v>
      </c>
      <c r="E102" s="78">
        <v>1.2</v>
      </c>
      <c r="F102" s="3" t="s">
        <v>54</v>
      </c>
      <c r="G102" s="78">
        <v>655.98</v>
      </c>
      <c r="H102" s="20">
        <f t="shared" si="2"/>
        <v>787.18</v>
      </c>
    </row>
    <row r="103" spans="1:8" ht="20.100000000000001" customHeight="1" x14ac:dyDescent="0.25">
      <c r="A103" s="59" t="s">
        <v>180</v>
      </c>
      <c r="B103" s="3" t="s">
        <v>17</v>
      </c>
      <c r="C103" s="43" t="s">
        <v>136</v>
      </c>
      <c r="D103" s="43" t="s">
        <v>1091</v>
      </c>
      <c r="E103" s="78">
        <v>1.75</v>
      </c>
      <c r="F103" s="3" t="s">
        <v>54</v>
      </c>
      <c r="G103" s="78">
        <v>806.1</v>
      </c>
      <c r="H103" s="20">
        <f t="shared" si="2"/>
        <v>1410.68</v>
      </c>
    </row>
    <row r="104" spans="1:8" ht="20.100000000000001" customHeight="1" x14ac:dyDescent="0.25">
      <c r="A104" s="59" t="s">
        <v>181</v>
      </c>
      <c r="B104" s="3" t="s">
        <v>17</v>
      </c>
      <c r="C104" s="43" t="s">
        <v>138</v>
      </c>
      <c r="D104" s="43" t="s">
        <v>1092</v>
      </c>
      <c r="E104" s="78">
        <v>0.6</v>
      </c>
      <c r="F104" s="3" t="s">
        <v>54</v>
      </c>
      <c r="G104" s="78">
        <v>696.37</v>
      </c>
      <c r="H104" s="20">
        <f t="shared" si="2"/>
        <v>417.82</v>
      </c>
    </row>
    <row r="105" spans="1:8" ht="20.100000000000001" customHeight="1" x14ac:dyDescent="0.25">
      <c r="A105" s="59" t="s">
        <v>182</v>
      </c>
      <c r="B105" s="3" t="s">
        <v>17</v>
      </c>
      <c r="C105" s="43" t="s">
        <v>140</v>
      </c>
      <c r="D105" s="43" t="s">
        <v>1093</v>
      </c>
      <c r="E105" s="78">
        <v>1.2</v>
      </c>
      <c r="F105" s="3" t="s">
        <v>54</v>
      </c>
      <c r="G105" s="78">
        <v>655.98</v>
      </c>
      <c r="H105" s="20">
        <f t="shared" si="2"/>
        <v>787.18</v>
      </c>
    </row>
    <row r="106" spans="1:8" ht="20.100000000000001" customHeight="1" x14ac:dyDescent="0.25">
      <c r="A106" s="59" t="s">
        <v>183</v>
      </c>
      <c r="B106" s="3" t="s">
        <v>17</v>
      </c>
      <c r="C106" s="43" t="s">
        <v>142</v>
      </c>
      <c r="D106" s="43" t="s">
        <v>1094</v>
      </c>
      <c r="E106" s="78">
        <v>4.96</v>
      </c>
      <c r="F106" s="3" t="s">
        <v>54</v>
      </c>
      <c r="G106" s="78">
        <v>716.49</v>
      </c>
      <c r="H106" s="20">
        <f t="shared" si="2"/>
        <v>3553.79</v>
      </c>
    </row>
    <row r="107" spans="1:8" ht="20.100000000000001" customHeight="1" x14ac:dyDescent="0.25">
      <c r="A107" s="59" t="s">
        <v>184</v>
      </c>
      <c r="B107" s="3" t="s">
        <v>17</v>
      </c>
      <c r="C107" s="43" t="s">
        <v>144</v>
      </c>
      <c r="D107" s="43" t="s">
        <v>1095</v>
      </c>
      <c r="E107" s="78">
        <v>5.76</v>
      </c>
      <c r="F107" s="3" t="s">
        <v>54</v>
      </c>
      <c r="G107" s="78">
        <v>608.61</v>
      </c>
      <c r="H107" s="20">
        <f t="shared" si="2"/>
        <v>3505.59</v>
      </c>
    </row>
    <row r="108" spans="1:8" ht="20.100000000000001" customHeight="1" x14ac:dyDescent="0.25">
      <c r="A108" s="59" t="s">
        <v>185</v>
      </c>
      <c r="B108" s="3" t="s">
        <v>17</v>
      </c>
      <c r="C108" s="43" t="s">
        <v>146</v>
      </c>
      <c r="D108" s="43" t="s">
        <v>1096</v>
      </c>
      <c r="E108" s="78">
        <v>2.4</v>
      </c>
      <c r="F108" s="3" t="s">
        <v>54</v>
      </c>
      <c r="G108" s="78">
        <v>638.67999999999995</v>
      </c>
      <c r="H108" s="20">
        <f t="shared" si="2"/>
        <v>1532.83</v>
      </c>
    </row>
    <row r="109" spans="1:8" ht="39.950000000000003" customHeight="1" x14ac:dyDescent="0.25">
      <c r="A109" s="59" t="s">
        <v>186</v>
      </c>
      <c r="B109" s="3" t="s">
        <v>17</v>
      </c>
      <c r="C109" s="43" t="s">
        <v>148</v>
      </c>
      <c r="D109" s="43" t="s">
        <v>1097</v>
      </c>
      <c r="E109" s="78">
        <v>5.2</v>
      </c>
      <c r="F109" s="3" t="s">
        <v>54</v>
      </c>
      <c r="G109" s="78">
        <v>861.44</v>
      </c>
      <c r="H109" s="20">
        <f t="shared" si="2"/>
        <v>4479.49</v>
      </c>
    </row>
    <row r="110" spans="1:8" ht="20.100000000000001" customHeight="1" x14ac:dyDescent="0.25">
      <c r="A110" s="59" t="s">
        <v>187</v>
      </c>
      <c r="B110" s="3" t="s">
        <v>17</v>
      </c>
      <c r="C110" s="43" t="s">
        <v>150</v>
      </c>
      <c r="D110" s="43" t="s">
        <v>1098</v>
      </c>
      <c r="E110" s="78">
        <v>2.16</v>
      </c>
      <c r="F110" s="3" t="s">
        <v>54</v>
      </c>
      <c r="G110" s="78">
        <v>553.88</v>
      </c>
      <c r="H110" s="20">
        <f t="shared" si="2"/>
        <v>1196.3800000000001</v>
      </c>
    </row>
    <row r="111" spans="1:8" ht="20.100000000000001" customHeight="1" x14ac:dyDescent="0.25">
      <c r="A111" s="59" t="s">
        <v>188</v>
      </c>
      <c r="B111" s="3" t="s">
        <v>17</v>
      </c>
      <c r="C111" s="43" t="s">
        <v>152</v>
      </c>
      <c r="D111" s="43" t="s">
        <v>1099</v>
      </c>
      <c r="E111" s="78">
        <v>1.2</v>
      </c>
      <c r="F111" s="3" t="s">
        <v>54</v>
      </c>
      <c r="G111" s="78">
        <v>529.35</v>
      </c>
      <c r="H111" s="20">
        <f t="shared" si="2"/>
        <v>635.22</v>
      </c>
    </row>
    <row r="112" spans="1:8" ht="20.100000000000001" customHeight="1" x14ac:dyDescent="0.25">
      <c r="A112" s="59" t="s">
        <v>189</v>
      </c>
      <c r="B112" s="3" t="s">
        <v>17</v>
      </c>
      <c r="C112" s="43" t="s">
        <v>155</v>
      </c>
      <c r="D112" s="43" t="s">
        <v>1100</v>
      </c>
      <c r="E112" s="78">
        <v>49.15</v>
      </c>
      <c r="F112" s="3" t="s">
        <v>154</v>
      </c>
      <c r="G112" s="78">
        <v>67.98</v>
      </c>
      <c r="H112" s="20">
        <f t="shared" si="2"/>
        <v>3341.22</v>
      </c>
    </row>
    <row r="113" spans="1:8" ht="20.100000000000001" customHeight="1" x14ac:dyDescent="0.25">
      <c r="A113" s="59" t="s">
        <v>190</v>
      </c>
      <c r="B113" s="3" t="s">
        <v>17</v>
      </c>
      <c r="C113" s="43" t="s">
        <v>191</v>
      </c>
      <c r="D113" s="43" t="s">
        <v>1107</v>
      </c>
      <c r="E113" s="78">
        <v>0.94</v>
      </c>
      <c r="F113" s="3" t="s">
        <v>54</v>
      </c>
      <c r="G113" s="78">
        <v>597.01</v>
      </c>
      <c r="H113" s="20">
        <f t="shared" si="2"/>
        <v>561.19000000000005</v>
      </c>
    </row>
    <row r="114" spans="1:8" ht="20.100000000000001" customHeight="1" x14ac:dyDescent="0.25">
      <c r="A114" s="59" t="s">
        <v>192</v>
      </c>
      <c r="B114" s="3" t="s">
        <v>17</v>
      </c>
      <c r="C114" s="43" t="s">
        <v>193</v>
      </c>
      <c r="D114" s="43" t="s">
        <v>1108</v>
      </c>
      <c r="E114" s="78">
        <v>1.72</v>
      </c>
      <c r="F114" s="3" t="s">
        <v>54</v>
      </c>
      <c r="G114" s="78">
        <v>610.19000000000005</v>
      </c>
      <c r="H114" s="20">
        <f t="shared" si="2"/>
        <v>1049.53</v>
      </c>
    </row>
    <row r="115" spans="1:8" ht="20.100000000000001" customHeight="1" x14ac:dyDescent="0.25">
      <c r="A115" s="59" t="s">
        <v>194</v>
      </c>
      <c r="B115" s="3" t="s">
        <v>17</v>
      </c>
      <c r="C115" s="43" t="s">
        <v>195</v>
      </c>
      <c r="D115" s="43" t="s">
        <v>1109</v>
      </c>
      <c r="E115" s="78">
        <v>1.72</v>
      </c>
      <c r="F115" s="3" t="s">
        <v>54</v>
      </c>
      <c r="G115" s="78">
        <v>610.19000000000005</v>
      </c>
      <c r="H115" s="20">
        <f t="shared" si="2"/>
        <v>1049.53</v>
      </c>
    </row>
    <row r="116" spans="1:8" ht="20.100000000000001" customHeight="1" x14ac:dyDescent="0.25">
      <c r="A116" s="59" t="s">
        <v>196</v>
      </c>
      <c r="B116" s="3" t="s">
        <v>17</v>
      </c>
      <c r="C116" s="43" t="s">
        <v>197</v>
      </c>
      <c r="D116" s="43" t="s">
        <v>1110</v>
      </c>
      <c r="E116" s="78">
        <v>0.69</v>
      </c>
      <c r="F116" s="3" t="s">
        <v>54</v>
      </c>
      <c r="G116" s="78">
        <v>499.81</v>
      </c>
      <c r="H116" s="20">
        <f t="shared" si="2"/>
        <v>344.87</v>
      </c>
    </row>
    <row r="117" spans="1:8" ht="20.100000000000001" customHeight="1" x14ac:dyDescent="0.25">
      <c r="A117" s="59" t="s">
        <v>198</v>
      </c>
      <c r="B117" s="3" t="s">
        <v>17</v>
      </c>
      <c r="C117" s="43" t="s">
        <v>199</v>
      </c>
      <c r="D117" s="43" t="s">
        <v>1111</v>
      </c>
      <c r="E117" s="78">
        <v>1.36</v>
      </c>
      <c r="F117" s="3" t="s">
        <v>54</v>
      </c>
      <c r="G117" s="78">
        <v>599.53</v>
      </c>
      <c r="H117" s="20">
        <f t="shared" si="2"/>
        <v>815.36</v>
      </c>
    </row>
    <row r="118" spans="1:8" ht="20.100000000000001" customHeight="1" x14ac:dyDescent="0.25">
      <c r="A118" s="59" t="s">
        <v>200</v>
      </c>
      <c r="B118" s="3" t="s">
        <v>17</v>
      </c>
      <c r="C118" s="43" t="s">
        <v>201</v>
      </c>
      <c r="D118" s="43" t="s">
        <v>1112</v>
      </c>
      <c r="E118" s="78">
        <v>0.99</v>
      </c>
      <c r="F118" s="3" t="s">
        <v>54</v>
      </c>
      <c r="G118" s="78">
        <v>616.41</v>
      </c>
      <c r="H118" s="20">
        <f t="shared" si="2"/>
        <v>610.25</v>
      </c>
    </row>
    <row r="119" spans="1:8" ht="20.100000000000001" customHeight="1" x14ac:dyDescent="0.25">
      <c r="A119" s="59" t="s">
        <v>202</v>
      </c>
      <c r="B119" s="3" t="s">
        <v>17</v>
      </c>
      <c r="C119" s="43" t="s">
        <v>203</v>
      </c>
      <c r="D119" s="43" t="s">
        <v>1113</v>
      </c>
      <c r="E119" s="78">
        <v>1.63</v>
      </c>
      <c r="F119" s="3" t="s">
        <v>54</v>
      </c>
      <c r="G119" s="78">
        <v>599.53</v>
      </c>
      <c r="H119" s="20">
        <f t="shared" si="2"/>
        <v>977.23</v>
      </c>
    </row>
    <row r="120" spans="1:8" ht="20.100000000000001" customHeight="1" x14ac:dyDescent="0.25">
      <c r="A120" s="59" t="s">
        <v>204</v>
      </c>
      <c r="B120" s="3" t="s">
        <v>17</v>
      </c>
      <c r="C120" s="43" t="s">
        <v>205</v>
      </c>
      <c r="D120" s="43" t="s">
        <v>1114</v>
      </c>
      <c r="E120" s="78">
        <v>1.63</v>
      </c>
      <c r="F120" s="3" t="s">
        <v>54</v>
      </c>
      <c r="G120" s="78">
        <v>564.01</v>
      </c>
      <c r="H120" s="20">
        <f t="shared" si="2"/>
        <v>919.34</v>
      </c>
    </row>
    <row r="121" spans="1:8" ht="20.100000000000001" customHeight="1" x14ac:dyDescent="0.25">
      <c r="A121" s="59" t="s">
        <v>206</v>
      </c>
      <c r="B121" s="3" t="s">
        <v>17</v>
      </c>
      <c r="C121" s="43" t="s">
        <v>207</v>
      </c>
      <c r="D121" s="43" t="s">
        <v>1115</v>
      </c>
      <c r="E121" s="78">
        <v>1.91</v>
      </c>
      <c r="F121" s="3" t="s">
        <v>54</v>
      </c>
      <c r="G121" s="78">
        <v>617.35</v>
      </c>
      <c r="H121" s="20">
        <f t="shared" si="2"/>
        <v>1179.1400000000001</v>
      </c>
    </row>
    <row r="122" spans="1:8" ht="20.100000000000001" customHeight="1" x14ac:dyDescent="0.25">
      <c r="A122" s="59" t="s">
        <v>208</v>
      </c>
      <c r="B122" s="3" t="s">
        <v>17</v>
      </c>
      <c r="C122" s="43" t="s">
        <v>209</v>
      </c>
      <c r="D122" s="43" t="s">
        <v>1116</v>
      </c>
      <c r="E122" s="78">
        <v>0.7</v>
      </c>
      <c r="F122" s="3" t="s">
        <v>54</v>
      </c>
      <c r="G122" s="78">
        <v>566.79999999999995</v>
      </c>
      <c r="H122" s="20">
        <f t="shared" si="2"/>
        <v>396.76</v>
      </c>
    </row>
    <row r="123" spans="1:8" ht="20.100000000000001" customHeight="1" x14ac:dyDescent="0.25">
      <c r="A123" s="59" t="s">
        <v>210</v>
      </c>
      <c r="B123" s="3" t="s">
        <v>17</v>
      </c>
      <c r="C123" s="43" t="s">
        <v>211</v>
      </c>
      <c r="D123" s="43" t="s">
        <v>1117</v>
      </c>
      <c r="E123" s="78">
        <v>1.1399999999999999</v>
      </c>
      <c r="F123" s="3" t="s">
        <v>54</v>
      </c>
      <c r="G123" s="78">
        <v>588.9</v>
      </c>
      <c r="H123" s="20">
        <f t="shared" si="2"/>
        <v>671.35</v>
      </c>
    </row>
    <row r="124" spans="1:8" ht="20.100000000000001" customHeight="1" x14ac:dyDescent="0.25">
      <c r="A124" s="59" t="s">
        <v>212</v>
      </c>
      <c r="B124" s="3" t="s">
        <v>17</v>
      </c>
      <c r="C124" s="43" t="s">
        <v>213</v>
      </c>
      <c r="D124" s="43" t="s">
        <v>1118</v>
      </c>
      <c r="E124" s="78">
        <v>1.1100000000000001</v>
      </c>
      <c r="F124" s="3" t="s">
        <v>54</v>
      </c>
      <c r="G124" s="78">
        <v>570.54999999999995</v>
      </c>
      <c r="H124" s="20">
        <f t="shared" si="2"/>
        <v>633.30999999999995</v>
      </c>
    </row>
    <row r="125" spans="1:8" ht="20.100000000000001" customHeight="1" x14ac:dyDescent="0.25">
      <c r="A125" s="59" t="s">
        <v>214</v>
      </c>
      <c r="B125" s="3" t="s">
        <v>17</v>
      </c>
      <c r="C125" s="43" t="s">
        <v>215</v>
      </c>
      <c r="D125" s="43" t="s">
        <v>1119</v>
      </c>
      <c r="E125" s="78">
        <v>0.79</v>
      </c>
      <c r="F125" s="3" t="s">
        <v>54</v>
      </c>
      <c r="G125" s="78">
        <v>567.99</v>
      </c>
      <c r="H125" s="20">
        <f t="shared" si="2"/>
        <v>448.71</v>
      </c>
    </row>
    <row r="126" spans="1:8" ht="20.100000000000001" customHeight="1" x14ac:dyDescent="0.25">
      <c r="A126" s="59" t="s">
        <v>216</v>
      </c>
      <c r="B126" s="3" t="s">
        <v>17</v>
      </c>
      <c r="C126" s="43" t="s">
        <v>217</v>
      </c>
      <c r="D126" s="43" t="s">
        <v>1120</v>
      </c>
      <c r="E126" s="78">
        <v>1.83</v>
      </c>
      <c r="F126" s="3" t="s">
        <v>54</v>
      </c>
      <c r="G126" s="78">
        <v>601.99</v>
      </c>
      <c r="H126" s="20">
        <f t="shared" si="2"/>
        <v>1101.6400000000001</v>
      </c>
    </row>
    <row r="127" spans="1:8" ht="20.100000000000001" customHeight="1" x14ac:dyDescent="0.25">
      <c r="A127" s="59" t="s">
        <v>218</v>
      </c>
      <c r="B127" s="3" t="s">
        <v>17</v>
      </c>
      <c r="C127" s="43" t="s">
        <v>219</v>
      </c>
      <c r="D127" s="43" t="s">
        <v>1121</v>
      </c>
      <c r="E127" s="78">
        <v>1.1599999999999999</v>
      </c>
      <c r="F127" s="3" t="s">
        <v>54</v>
      </c>
      <c r="G127" s="78">
        <v>540.25</v>
      </c>
      <c r="H127" s="20">
        <f t="shared" si="2"/>
        <v>626.69000000000005</v>
      </c>
    </row>
    <row r="128" spans="1:8" ht="20.100000000000001" customHeight="1" x14ac:dyDescent="0.25">
      <c r="A128" s="59" t="s">
        <v>220</v>
      </c>
      <c r="B128" s="3" t="s">
        <v>17</v>
      </c>
      <c r="C128" s="43" t="s">
        <v>221</v>
      </c>
      <c r="D128" s="43" t="s">
        <v>1122</v>
      </c>
      <c r="E128" s="78">
        <v>2.58</v>
      </c>
      <c r="F128" s="3" t="s">
        <v>54</v>
      </c>
      <c r="G128" s="78">
        <v>601.99</v>
      </c>
      <c r="H128" s="20">
        <f t="shared" si="2"/>
        <v>1553.13</v>
      </c>
    </row>
    <row r="129" spans="1:8" ht="20.100000000000001" customHeight="1" x14ac:dyDescent="0.25">
      <c r="A129" s="59" t="s">
        <v>222</v>
      </c>
      <c r="B129" s="3" t="s">
        <v>17</v>
      </c>
      <c r="C129" s="43" t="s">
        <v>223</v>
      </c>
      <c r="D129" s="43" t="s">
        <v>1123</v>
      </c>
      <c r="E129" s="78">
        <v>1.77</v>
      </c>
      <c r="F129" s="3" t="s">
        <v>54</v>
      </c>
      <c r="G129" s="78">
        <v>540.25</v>
      </c>
      <c r="H129" s="20">
        <f t="shared" si="2"/>
        <v>956.24</v>
      </c>
    </row>
    <row r="130" spans="1:8" ht="20.100000000000001" customHeight="1" x14ac:dyDescent="0.25">
      <c r="A130" s="59" t="s">
        <v>224</v>
      </c>
      <c r="B130" s="3" t="s">
        <v>17</v>
      </c>
      <c r="C130" s="43" t="s">
        <v>225</v>
      </c>
      <c r="D130" s="43" t="s">
        <v>1124</v>
      </c>
      <c r="E130" s="78">
        <v>1.32</v>
      </c>
      <c r="F130" s="3" t="s">
        <v>54</v>
      </c>
      <c r="G130" s="78">
        <v>601.99</v>
      </c>
      <c r="H130" s="20">
        <f t="shared" ref="H130:H157" si="3">ROUND(E130*G130,2)</f>
        <v>794.63</v>
      </c>
    </row>
    <row r="131" spans="1:8" ht="20.100000000000001" customHeight="1" x14ac:dyDescent="0.25">
      <c r="A131" s="59" t="s">
        <v>226</v>
      </c>
      <c r="B131" s="3" t="s">
        <v>17</v>
      </c>
      <c r="C131" s="43" t="s">
        <v>227</v>
      </c>
      <c r="D131" s="43" t="s">
        <v>1125</v>
      </c>
      <c r="E131" s="78">
        <v>2.88</v>
      </c>
      <c r="F131" s="3" t="s">
        <v>54</v>
      </c>
      <c r="G131" s="78">
        <v>594.64</v>
      </c>
      <c r="H131" s="20">
        <f t="shared" si="3"/>
        <v>1712.56</v>
      </c>
    </row>
    <row r="132" spans="1:8" ht="20.100000000000001" customHeight="1" x14ac:dyDescent="0.25">
      <c r="A132" s="59" t="s">
        <v>228</v>
      </c>
      <c r="B132" s="3" t="s">
        <v>17</v>
      </c>
      <c r="C132" s="43" t="s">
        <v>229</v>
      </c>
      <c r="D132" s="43" t="s">
        <v>1126</v>
      </c>
      <c r="E132" s="78">
        <v>1.34</v>
      </c>
      <c r="F132" s="3" t="s">
        <v>54</v>
      </c>
      <c r="G132" s="78">
        <v>542.70000000000005</v>
      </c>
      <c r="H132" s="20">
        <f t="shared" si="3"/>
        <v>727.22</v>
      </c>
    </row>
    <row r="133" spans="1:8" ht="20.100000000000001" customHeight="1" x14ac:dyDescent="0.25">
      <c r="A133" s="59" t="s">
        <v>230</v>
      </c>
      <c r="B133" s="3" t="s">
        <v>17</v>
      </c>
      <c r="C133" s="43" t="s">
        <v>231</v>
      </c>
      <c r="D133" s="43" t="s">
        <v>1127</v>
      </c>
      <c r="E133" s="78">
        <v>4.53</v>
      </c>
      <c r="F133" s="3" t="s">
        <v>54</v>
      </c>
      <c r="G133" s="78">
        <v>500.9</v>
      </c>
      <c r="H133" s="20">
        <f t="shared" si="3"/>
        <v>2269.08</v>
      </c>
    </row>
    <row r="134" spans="1:8" ht="20.100000000000001" customHeight="1" x14ac:dyDescent="0.25">
      <c r="A134" s="59" t="s">
        <v>232</v>
      </c>
      <c r="B134" s="3" t="s">
        <v>17</v>
      </c>
      <c r="C134" s="43" t="s">
        <v>233</v>
      </c>
      <c r="D134" s="43" t="s">
        <v>1128</v>
      </c>
      <c r="E134" s="78">
        <v>1.39</v>
      </c>
      <c r="F134" s="3" t="s">
        <v>54</v>
      </c>
      <c r="G134" s="78">
        <v>487.98</v>
      </c>
      <c r="H134" s="20">
        <f t="shared" si="3"/>
        <v>678.29</v>
      </c>
    </row>
    <row r="135" spans="1:8" ht="20.100000000000001" customHeight="1" x14ac:dyDescent="0.25">
      <c r="A135" s="59" t="s">
        <v>234</v>
      </c>
      <c r="B135" s="3" t="s">
        <v>17</v>
      </c>
      <c r="C135" s="43" t="s">
        <v>235</v>
      </c>
      <c r="D135" s="43" t="s">
        <v>1129</v>
      </c>
      <c r="E135" s="78">
        <v>0.87</v>
      </c>
      <c r="F135" s="3" t="s">
        <v>54</v>
      </c>
      <c r="G135" s="78">
        <v>581.79999999999995</v>
      </c>
      <c r="H135" s="20">
        <f t="shared" si="3"/>
        <v>506.17</v>
      </c>
    </row>
    <row r="136" spans="1:8" ht="20.100000000000001" customHeight="1" x14ac:dyDescent="0.25">
      <c r="A136" s="59" t="s">
        <v>236</v>
      </c>
      <c r="B136" s="3" t="s">
        <v>17</v>
      </c>
      <c r="C136" s="43" t="s">
        <v>237</v>
      </c>
      <c r="D136" s="43" t="s">
        <v>1130</v>
      </c>
      <c r="E136" s="78">
        <v>0.96</v>
      </c>
      <c r="F136" s="3" t="s">
        <v>54</v>
      </c>
      <c r="G136" s="78">
        <v>603.12</v>
      </c>
      <c r="H136" s="20">
        <f t="shared" si="3"/>
        <v>579</v>
      </c>
    </row>
    <row r="137" spans="1:8" ht="20.100000000000001" customHeight="1" x14ac:dyDescent="0.25">
      <c r="A137" s="59" t="s">
        <v>238</v>
      </c>
      <c r="B137" s="3" t="s">
        <v>17</v>
      </c>
      <c r="C137" s="43" t="s">
        <v>239</v>
      </c>
      <c r="D137" s="43" t="s">
        <v>1131</v>
      </c>
      <c r="E137" s="78">
        <v>0.87</v>
      </c>
      <c r="F137" s="3" t="s">
        <v>54</v>
      </c>
      <c r="G137" s="78">
        <v>591.54</v>
      </c>
      <c r="H137" s="20">
        <f t="shared" si="3"/>
        <v>514.64</v>
      </c>
    </row>
    <row r="138" spans="1:8" ht="20.100000000000001" customHeight="1" x14ac:dyDescent="0.25">
      <c r="A138" s="59" t="s">
        <v>240</v>
      </c>
      <c r="B138" s="3" t="s">
        <v>17</v>
      </c>
      <c r="C138" s="43" t="s">
        <v>241</v>
      </c>
      <c r="D138" s="43" t="s">
        <v>1132</v>
      </c>
      <c r="E138" s="78">
        <v>0.87</v>
      </c>
      <c r="F138" s="3" t="s">
        <v>54</v>
      </c>
      <c r="G138" s="78">
        <v>603.12</v>
      </c>
      <c r="H138" s="20">
        <f t="shared" si="3"/>
        <v>524.71</v>
      </c>
    </row>
    <row r="139" spans="1:8" ht="20.100000000000001" customHeight="1" x14ac:dyDescent="0.25">
      <c r="A139" s="59" t="s">
        <v>242</v>
      </c>
      <c r="B139" s="3" t="s">
        <v>17</v>
      </c>
      <c r="C139" s="43" t="s">
        <v>243</v>
      </c>
      <c r="D139" s="43" t="s">
        <v>1133</v>
      </c>
      <c r="E139" s="78">
        <v>1.23</v>
      </c>
      <c r="F139" s="3" t="s">
        <v>54</v>
      </c>
      <c r="G139" s="78">
        <v>615.22</v>
      </c>
      <c r="H139" s="20">
        <f t="shared" si="3"/>
        <v>756.72</v>
      </c>
    </row>
    <row r="140" spans="1:8" ht="20.100000000000001" customHeight="1" x14ac:dyDescent="0.25">
      <c r="A140" s="59" t="s">
        <v>244</v>
      </c>
      <c r="B140" s="3" t="s">
        <v>17</v>
      </c>
      <c r="C140" s="43" t="s">
        <v>245</v>
      </c>
      <c r="D140" s="43" t="s">
        <v>1134</v>
      </c>
      <c r="E140" s="78">
        <v>3.02</v>
      </c>
      <c r="F140" s="3" t="s">
        <v>54</v>
      </c>
      <c r="G140" s="78">
        <v>581.79999999999995</v>
      </c>
      <c r="H140" s="20">
        <f t="shared" si="3"/>
        <v>1757.04</v>
      </c>
    </row>
    <row r="141" spans="1:8" ht="20.100000000000001" customHeight="1" x14ac:dyDescent="0.25">
      <c r="A141" s="59" t="s">
        <v>246</v>
      </c>
      <c r="B141" s="3" t="s">
        <v>17</v>
      </c>
      <c r="C141" s="43" t="s">
        <v>247</v>
      </c>
      <c r="D141" s="43" t="s">
        <v>1135</v>
      </c>
      <c r="E141" s="78">
        <v>2.97</v>
      </c>
      <c r="F141" s="3" t="s">
        <v>54</v>
      </c>
      <c r="G141" s="78">
        <v>594.64</v>
      </c>
      <c r="H141" s="20">
        <f t="shared" si="3"/>
        <v>1766.08</v>
      </c>
    </row>
    <row r="142" spans="1:8" ht="20.100000000000001" customHeight="1" x14ac:dyDescent="0.25">
      <c r="A142" s="59" t="s">
        <v>248</v>
      </c>
      <c r="B142" s="3" t="s">
        <v>17</v>
      </c>
      <c r="C142" s="43" t="s">
        <v>249</v>
      </c>
      <c r="D142" s="43" t="s">
        <v>1136</v>
      </c>
      <c r="E142" s="78">
        <v>2.97</v>
      </c>
      <c r="F142" s="3" t="s">
        <v>54</v>
      </c>
      <c r="G142" s="78">
        <v>581.79999999999995</v>
      </c>
      <c r="H142" s="20">
        <f t="shared" si="3"/>
        <v>1727.95</v>
      </c>
    </row>
    <row r="143" spans="1:8" ht="20.100000000000001" customHeight="1" x14ac:dyDescent="0.25">
      <c r="A143" s="59" t="s">
        <v>250</v>
      </c>
      <c r="B143" s="3" t="s">
        <v>17</v>
      </c>
      <c r="C143" s="43" t="s">
        <v>251</v>
      </c>
      <c r="D143" s="43" t="s">
        <v>1139</v>
      </c>
      <c r="E143" s="78">
        <v>11.33</v>
      </c>
      <c r="F143" s="3" t="s">
        <v>54</v>
      </c>
      <c r="G143" s="78">
        <v>549.4</v>
      </c>
      <c r="H143" s="20">
        <f t="shared" si="3"/>
        <v>6224.7</v>
      </c>
    </row>
    <row r="144" spans="1:8" ht="20.100000000000001" customHeight="1" x14ac:dyDescent="0.25">
      <c r="A144" s="59" t="s">
        <v>252</v>
      </c>
      <c r="B144" s="3" t="s">
        <v>17</v>
      </c>
      <c r="C144" s="43" t="s">
        <v>253</v>
      </c>
      <c r="D144" s="43" t="s">
        <v>1140</v>
      </c>
      <c r="E144" s="78">
        <v>2.12</v>
      </c>
      <c r="F144" s="3" t="s">
        <v>54</v>
      </c>
      <c r="G144" s="78">
        <v>656.11</v>
      </c>
      <c r="H144" s="20">
        <f t="shared" si="3"/>
        <v>1390.95</v>
      </c>
    </row>
    <row r="145" spans="1:8" ht="20.100000000000001" customHeight="1" x14ac:dyDescent="0.25">
      <c r="A145" s="59" t="s">
        <v>254</v>
      </c>
      <c r="B145" s="3" t="s">
        <v>17</v>
      </c>
      <c r="C145" s="43" t="s">
        <v>255</v>
      </c>
      <c r="D145" s="43" t="s">
        <v>1138</v>
      </c>
      <c r="E145" s="78">
        <v>0.49</v>
      </c>
      <c r="F145" s="3" t="s">
        <v>54</v>
      </c>
      <c r="G145" s="78">
        <v>556.51</v>
      </c>
      <c r="H145" s="20">
        <f t="shared" si="3"/>
        <v>272.69</v>
      </c>
    </row>
    <row r="146" spans="1:8" ht="20.100000000000001" customHeight="1" x14ac:dyDescent="0.25">
      <c r="A146" s="59" t="s">
        <v>256</v>
      </c>
      <c r="B146" s="3" t="s">
        <v>17</v>
      </c>
      <c r="C146" s="43" t="s">
        <v>257</v>
      </c>
      <c r="D146" s="43" t="s">
        <v>1137</v>
      </c>
      <c r="E146" s="78">
        <v>1.18</v>
      </c>
      <c r="F146" s="3" t="s">
        <v>54</v>
      </c>
      <c r="G146" s="78">
        <v>665.58</v>
      </c>
      <c r="H146" s="20">
        <f t="shared" si="3"/>
        <v>785.38</v>
      </c>
    </row>
    <row r="147" spans="1:8" ht="20.100000000000001" customHeight="1" x14ac:dyDescent="0.25">
      <c r="A147" s="59" t="s">
        <v>258</v>
      </c>
      <c r="B147" s="3" t="s">
        <v>17</v>
      </c>
      <c r="C147" s="43" t="s">
        <v>259</v>
      </c>
      <c r="D147" s="43" t="s">
        <v>1141</v>
      </c>
      <c r="E147" s="78">
        <v>4.72</v>
      </c>
      <c r="F147" s="3" t="s">
        <v>54</v>
      </c>
      <c r="G147" s="78">
        <v>582.67999999999995</v>
      </c>
      <c r="H147" s="20">
        <f t="shared" si="3"/>
        <v>2750.25</v>
      </c>
    </row>
    <row r="148" spans="1:8" ht="20.100000000000001" customHeight="1" x14ac:dyDescent="0.25">
      <c r="A148" s="59" t="s">
        <v>260</v>
      </c>
      <c r="B148" s="3" t="s">
        <v>17</v>
      </c>
      <c r="C148" s="43" t="s">
        <v>261</v>
      </c>
      <c r="D148" s="43" t="s">
        <v>1142</v>
      </c>
      <c r="E148" s="78">
        <v>0.79</v>
      </c>
      <c r="F148" s="3" t="s">
        <v>54</v>
      </c>
      <c r="G148" s="78">
        <v>679.06</v>
      </c>
      <c r="H148" s="20">
        <f t="shared" si="3"/>
        <v>536.46</v>
      </c>
    </row>
    <row r="149" spans="1:8" ht="20.100000000000001" customHeight="1" x14ac:dyDescent="0.25">
      <c r="A149" s="59" t="s">
        <v>262</v>
      </c>
      <c r="B149" s="3" t="s">
        <v>17</v>
      </c>
      <c r="C149" s="43" t="s">
        <v>263</v>
      </c>
      <c r="D149" s="43" t="s">
        <v>1143</v>
      </c>
      <c r="E149" s="78">
        <v>43.39</v>
      </c>
      <c r="F149" s="3" t="s">
        <v>54</v>
      </c>
      <c r="G149" s="78">
        <v>394.96</v>
      </c>
      <c r="H149" s="20">
        <f t="shared" si="3"/>
        <v>17137.310000000001</v>
      </c>
    </row>
    <row r="150" spans="1:8" ht="20.100000000000001" customHeight="1" x14ac:dyDescent="0.25">
      <c r="A150" s="59" t="s">
        <v>264</v>
      </c>
      <c r="B150" s="3" t="s">
        <v>17</v>
      </c>
      <c r="C150" s="43" t="s">
        <v>265</v>
      </c>
      <c r="D150" s="43" t="s">
        <v>1144</v>
      </c>
      <c r="E150" s="78">
        <v>32.35</v>
      </c>
      <c r="F150" s="3" t="s">
        <v>54</v>
      </c>
      <c r="G150" s="78">
        <v>482.63</v>
      </c>
      <c r="H150" s="20">
        <f t="shared" si="3"/>
        <v>15613.08</v>
      </c>
    </row>
    <row r="151" spans="1:8" ht="20.100000000000001" customHeight="1" x14ac:dyDescent="0.25">
      <c r="A151" s="59" t="s">
        <v>266</v>
      </c>
      <c r="B151" s="3" t="s">
        <v>17</v>
      </c>
      <c r="C151" s="43" t="s">
        <v>267</v>
      </c>
      <c r="D151" s="43" t="s">
        <v>1145</v>
      </c>
      <c r="E151" s="78">
        <v>140.03</v>
      </c>
      <c r="F151" s="3" t="s">
        <v>35</v>
      </c>
      <c r="G151" s="78">
        <v>104.18</v>
      </c>
      <c r="H151" s="20">
        <f t="shared" si="3"/>
        <v>14588.33</v>
      </c>
    </row>
    <row r="152" spans="1:8" ht="39.950000000000003" customHeight="1" x14ac:dyDescent="0.25">
      <c r="A152" s="59" t="s">
        <v>268</v>
      </c>
      <c r="B152" s="3" t="s">
        <v>17</v>
      </c>
      <c r="C152" s="43" t="s">
        <v>269</v>
      </c>
      <c r="D152" s="43" t="s">
        <v>1146</v>
      </c>
      <c r="E152" s="78">
        <v>2.35</v>
      </c>
      <c r="F152" s="3" t="s">
        <v>48</v>
      </c>
      <c r="G152" s="78">
        <v>1188.1600000000001</v>
      </c>
      <c r="H152" s="20">
        <f t="shared" si="3"/>
        <v>2792.18</v>
      </c>
    </row>
    <row r="153" spans="1:8" s="4" customFormat="1" ht="20.100000000000001" customHeight="1" x14ac:dyDescent="0.25">
      <c r="A153" s="59" t="s">
        <v>270</v>
      </c>
      <c r="B153" s="3" t="s">
        <v>17</v>
      </c>
      <c r="C153" s="43" t="s">
        <v>271</v>
      </c>
      <c r="D153" s="43" t="s">
        <v>1147</v>
      </c>
      <c r="E153" s="78">
        <v>26.7</v>
      </c>
      <c r="F153" s="3" t="s">
        <v>29</v>
      </c>
      <c r="G153" s="78">
        <v>26.55</v>
      </c>
      <c r="H153" s="20">
        <f t="shared" si="3"/>
        <v>708.89</v>
      </c>
    </row>
    <row r="154" spans="1:8" s="4" customFormat="1" ht="20.100000000000001" customHeight="1" x14ac:dyDescent="0.25">
      <c r="A154" s="59" t="s">
        <v>272</v>
      </c>
      <c r="B154" s="3" t="s">
        <v>17</v>
      </c>
      <c r="C154" s="43" t="s">
        <v>273</v>
      </c>
      <c r="D154" s="43" t="s">
        <v>1148</v>
      </c>
      <c r="E154" s="78">
        <v>15.5</v>
      </c>
      <c r="F154" s="3" t="s">
        <v>29</v>
      </c>
      <c r="G154" s="78">
        <v>47.52</v>
      </c>
      <c r="H154" s="20">
        <f t="shared" si="3"/>
        <v>736.56</v>
      </c>
    </row>
    <row r="155" spans="1:8" s="4" customFormat="1" ht="20.100000000000001" customHeight="1" x14ac:dyDescent="0.25">
      <c r="A155" s="59" t="s">
        <v>274</v>
      </c>
      <c r="B155" s="3" t="s">
        <v>17</v>
      </c>
      <c r="C155" s="43" t="s">
        <v>275</v>
      </c>
      <c r="D155" s="43" t="s">
        <v>1458</v>
      </c>
      <c r="E155" s="78">
        <v>2.88</v>
      </c>
      <c r="F155" s="3" t="s">
        <v>54</v>
      </c>
      <c r="G155" s="78">
        <v>863.07</v>
      </c>
      <c r="H155" s="20">
        <f t="shared" si="3"/>
        <v>2485.64</v>
      </c>
    </row>
    <row r="156" spans="1:8" s="4" customFormat="1" ht="39.950000000000003" customHeight="1" x14ac:dyDescent="0.25">
      <c r="A156" s="59" t="s">
        <v>276</v>
      </c>
      <c r="B156" s="3" t="s">
        <v>17</v>
      </c>
      <c r="C156" s="43" t="s">
        <v>278</v>
      </c>
      <c r="D156" s="43" t="s">
        <v>1149</v>
      </c>
      <c r="E156" s="78">
        <v>23.4</v>
      </c>
      <c r="F156" s="3" t="s">
        <v>277</v>
      </c>
      <c r="G156" s="78">
        <v>276.77999999999997</v>
      </c>
      <c r="H156" s="20">
        <f t="shared" si="3"/>
        <v>6476.65</v>
      </c>
    </row>
    <row r="157" spans="1:8" ht="20.100000000000001" customHeight="1" x14ac:dyDescent="0.25">
      <c r="A157" s="52"/>
      <c r="B157" s="9"/>
      <c r="C157" s="44" t="s">
        <v>279</v>
      </c>
      <c r="D157" s="44" t="s">
        <v>279</v>
      </c>
      <c r="E157" s="78">
        <v>1</v>
      </c>
      <c r="F157" s="9"/>
      <c r="G157" s="79">
        <f>SUM(H98:H156)</f>
        <v>129656.55</v>
      </c>
      <c r="H157" s="29">
        <f t="shared" si="3"/>
        <v>129656.55</v>
      </c>
    </row>
    <row r="158" spans="1:8" ht="20.100000000000001" customHeight="1" x14ac:dyDescent="0.25">
      <c r="A158" s="60"/>
      <c r="B158" s="12"/>
      <c r="C158" s="45"/>
      <c r="D158" s="45"/>
      <c r="E158" s="34"/>
      <c r="F158" s="12"/>
      <c r="G158" s="34"/>
      <c r="H158" s="30"/>
    </row>
    <row r="159" spans="1:8" ht="20.100000000000001" customHeight="1" x14ac:dyDescent="0.25">
      <c r="A159" s="62" t="s">
        <v>280</v>
      </c>
      <c r="B159" s="7" t="s">
        <v>9</v>
      </c>
      <c r="C159" s="47" t="s">
        <v>164</v>
      </c>
      <c r="D159" s="47" t="s">
        <v>1151</v>
      </c>
      <c r="E159" s="81">
        <f>E164</f>
        <v>1</v>
      </c>
      <c r="F159" s="7" t="s">
        <v>10</v>
      </c>
      <c r="G159" s="81">
        <f>G164</f>
        <v>35088.480000000003</v>
      </c>
      <c r="H159" s="21">
        <f>H164</f>
        <v>35088.480000000003</v>
      </c>
    </row>
    <row r="160" spans="1:8" ht="20.100000000000001" customHeight="1" x14ac:dyDescent="0.25">
      <c r="A160" s="59" t="s">
        <v>281</v>
      </c>
      <c r="B160" s="3" t="s">
        <v>17</v>
      </c>
      <c r="C160" s="43" t="s">
        <v>282</v>
      </c>
      <c r="D160" s="43" t="s">
        <v>1153</v>
      </c>
      <c r="E160" s="78">
        <v>570.39</v>
      </c>
      <c r="F160" s="3" t="s">
        <v>18</v>
      </c>
      <c r="G160" s="78">
        <v>48.24</v>
      </c>
      <c r="H160" s="20">
        <f>ROUND(E160*G160,2)</f>
        <v>27515.61</v>
      </c>
    </row>
    <row r="161" spans="1:8" ht="20.100000000000001" customHeight="1" x14ac:dyDescent="0.25">
      <c r="A161" s="59" t="s">
        <v>283</v>
      </c>
      <c r="B161" s="3" t="s">
        <v>17</v>
      </c>
      <c r="C161" s="43" t="s">
        <v>284</v>
      </c>
      <c r="D161" s="43" t="s">
        <v>1154</v>
      </c>
      <c r="E161" s="78">
        <v>96.57</v>
      </c>
      <c r="F161" s="3" t="s">
        <v>18</v>
      </c>
      <c r="G161" s="78">
        <v>42.51</v>
      </c>
      <c r="H161" s="20">
        <f>ROUND(E161*G161,2)</f>
        <v>4105.1899999999996</v>
      </c>
    </row>
    <row r="162" spans="1:8" ht="20.100000000000001" customHeight="1" x14ac:dyDescent="0.25">
      <c r="A162" s="59" t="s">
        <v>285</v>
      </c>
      <c r="B162" s="3" t="s">
        <v>17</v>
      </c>
      <c r="C162" s="43" t="s">
        <v>286</v>
      </c>
      <c r="D162" s="43" t="s">
        <v>1155</v>
      </c>
      <c r="E162" s="78">
        <v>64.3</v>
      </c>
      <c r="F162" s="3" t="s">
        <v>18</v>
      </c>
      <c r="G162" s="78">
        <v>49.61</v>
      </c>
      <c r="H162" s="20">
        <f>ROUND(E162*G162,2)</f>
        <v>3189.92</v>
      </c>
    </row>
    <row r="163" spans="1:8" ht="20.100000000000001" customHeight="1" x14ac:dyDescent="0.25">
      <c r="A163" s="59" t="s">
        <v>287</v>
      </c>
      <c r="B163" s="3" t="s">
        <v>17</v>
      </c>
      <c r="C163" s="43" t="s">
        <v>288</v>
      </c>
      <c r="D163" s="43" t="s">
        <v>1156</v>
      </c>
      <c r="E163" s="78">
        <v>6.33</v>
      </c>
      <c r="F163" s="3" t="s">
        <v>18</v>
      </c>
      <c r="G163" s="78">
        <v>43.88</v>
      </c>
      <c r="H163" s="20">
        <f>ROUND(E163*G163,2)</f>
        <v>277.76</v>
      </c>
    </row>
    <row r="164" spans="1:8" ht="20.100000000000001" customHeight="1" x14ac:dyDescent="0.25">
      <c r="A164" s="52"/>
      <c r="B164" s="9"/>
      <c r="C164" s="44" t="s">
        <v>289</v>
      </c>
      <c r="D164" s="44" t="s">
        <v>289</v>
      </c>
      <c r="E164" s="78">
        <v>1</v>
      </c>
      <c r="F164" s="9"/>
      <c r="G164" s="79">
        <f>SUM(H160:H163)</f>
        <v>35088.480000000003</v>
      </c>
      <c r="H164" s="29">
        <f>ROUND(E164*G164,2)</f>
        <v>35088.480000000003</v>
      </c>
    </row>
    <row r="165" spans="1:8" ht="20.100000000000001" customHeight="1" x14ac:dyDescent="0.25">
      <c r="A165" s="60"/>
      <c r="B165" s="12"/>
      <c r="C165" s="45"/>
      <c r="D165" s="45"/>
      <c r="E165" s="34"/>
      <c r="F165" s="12"/>
      <c r="G165" s="34"/>
      <c r="H165" s="30"/>
    </row>
    <row r="166" spans="1:8" ht="20.100000000000001" customHeight="1" x14ac:dyDescent="0.25">
      <c r="A166" s="52"/>
      <c r="B166" s="9"/>
      <c r="C166" s="44" t="s">
        <v>290</v>
      </c>
      <c r="D166" s="44" t="s">
        <v>290</v>
      </c>
      <c r="E166" s="78">
        <v>1</v>
      </c>
      <c r="F166" s="9"/>
      <c r="G166" s="79">
        <f>H97+H159</f>
        <v>164745.03</v>
      </c>
      <c r="H166" s="29">
        <f>ROUND(E166*G166,2)</f>
        <v>164745.03</v>
      </c>
    </row>
    <row r="167" spans="1:8" ht="20.100000000000001" customHeight="1" x14ac:dyDescent="0.25">
      <c r="A167" s="60"/>
      <c r="B167" s="12"/>
      <c r="C167" s="45"/>
      <c r="D167" s="45"/>
      <c r="E167" s="34"/>
      <c r="F167" s="12"/>
      <c r="G167" s="34"/>
      <c r="H167" s="30"/>
    </row>
    <row r="168" spans="1:8" ht="20.100000000000001" customHeight="1" x14ac:dyDescent="0.25">
      <c r="A168" s="61" t="s">
        <v>291</v>
      </c>
      <c r="B168" s="17" t="s">
        <v>9</v>
      </c>
      <c r="C168" s="46" t="s">
        <v>292</v>
      </c>
      <c r="D168" s="46" t="s">
        <v>1157</v>
      </c>
      <c r="E168" s="80">
        <f>E219</f>
        <v>1</v>
      </c>
      <c r="F168" s="17" t="s">
        <v>65</v>
      </c>
      <c r="G168" s="80">
        <f>G219</f>
        <v>128450.47</v>
      </c>
      <c r="H168" s="31">
        <f>H219</f>
        <v>128450.47</v>
      </c>
    </row>
    <row r="169" spans="1:8" ht="20.100000000000001" customHeight="1" x14ac:dyDescent="0.25">
      <c r="A169" s="62" t="s">
        <v>293</v>
      </c>
      <c r="B169" s="7" t="s">
        <v>9</v>
      </c>
      <c r="C169" s="47" t="s">
        <v>88</v>
      </c>
      <c r="D169" s="47" t="s">
        <v>1150</v>
      </c>
      <c r="E169" s="81">
        <f>E209</f>
        <v>1</v>
      </c>
      <c r="F169" s="7" t="s">
        <v>10</v>
      </c>
      <c r="G169" s="81">
        <f>G209</f>
        <v>101672.6</v>
      </c>
      <c r="H169" s="21">
        <f>H209</f>
        <v>101672.6</v>
      </c>
    </row>
    <row r="170" spans="1:8" ht="20.100000000000001" customHeight="1" x14ac:dyDescent="0.25">
      <c r="A170" s="59" t="s">
        <v>294</v>
      </c>
      <c r="B170" s="3" t="s">
        <v>17</v>
      </c>
      <c r="C170" s="43" t="s">
        <v>128</v>
      </c>
      <c r="D170" s="43" t="s">
        <v>1087</v>
      </c>
      <c r="E170" s="78">
        <v>1.81</v>
      </c>
      <c r="F170" s="3" t="s">
        <v>54</v>
      </c>
      <c r="G170" s="78">
        <v>811.65</v>
      </c>
      <c r="H170" s="20">
        <f t="shared" ref="H170:H209" si="4">ROUND(E170*G170,2)</f>
        <v>1469.09</v>
      </c>
    </row>
    <row r="171" spans="1:8" ht="20.100000000000001" customHeight="1" x14ac:dyDescent="0.25">
      <c r="A171" s="59" t="s">
        <v>295</v>
      </c>
      <c r="B171" s="3" t="s">
        <v>17</v>
      </c>
      <c r="C171" s="43" t="s">
        <v>134</v>
      </c>
      <c r="D171" s="43" t="s">
        <v>1090</v>
      </c>
      <c r="E171" s="78">
        <v>1.1100000000000001</v>
      </c>
      <c r="F171" s="3" t="s">
        <v>54</v>
      </c>
      <c r="G171" s="78">
        <v>680.33</v>
      </c>
      <c r="H171" s="20">
        <f t="shared" si="4"/>
        <v>755.17</v>
      </c>
    </row>
    <row r="172" spans="1:8" ht="20.100000000000001" customHeight="1" x14ac:dyDescent="0.25">
      <c r="A172" s="59" t="s">
        <v>296</v>
      </c>
      <c r="B172" s="3" t="s">
        <v>17</v>
      </c>
      <c r="C172" s="43" t="s">
        <v>136</v>
      </c>
      <c r="D172" s="43" t="s">
        <v>1091</v>
      </c>
      <c r="E172" s="78">
        <v>1.62</v>
      </c>
      <c r="F172" s="3" t="s">
        <v>54</v>
      </c>
      <c r="G172" s="78">
        <v>839.55</v>
      </c>
      <c r="H172" s="20">
        <f t="shared" si="4"/>
        <v>1360.07</v>
      </c>
    </row>
    <row r="173" spans="1:8" ht="20.100000000000001" customHeight="1" x14ac:dyDescent="0.25">
      <c r="A173" s="59" t="s">
        <v>297</v>
      </c>
      <c r="B173" s="3" t="s">
        <v>17</v>
      </c>
      <c r="C173" s="43" t="s">
        <v>138</v>
      </c>
      <c r="D173" s="43" t="s">
        <v>1092</v>
      </c>
      <c r="E173" s="78">
        <v>0.56000000000000005</v>
      </c>
      <c r="F173" s="3" t="s">
        <v>54</v>
      </c>
      <c r="G173" s="78">
        <v>720.62</v>
      </c>
      <c r="H173" s="20">
        <f t="shared" si="4"/>
        <v>403.55</v>
      </c>
    </row>
    <row r="174" spans="1:8" ht="20.100000000000001" customHeight="1" x14ac:dyDescent="0.25">
      <c r="A174" s="59" t="s">
        <v>298</v>
      </c>
      <c r="B174" s="3" t="s">
        <v>17</v>
      </c>
      <c r="C174" s="43" t="s">
        <v>140</v>
      </c>
      <c r="D174" s="43" t="s">
        <v>1093</v>
      </c>
      <c r="E174" s="78">
        <v>1.1100000000000001</v>
      </c>
      <c r="F174" s="3" t="s">
        <v>54</v>
      </c>
      <c r="G174" s="78">
        <v>680.33</v>
      </c>
      <c r="H174" s="20">
        <f t="shared" si="4"/>
        <v>755.17</v>
      </c>
    </row>
    <row r="175" spans="1:8" ht="20.100000000000001" customHeight="1" x14ac:dyDescent="0.25">
      <c r="A175" s="59" t="s">
        <v>299</v>
      </c>
      <c r="B175" s="3" t="s">
        <v>17</v>
      </c>
      <c r="C175" s="43" t="s">
        <v>142</v>
      </c>
      <c r="D175" s="43" t="s">
        <v>1094</v>
      </c>
      <c r="E175" s="78">
        <v>3.7</v>
      </c>
      <c r="F175" s="3" t="s">
        <v>54</v>
      </c>
      <c r="G175" s="78">
        <v>743.37</v>
      </c>
      <c r="H175" s="20">
        <f t="shared" si="4"/>
        <v>2750.47</v>
      </c>
    </row>
    <row r="176" spans="1:8" ht="20.100000000000001" customHeight="1" x14ac:dyDescent="0.25">
      <c r="A176" s="59" t="s">
        <v>300</v>
      </c>
      <c r="B176" s="3" t="s">
        <v>17</v>
      </c>
      <c r="C176" s="43" t="s">
        <v>144</v>
      </c>
      <c r="D176" s="43" t="s">
        <v>1095</v>
      </c>
      <c r="E176" s="78">
        <v>5.33</v>
      </c>
      <c r="F176" s="3" t="s">
        <v>54</v>
      </c>
      <c r="G176" s="78">
        <v>629.16999999999996</v>
      </c>
      <c r="H176" s="20">
        <f t="shared" si="4"/>
        <v>3353.48</v>
      </c>
    </row>
    <row r="177" spans="1:8" ht="20.100000000000001" customHeight="1" x14ac:dyDescent="0.25">
      <c r="A177" s="59" t="s">
        <v>301</v>
      </c>
      <c r="B177" s="3" t="s">
        <v>17</v>
      </c>
      <c r="C177" s="43" t="s">
        <v>146</v>
      </c>
      <c r="D177" s="43" t="s">
        <v>1096</v>
      </c>
      <c r="E177" s="78">
        <v>2.2200000000000002</v>
      </c>
      <c r="F177" s="3" t="s">
        <v>54</v>
      </c>
      <c r="G177" s="78">
        <v>660.49</v>
      </c>
      <c r="H177" s="20">
        <f t="shared" si="4"/>
        <v>1466.29</v>
      </c>
    </row>
    <row r="178" spans="1:8" ht="39.950000000000003" customHeight="1" x14ac:dyDescent="0.25">
      <c r="A178" s="59" t="s">
        <v>302</v>
      </c>
      <c r="B178" s="3" t="s">
        <v>17</v>
      </c>
      <c r="C178" s="43" t="s">
        <v>148</v>
      </c>
      <c r="D178" s="43" t="s">
        <v>1097</v>
      </c>
      <c r="E178" s="78">
        <v>7.02</v>
      </c>
      <c r="F178" s="3" t="s">
        <v>54</v>
      </c>
      <c r="G178" s="78">
        <v>886.26</v>
      </c>
      <c r="H178" s="20">
        <f t="shared" si="4"/>
        <v>6221.55</v>
      </c>
    </row>
    <row r="179" spans="1:8" ht="20.100000000000001" customHeight="1" x14ac:dyDescent="0.25">
      <c r="A179" s="59" t="s">
        <v>303</v>
      </c>
      <c r="B179" s="3" t="s">
        <v>17</v>
      </c>
      <c r="C179" s="43" t="s">
        <v>150</v>
      </c>
      <c r="D179" s="43" t="s">
        <v>1098</v>
      </c>
      <c r="E179" s="78">
        <v>3.26</v>
      </c>
      <c r="F179" s="3" t="s">
        <v>54</v>
      </c>
      <c r="G179" s="78">
        <v>571.54</v>
      </c>
      <c r="H179" s="20">
        <f t="shared" si="4"/>
        <v>1863.22</v>
      </c>
    </row>
    <row r="180" spans="1:8" ht="20.100000000000001" customHeight="1" x14ac:dyDescent="0.25">
      <c r="A180" s="59" t="s">
        <v>304</v>
      </c>
      <c r="B180" s="3" t="s">
        <v>17</v>
      </c>
      <c r="C180" s="43" t="s">
        <v>152</v>
      </c>
      <c r="D180" s="43" t="s">
        <v>1099</v>
      </c>
      <c r="E180" s="78">
        <v>1.81</v>
      </c>
      <c r="F180" s="3" t="s">
        <v>54</v>
      </c>
      <c r="G180" s="78">
        <v>547.96</v>
      </c>
      <c r="H180" s="20">
        <f t="shared" si="4"/>
        <v>991.81</v>
      </c>
    </row>
    <row r="181" spans="1:8" ht="20.100000000000001" customHeight="1" x14ac:dyDescent="0.25">
      <c r="A181" s="59" t="s">
        <v>305</v>
      </c>
      <c r="B181" s="3" t="s">
        <v>17</v>
      </c>
      <c r="C181" s="43" t="s">
        <v>155</v>
      </c>
      <c r="D181" s="43" t="s">
        <v>1100</v>
      </c>
      <c r="E181" s="78">
        <v>31.89</v>
      </c>
      <c r="F181" s="3" t="s">
        <v>154</v>
      </c>
      <c r="G181" s="78">
        <v>74.78</v>
      </c>
      <c r="H181" s="20">
        <f t="shared" si="4"/>
        <v>2384.73</v>
      </c>
    </row>
    <row r="182" spans="1:8" ht="20.100000000000001" customHeight="1" x14ac:dyDescent="0.25">
      <c r="A182" s="59" t="s">
        <v>306</v>
      </c>
      <c r="B182" s="3" t="s">
        <v>17</v>
      </c>
      <c r="C182" s="43" t="s">
        <v>307</v>
      </c>
      <c r="D182" s="43" t="s">
        <v>1158</v>
      </c>
      <c r="E182" s="78">
        <v>0.98</v>
      </c>
      <c r="F182" s="3" t="s">
        <v>54</v>
      </c>
      <c r="G182" s="78">
        <v>572.21</v>
      </c>
      <c r="H182" s="20">
        <f t="shared" si="4"/>
        <v>560.77</v>
      </c>
    </row>
    <row r="183" spans="1:8" ht="20.100000000000001" customHeight="1" x14ac:dyDescent="0.25">
      <c r="A183" s="59" t="s">
        <v>308</v>
      </c>
      <c r="B183" s="3" t="s">
        <v>17</v>
      </c>
      <c r="C183" s="43" t="s">
        <v>309</v>
      </c>
      <c r="D183" s="43" t="s">
        <v>1162</v>
      </c>
      <c r="E183" s="78">
        <v>4.2</v>
      </c>
      <c r="F183" s="3" t="s">
        <v>54</v>
      </c>
      <c r="G183" s="78">
        <v>551.5</v>
      </c>
      <c r="H183" s="20">
        <f t="shared" si="4"/>
        <v>2316.3000000000002</v>
      </c>
    </row>
    <row r="184" spans="1:8" ht="20.100000000000001" customHeight="1" x14ac:dyDescent="0.25">
      <c r="A184" s="59" t="s">
        <v>310</v>
      </c>
      <c r="B184" s="3" t="s">
        <v>17</v>
      </c>
      <c r="C184" s="43" t="s">
        <v>221</v>
      </c>
      <c r="D184" s="43" t="s">
        <v>1122</v>
      </c>
      <c r="E184" s="78">
        <v>1.67</v>
      </c>
      <c r="F184" s="3" t="s">
        <v>54</v>
      </c>
      <c r="G184" s="78">
        <v>602.71</v>
      </c>
      <c r="H184" s="20">
        <f t="shared" si="4"/>
        <v>1006.53</v>
      </c>
    </row>
    <row r="185" spans="1:8" ht="20.100000000000001" customHeight="1" x14ac:dyDescent="0.25">
      <c r="A185" s="59" t="s">
        <v>311</v>
      </c>
      <c r="B185" s="3" t="s">
        <v>17</v>
      </c>
      <c r="C185" s="43" t="s">
        <v>312</v>
      </c>
      <c r="D185" s="43" t="s">
        <v>1163</v>
      </c>
      <c r="E185" s="78">
        <v>1.87</v>
      </c>
      <c r="F185" s="3" t="s">
        <v>54</v>
      </c>
      <c r="G185" s="78">
        <v>629.30999999999995</v>
      </c>
      <c r="H185" s="20">
        <f t="shared" si="4"/>
        <v>1176.81</v>
      </c>
    </row>
    <row r="186" spans="1:8" ht="20.100000000000001" customHeight="1" x14ac:dyDescent="0.25">
      <c r="A186" s="59" t="s">
        <v>313</v>
      </c>
      <c r="B186" s="3" t="s">
        <v>17</v>
      </c>
      <c r="C186" s="43" t="s">
        <v>314</v>
      </c>
      <c r="D186" s="43" t="s">
        <v>1159</v>
      </c>
      <c r="E186" s="78">
        <v>2.79</v>
      </c>
      <c r="F186" s="3" t="s">
        <v>54</v>
      </c>
      <c r="G186" s="78">
        <v>555.99</v>
      </c>
      <c r="H186" s="20">
        <f t="shared" si="4"/>
        <v>1551.21</v>
      </c>
    </row>
    <row r="187" spans="1:8" ht="20.100000000000001" customHeight="1" x14ac:dyDescent="0.25">
      <c r="A187" s="59" t="s">
        <v>315</v>
      </c>
      <c r="B187" s="3" t="s">
        <v>17</v>
      </c>
      <c r="C187" s="43" t="s">
        <v>225</v>
      </c>
      <c r="D187" s="43" t="s">
        <v>1164</v>
      </c>
      <c r="E187" s="78">
        <v>1.32</v>
      </c>
      <c r="F187" s="3" t="s">
        <v>54</v>
      </c>
      <c r="G187" s="78">
        <v>619.39</v>
      </c>
      <c r="H187" s="20">
        <f t="shared" si="4"/>
        <v>817.59</v>
      </c>
    </row>
    <row r="188" spans="1:8" ht="20.100000000000001" customHeight="1" x14ac:dyDescent="0.25">
      <c r="A188" s="59" t="s">
        <v>316</v>
      </c>
      <c r="B188" s="3" t="s">
        <v>17</v>
      </c>
      <c r="C188" s="43" t="s">
        <v>227</v>
      </c>
      <c r="D188" s="43" t="s">
        <v>1125</v>
      </c>
      <c r="E188" s="78">
        <v>2.88</v>
      </c>
      <c r="F188" s="3" t="s">
        <v>54</v>
      </c>
      <c r="G188" s="78">
        <v>619.38</v>
      </c>
      <c r="H188" s="20">
        <f t="shared" si="4"/>
        <v>1783.81</v>
      </c>
    </row>
    <row r="189" spans="1:8" ht="20.100000000000001" customHeight="1" x14ac:dyDescent="0.25">
      <c r="A189" s="59" t="s">
        <v>317</v>
      </c>
      <c r="B189" s="3" t="s">
        <v>17</v>
      </c>
      <c r="C189" s="43" t="s">
        <v>318</v>
      </c>
      <c r="D189" s="43" t="s">
        <v>1160</v>
      </c>
      <c r="E189" s="78">
        <v>1.87</v>
      </c>
      <c r="F189" s="3" t="s">
        <v>54</v>
      </c>
      <c r="G189" s="78">
        <v>642.79999999999995</v>
      </c>
      <c r="H189" s="20">
        <f t="shared" si="4"/>
        <v>1202.04</v>
      </c>
    </row>
    <row r="190" spans="1:8" ht="20.100000000000001" customHeight="1" x14ac:dyDescent="0.25">
      <c r="A190" s="59" t="s">
        <v>319</v>
      </c>
      <c r="B190" s="3" t="s">
        <v>17</v>
      </c>
      <c r="C190" s="43" t="s">
        <v>320</v>
      </c>
      <c r="D190" s="43" t="s">
        <v>1161</v>
      </c>
      <c r="E190" s="78">
        <v>1.43</v>
      </c>
      <c r="F190" s="3" t="s">
        <v>54</v>
      </c>
      <c r="G190" s="78">
        <v>560.48</v>
      </c>
      <c r="H190" s="20">
        <f t="shared" si="4"/>
        <v>801.49</v>
      </c>
    </row>
    <row r="191" spans="1:8" ht="20.100000000000001" customHeight="1" x14ac:dyDescent="0.25">
      <c r="A191" s="59" t="s">
        <v>321</v>
      </c>
      <c r="B191" s="3" t="s">
        <v>17</v>
      </c>
      <c r="C191" s="43" t="s">
        <v>322</v>
      </c>
      <c r="D191" s="43" t="s">
        <v>1165</v>
      </c>
      <c r="E191" s="78">
        <v>1.18</v>
      </c>
      <c r="F191" s="3" t="s">
        <v>54</v>
      </c>
      <c r="G191" s="78">
        <v>507.77</v>
      </c>
      <c r="H191" s="20">
        <f t="shared" si="4"/>
        <v>599.16999999999996</v>
      </c>
    </row>
    <row r="192" spans="1:8" ht="20.100000000000001" customHeight="1" x14ac:dyDescent="0.25">
      <c r="A192" s="59" t="s">
        <v>323</v>
      </c>
      <c r="B192" s="3" t="s">
        <v>17</v>
      </c>
      <c r="C192" s="43" t="s">
        <v>324</v>
      </c>
      <c r="D192" s="43" t="s">
        <v>1166</v>
      </c>
      <c r="E192" s="78">
        <v>4.6399999999999997</v>
      </c>
      <c r="F192" s="3" t="s">
        <v>54</v>
      </c>
      <c r="G192" s="78">
        <v>523.27</v>
      </c>
      <c r="H192" s="20">
        <f t="shared" si="4"/>
        <v>2427.9699999999998</v>
      </c>
    </row>
    <row r="193" spans="1:8" ht="20.100000000000001" customHeight="1" x14ac:dyDescent="0.25">
      <c r="A193" s="59" t="s">
        <v>325</v>
      </c>
      <c r="B193" s="3" t="s">
        <v>17</v>
      </c>
      <c r="C193" s="43" t="s">
        <v>235</v>
      </c>
      <c r="D193" s="43" t="s">
        <v>1129</v>
      </c>
      <c r="E193" s="78">
        <v>0.87</v>
      </c>
      <c r="F193" s="3" t="s">
        <v>54</v>
      </c>
      <c r="G193" s="78">
        <v>602.89</v>
      </c>
      <c r="H193" s="20">
        <f t="shared" si="4"/>
        <v>524.51</v>
      </c>
    </row>
    <row r="194" spans="1:8" ht="20.100000000000001" customHeight="1" x14ac:dyDescent="0.25">
      <c r="A194" s="59" t="s">
        <v>326</v>
      </c>
      <c r="B194" s="3" t="s">
        <v>17</v>
      </c>
      <c r="C194" s="43" t="s">
        <v>237</v>
      </c>
      <c r="D194" s="43" t="s">
        <v>1130</v>
      </c>
      <c r="E194" s="78">
        <v>1.23</v>
      </c>
      <c r="F194" s="3" t="s">
        <v>54</v>
      </c>
      <c r="G194" s="78">
        <v>624.05999999999995</v>
      </c>
      <c r="H194" s="20">
        <f t="shared" si="4"/>
        <v>767.59</v>
      </c>
    </row>
    <row r="195" spans="1:8" ht="20.100000000000001" customHeight="1" x14ac:dyDescent="0.25">
      <c r="A195" s="59" t="s">
        <v>327</v>
      </c>
      <c r="B195" s="3" t="s">
        <v>17</v>
      </c>
      <c r="C195" s="43" t="s">
        <v>239</v>
      </c>
      <c r="D195" s="43" t="s">
        <v>1131</v>
      </c>
      <c r="E195" s="78">
        <v>0.87</v>
      </c>
      <c r="F195" s="3" t="s">
        <v>54</v>
      </c>
      <c r="G195" s="78">
        <v>610.39</v>
      </c>
      <c r="H195" s="20">
        <f t="shared" si="4"/>
        <v>531.04</v>
      </c>
    </row>
    <row r="196" spans="1:8" ht="20.100000000000001" customHeight="1" x14ac:dyDescent="0.25">
      <c r="A196" s="59" t="s">
        <v>328</v>
      </c>
      <c r="B196" s="3" t="s">
        <v>17</v>
      </c>
      <c r="C196" s="43" t="s">
        <v>243</v>
      </c>
      <c r="D196" s="43" t="s">
        <v>1133</v>
      </c>
      <c r="E196" s="78">
        <v>1.23</v>
      </c>
      <c r="F196" s="3" t="s">
        <v>54</v>
      </c>
      <c r="G196" s="78">
        <v>636.79999999999995</v>
      </c>
      <c r="H196" s="20">
        <f t="shared" si="4"/>
        <v>783.26</v>
      </c>
    </row>
    <row r="197" spans="1:8" ht="20.100000000000001" customHeight="1" x14ac:dyDescent="0.25">
      <c r="A197" s="59" t="s">
        <v>329</v>
      </c>
      <c r="B197" s="3" t="s">
        <v>17</v>
      </c>
      <c r="C197" s="43" t="s">
        <v>245</v>
      </c>
      <c r="D197" s="43" t="s">
        <v>1134</v>
      </c>
      <c r="E197" s="78">
        <v>3.02</v>
      </c>
      <c r="F197" s="3" t="s">
        <v>54</v>
      </c>
      <c r="G197" s="78">
        <v>618.82000000000005</v>
      </c>
      <c r="H197" s="20">
        <f t="shared" si="4"/>
        <v>1868.84</v>
      </c>
    </row>
    <row r="198" spans="1:8" ht="20.100000000000001" customHeight="1" x14ac:dyDescent="0.25">
      <c r="A198" s="59" t="s">
        <v>330</v>
      </c>
      <c r="B198" s="3" t="s">
        <v>17</v>
      </c>
      <c r="C198" s="43" t="s">
        <v>331</v>
      </c>
      <c r="D198" s="43" t="s">
        <v>1167</v>
      </c>
      <c r="E198" s="78">
        <v>9</v>
      </c>
      <c r="F198" s="3" t="s">
        <v>54</v>
      </c>
      <c r="G198" s="78">
        <v>523.27</v>
      </c>
      <c r="H198" s="20">
        <f t="shared" si="4"/>
        <v>4709.43</v>
      </c>
    </row>
    <row r="199" spans="1:8" ht="20.100000000000001" customHeight="1" x14ac:dyDescent="0.25">
      <c r="A199" s="59" t="s">
        <v>332</v>
      </c>
      <c r="B199" s="3" t="s">
        <v>17</v>
      </c>
      <c r="C199" s="43" t="s">
        <v>333</v>
      </c>
      <c r="D199" s="43" t="s">
        <v>1168</v>
      </c>
      <c r="E199" s="78">
        <v>4.75</v>
      </c>
      <c r="F199" s="3" t="s">
        <v>54</v>
      </c>
      <c r="G199" s="78">
        <v>507.77</v>
      </c>
      <c r="H199" s="20">
        <f t="shared" si="4"/>
        <v>2411.91</v>
      </c>
    </row>
    <row r="200" spans="1:8" ht="20.100000000000001" customHeight="1" x14ac:dyDescent="0.25">
      <c r="A200" s="59" t="s">
        <v>334</v>
      </c>
      <c r="B200" s="3" t="s">
        <v>17</v>
      </c>
      <c r="C200" s="43" t="s">
        <v>251</v>
      </c>
      <c r="D200" s="43" t="s">
        <v>1139</v>
      </c>
      <c r="E200" s="78">
        <v>1.9</v>
      </c>
      <c r="F200" s="3" t="s">
        <v>54</v>
      </c>
      <c r="G200" s="78">
        <v>575.25</v>
      </c>
      <c r="H200" s="20">
        <f t="shared" si="4"/>
        <v>1092.98</v>
      </c>
    </row>
    <row r="201" spans="1:8" ht="20.100000000000001" customHeight="1" x14ac:dyDescent="0.25">
      <c r="A201" s="59" t="s">
        <v>335</v>
      </c>
      <c r="B201" s="3" t="s">
        <v>17</v>
      </c>
      <c r="C201" s="43" t="s">
        <v>253</v>
      </c>
      <c r="D201" s="43" t="s">
        <v>1140</v>
      </c>
      <c r="E201" s="78">
        <v>2.39</v>
      </c>
      <c r="F201" s="3" t="s">
        <v>54</v>
      </c>
      <c r="G201" s="78">
        <v>685.58</v>
      </c>
      <c r="H201" s="20">
        <f t="shared" si="4"/>
        <v>1638.54</v>
      </c>
    </row>
    <row r="202" spans="1:8" ht="20.100000000000001" customHeight="1" x14ac:dyDescent="0.25">
      <c r="A202" s="59" t="s">
        <v>336</v>
      </c>
      <c r="B202" s="3" t="s">
        <v>17</v>
      </c>
      <c r="C202" s="43" t="s">
        <v>255</v>
      </c>
      <c r="D202" s="43" t="s">
        <v>1138</v>
      </c>
      <c r="E202" s="78">
        <v>4.5199999999999996</v>
      </c>
      <c r="F202" s="3" t="s">
        <v>54</v>
      </c>
      <c r="G202" s="78">
        <v>582.36</v>
      </c>
      <c r="H202" s="20">
        <f t="shared" si="4"/>
        <v>2632.27</v>
      </c>
    </row>
    <row r="203" spans="1:8" ht="20.100000000000001" customHeight="1" x14ac:dyDescent="0.25">
      <c r="A203" s="59" t="s">
        <v>337</v>
      </c>
      <c r="B203" s="3" t="s">
        <v>17</v>
      </c>
      <c r="C203" s="43" t="s">
        <v>257</v>
      </c>
      <c r="D203" s="43" t="s">
        <v>1137</v>
      </c>
      <c r="E203" s="78">
        <v>3.16</v>
      </c>
      <c r="F203" s="3" t="s">
        <v>54</v>
      </c>
      <c r="G203" s="78">
        <v>695.05</v>
      </c>
      <c r="H203" s="20">
        <f t="shared" si="4"/>
        <v>2196.36</v>
      </c>
    </row>
    <row r="204" spans="1:8" ht="20.100000000000001" customHeight="1" x14ac:dyDescent="0.25">
      <c r="A204" s="59" t="s">
        <v>338</v>
      </c>
      <c r="B204" s="3" t="s">
        <v>17</v>
      </c>
      <c r="C204" s="43" t="s">
        <v>259</v>
      </c>
      <c r="D204" s="43" t="s">
        <v>1141</v>
      </c>
      <c r="E204" s="78">
        <v>0.77</v>
      </c>
      <c r="F204" s="3" t="s">
        <v>54</v>
      </c>
      <c r="G204" s="78">
        <v>610.88</v>
      </c>
      <c r="H204" s="20">
        <f t="shared" si="4"/>
        <v>470.38</v>
      </c>
    </row>
    <row r="205" spans="1:8" ht="20.100000000000001" customHeight="1" x14ac:dyDescent="0.25">
      <c r="A205" s="59" t="s">
        <v>339</v>
      </c>
      <c r="B205" s="3" t="s">
        <v>17</v>
      </c>
      <c r="C205" s="43" t="s">
        <v>261</v>
      </c>
      <c r="D205" s="43" t="s">
        <v>1142</v>
      </c>
      <c r="E205" s="78">
        <v>0.59</v>
      </c>
      <c r="F205" s="3" t="s">
        <v>54</v>
      </c>
      <c r="G205" s="78">
        <v>714.3</v>
      </c>
      <c r="H205" s="20">
        <f t="shared" si="4"/>
        <v>421.44</v>
      </c>
    </row>
    <row r="206" spans="1:8" ht="20.100000000000001" customHeight="1" x14ac:dyDescent="0.25">
      <c r="A206" s="59" t="s">
        <v>340</v>
      </c>
      <c r="B206" s="3" t="s">
        <v>17</v>
      </c>
      <c r="C206" s="43" t="s">
        <v>263</v>
      </c>
      <c r="D206" s="43" t="s">
        <v>1143</v>
      </c>
      <c r="E206" s="78">
        <v>7.85</v>
      </c>
      <c r="F206" s="3" t="s">
        <v>54</v>
      </c>
      <c r="G206" s="78">
        <v>378.25</v>
      </c>
      <c r="H206" s="20">
        <f t="shared" si="4"/>
        <v>2969.26</v>
      </c>
    </row>
    <row r="207" spans="1:8" s="4" customFormat="1" ht="39.950000000000003" customHeight="1" x14ac:dyDescent="0.25">
      <c r="A207" s="59" t="s">
        <v>341</v>
      </c>
      <c r="B207" s="3" t="s">
        <v>17</v>
      </c>
      <c r="C207" s="43" t="s">
        <v>342</v>
      </c>
      <c r="D207" s="43" t="s">
        <v>1169</v>
      </c>
      <c r="E207" s="78">
        <v>6.03</v>
      </c>
      <c r="F207" s="3" t="s">
        <v>54</v>
      </c>
      <c r="G207" s="78">
        <v>471.68</v>
      </c>
      <c r="H207" s="20">
        <f t="shared" si="4"/>
        <v>2844.23</v>
      </c>
    </row>
    <row r="208" spans="1:8" ht="39.950000000000003" customHeight="1" x14ac:dyDescent="0.25">
      <c r="A208" s="59" t="s">
        <v>343</v>
      </c>
      <c r="B208" s="3" t="s">
        <v>17</v>
      </c>
      <c r="C208" s="43" t="s">
        <v>265</v>
      </c>
      <c r="D208" s="43" t="s">
        <v>1144</v>
      </c>
      <c r="E208" s="78">
        <v>78.58</v>
      </c>
      <c r="F208" s="3" t="s">
        <v>54</v>
      </c>
      <c r="G208" s="78">
        <v>480.94</v>
      </c>
      <c r="H208" s="20">
        <f t="shared" si="4"/>
        <v>37792.269999999997</v>
      </c>
    </row>
    <row r="209" spans="1:8" ht="20.100000000000001" customHeight="1" x14ac:dyDescent="0.25">
      <c r="A209" s="52"/>
      <c r="B209" s="9"/>
      <c r="C209" s="44" t="s">
        <v>344</v>
      </c>
      <c r="D209" s="44" t="s">
        <v>344</v>
      </c>
      <c r="E209" s="78">
        <v>1</v>
      </c>
      <c r="F209" s="9"/>
      <c r="G209" s="79">
        <f>SUM(H170:H208)</f>
        <v>101672.6</v>
      </c>
      <c r="H209" s="29">
        <f t="shared" si="4"/>
        <v>101672.6</v>
      </c>
    </row>
    <row r="210" spans="1:8" ht="20.100000000000001" customHeight="1" x14ac:dyDescent="0.25">
      <c r="A210" s="60"/>
      <c r="B210" s="12"/>
      <c r="C210" s="45"/>
      <c r="D210" s="45"/>
      <c r="E210" s="34"/>
      <c r="F210" s="12"/>
      <c r="G210" s="34"/>
      <c r="H210" s="30"/>
    </row>
    <row r="211" spans="1:8" ht="20.100000000000001" customHeight="1" x14ac:dyDescent="0.25">
      <c r="A211" s="62" t="s">
        <v>345</v>
      </c>
      <c r="B211" s="7" t="s">
        <v>9</v>
      </c>
      <c r="C211" s="47" t="s">
        <v>164</v>
      </c>
      <c r="D211" s="47" t="s">
        <v>1151</v>
      </c>
      <c r="E211" s="81">
        <f>E217</f>
        <v>1</v>
      </c>
      <c r="F211" s="7" t="s">
        <v>10</v>
      </c>
      <c r="G211" s="81">
        <f>G217</f>
        <v>26777.87</v>
      </c>
      <c r="H211" s="21">
        <f>H217</f>
        <v>26777.87</v>
      </c>
    </row>
    <row r="212" spans="1:8" ht="20.100000000000001" customHeight="1" x14ac:dyDescent="0.25">
      <c r="A212" s="59" t="s">
        <v>346</v>
      </c>
      <c r="B212" s="3" t="s">
        <v>17</v>
      </c>
      <c r="C212" s="43" t="s">
        <v>284</v>
      </c>
      <c r="D212" s="43" t="s">
        <v>1153</v>
      </c>
      <c r="E212" s="78">
        <v>108.78</v>
      </c>
      <c r="F212" s="3" t="s">
        <v>18</v>
      </c>
      <c r="G212" s="78">
        <v>43.65</v>
      </c>
      <c r="H212" s="20">
        <f t="shared" ref="H212:H217" si="5">ROUND(E212*G212,2)</f>
        <v>4748.25</v>
      </c>
    </row>
    <row r="213" spans="1:8" ht="20.100000000000001" customHeight="1" x14ac:dyDescent="0.25">
      <c r="A213" s="59" t="s">
        <v>347</v>
      </c>
      <c r="B213" s="3" t="s">
        <v>17</v>
      </c>
      <c r="C213" s="43" t="s">
        <v>282</v>
      </c>
      <c r="D213" s="43" t="s">
        <v>1154</v>
      </c>
      <c r="E213" s="78">
        <v>298.82</v>
      </c>
      <c r="F213" s="3" t="s">
        <v>18</v>
      </c>
      <c r="G213" s="78">
        <v>49.36</v>
      </c>
      <c r="H213" s="20">
        <f t="shared" si="5"/>
        <v>14749.76</v>
      </c>
    </row>
    <row r="214" spans="1:8" ht="20.100000000000001" customHeight="1" x14ac:dyDescent="0.25">
      <c r="A214" s="59" t="s">
        <v>348</v>
      </c>
      <c r="B214" s="3" t="s">
        <v>17</v>
      </c>
      <c r="C214" s="43" t="s">
        <v>288</v>
      </c>
      <c r="D214" s="43" t="s">
        <v>1155</v>
      </c>
      <c r="E214" s="78">
        <v>10.8</v>
      </c>
      <c r="F214" s="3" t="s">
        <v>18</v>
      </c>
      <c r="G214" s="78">
        <v>45.02</v>
      </c>
      <c r="H214" s="20">
        <f t="shared" si="5"/>
        <v>486.22</v>
      </c>
    </row>
    <row r="215" spans="1:8" ht="20.100000000000001" customHeight="1" x14ac:dyDescent="0.25">
      <c r="A215" s="59" t="s">
        <v>349</v>
      </c>
      <c r="B215" s="3" t="s">
        <v>17</v>
      </c>
      <c r="C215" s="43" t="s">
        <v>286</v>
      </c>
      <c r="D215" s="43" t="s">
        <v>1156</v>
      </c>
      <c r="E215" s="78">
        <v>122.33</v>
      </c>
      <c r="F215" s="3" t="s">
        <v>18</v>
      </c>
      <c r="G215" s="78">
        <v>50.73</v>
      </c>
      <c r="H215" s="20">
        <f t="shared" si="5"/>
        <v>6205.8</v>
      </c>
    </row>
    <row r="216" spans="1:8" ht="20.100000000000001" customHeight="1" x14ac:dyDescent="0.25">
      <c r="A216" s="59" t="s">
        <v>350</v>
      </c>
      <c r="B216" s="3" t="s">
        <v>17</v>
      </c>
      <c r="C216" s="43" t="s">
        <v>351</v>
      </c>
      <c r="D216" s="43" t="s">
        <v>1170</v>
      </c>
      <c r="E216" s="78">
        <v>13.92</v>
      </c>
      <c r="F216" s="3" t="s">
        <v>18</v>
      </c>
      <c r="G216" s="78">
        <v>42.23</v>
      </c>
      <c r="H216" s="20">
        <f t="shared" si="5"/>
        <v>587.84</v>
      </c>
    </row>
    <row r="217" spans="1:8" ht="20.100000000000001" customHeight="1" x14ac:dyDescent="0.25">
      <c r="A217" s="52"/>
      <c r="B217" s="9"/>
      <c r="C217" s="44" t="s">
        <v>352</v>
      </c>
      <c r="D217" s="44" t="s">
        <v>352</v>
      </c>
      <c r="E217" s="78">
        <v>1</v>
      </c>
      <c r="F217" s="9"/>
      <c r="G217" s="79">
        <f>SUM(H212:H216)</f>
        <v>26777.87</v>
      </c>
      <c r="H217" s="29">
        <f t="shared" si="5"/>
        <v>26777.87</v>
      </c>
    </row>
    <row r="218" spans="1:8" ht="20.100000000000001" customHeight="1" x14ac:dyDescent="0.25">
      <c r="A218" s="60"/>
      <c r="B218" s="12"/>
      <c r="C218" s="45"/>
      <c r="D218" s="45"/>
      <c r="E218" s="34"/>
      <c r="F218" s="12"/>
      <c r="G218" s="34"/>
      <c r="H218" s="30"/>
    </row>
    <row r="219" spans="1:8" ht="20.100000000000001" customHeight="1" x14ac:dyDescent="0.25">
      <c r="A219" s="52"/>
      <c r="B219" s="9"/>
      <c r="C219" s="44" t="s">
        <v>353</v>
      </c>
      <c r="D219" s="44" t="s">
        <v>353</v>
      </c>
      <c r="E219" s="78">
        <v>1</v>
      </c>
      <c r="F219" s="9"/>
      <c r="G219" s="79">
        <f>H169+H211</f>
        <v>128450.47</v>
      </c>
      <c r="H219" s="29">
        <f>ROUND(E219*G219,2)</f>
        <v>128450.47</v>
      </c>
    </row>
    <row r="220" spans="1:8" ht="20.100000000000001" customHeight="1" x14ac:dyDescent="0.25">
      <c r="A220" s="60"/>
      <c r="B220" s="12"/>
      <c r="C220" s="45"/>
      <c r="D220" s="45"/>
      <c r="E220" s="34"/>
      <c r="F220" s="12"/>
      <c r="G220" s="34"/>
      <c r="H220" s="30"/>
    </row>
    <row r="221" spans="1:8" ht="20.100000000000001" customHeight="1" x14ac:dyDescent="0.25">
      <c r="A221" s="52"/>
      <c r="B221" s="9"/>
      <c r="C221" s="44" t="s">
        <v>354</v>
      </c>
      <c r="D221" s="44" t="s">
        <v>354</v>
      </c>
      <c r="E221" s="78">
        <v>1</v>
      </c>
      <c r="F221" s="9"/>
      <c r="G221" s="79">
        <f>H39+H96+H168</f>
        <v>424351.74</v>
      </c>
      <c r="H221" s="29">
        <f>ROUND(E221*G221,2)</f>
        <v>424351.74</v>
      </c>
    </row>
    <row r="222" spans="1:8" ht="20.100000000000001" customHeight="1" x14ac:dyDescent="0.25">
      <c r="A222" s="60"/>
      <c r="B222" s="12"/>
      <c r="C222" s="45"/>
      <c r="D222" s="45"/>
      <c r="E222" s="34"/>
      <c r="F222" s="12"/>
      <c r="G222" s="34"/>
      <c r="H222" s="30"/>
    </row>
    <row r="223" spans="1:8" ht="20.100000000000001" customHeight="1" x14ac:dyDescent="0.25">
      <c r="A223" s="58" t="s">
        <v>355</v>
      </c>
      <c r="B223" s="5" t="s">
        <v>9</v>
      </c>
      <c r="C223" s="42" t="s">
        <v>356</v>
      </c>
      <c r="D223" s="42" t="s">
        <v>1182</v>
      </c>
      <c r="E223" s="77">
        <f>E603</f>
        <v>1</v>
      </c>
      <c r="F223" s="5" t="s">
        <v>10</v>
      </c>
      <c r="G223" s="77">
        <f>G603</f>
        <v>155151.44</v>
      </c>
      <c r="H223" s="28">
        <f>H603</f>
        <v>155151.44</v>
      </c>
    </row>
    <row r="224" spans="1:8" ht="20.100000000000001" customHeight="1" x14ac:dyDescent="0.25">
      <c r="A224" s="61" t="s">
        <v>357</v>
      </c>
      <c r="B224" s="17" t="s">
        <v>9</v>
      </c>
      <c r="C224" s="46" t="s">
        <v>172</v>
      </c>
      <c r="D224" s="46" t="s">
        <v>1152</v>
      </c>
      <c r="E224" s="80">
        <f>E430</f>
        <v>1</v>
      </c>
      <c r="F224" s="17" t="s">
        <v>10</v>
      </c>
      <c r="G224" s="80">
        <f>G430</f>
        <v>75770.58</v>
      </c>
      <c r="H224" s="31">
        <f>H430</f>
        <v>75770.58</v>
      </c>
    </row>
    <row r="225" spans="1:8" ht="20.100000000000001" customHeight="1" x14ac:dyDescent="0.25">
      <c r="A225" s="62" t="s">
        <v>358</v>
      </c>
      <c r="B225" s="7" t="s">
        <v>9</v>
      </c>
      <c r="C225" s="47" t="s">
        <v>359</v>
      </c>
      <c r="D225" s="47" t="s">
        <v>1183</v>
      </c>
      <c r="E225" s="81">
        <f>E237</f>
        <v>1</v>
      </c>
      <c r="F225" s="7" t="s">
        <v>10</v>
      </c>
      <c r="G225" s="81">
        <f>G237</f>
        <v>59065.919999999998</v>
      </c>
      <c r="H225" s="21">
        <f>H237</f>
        <v>59065.919999999998</v>
      </c>
    </row>
    <row r="226" spans="1:8" ht="39.950000000000003" customHeight="1" x14ac:dyDescent="0.25">
      <c r="A226" s="59" t="s">
        <v>360</v>
      </c>
      <c r="B226" s="3" t="s">
        <v>17</v>
      </c>
      <c r="C226" s="43" t="s">
        <v>361</v>
      </c>
      <c r="D226" s="43" t="s">
        <v>1171</v>
      </c>
      <c r="E226" s="78">
        <v>1931.18</v>
      </c>
      <c r="F226" s="3" t="s">
        <v>277</v>
      </c>
      <c r="G226" s="78">
        <v>4.3</v>
      </c>
      <c r="H226" s="20">
        <f t="shared" ref="H226:H237" si="6">ROUND(E226*G226,2)</f>
        <v>8304.07</v>
      </c>
    </row>
    <row r="227" spans="1:8" ht="20.100000000000001" customHeight="1" x14ac:dyDescent="0.25">
      <c r="A227" s="59" t="s">
        <v>362</v>
      </c>
      <c r="B227" s="3" t="s">
        <v>17</v>
      </c>
      <c r="C227" s="43" t="s">
        <v>363</v>
      </c>
      <c r="D227" s="43" t="s">
        <v>1172</v>
      </c>
      <c r="E227" s="78">
        <v>148.80000000000001</v>
      </c>
      <c r="F227" s="3" t="s">
        <v>35</v>
      </c>
      <c r="G227" s="78">
        <v>4.7699999999999996</v>
      </c>
      <c r="H227" s="20">
        <f t="shared" si="6"/>
        <v>709.78</v>
      </c>
    </row>
    <row r="228" spans="1:8" ht="20.100000000000001" customHeight="1" x14ac:dyDescent="0.25">
      <c r="A228" s="59" t="s">
        <v>364</v>
      </c>
      <c r="B228" s="3" t="s">
        <v>17</v>
      </c>
      <c r="C228" s="43" t="s">
        <v>365</v>
      </c>
      <c r="D228" s="43" t="s">
        <v>1173</v>
      </c>
      <c r="E228" s="78">
        <v>424.19</v>
      </c>
      <c r="F228" s="3" t="s">
        <v>277</v>
      </c>
      <c r="G228" s="78">
        <v>11.97</v>
      </c>
      <c r="H228" s="20">
        <f t="shared" si="6"/>
        <v>5077.55</v>
      </c>
    </row>
    <row r="229" spans="1:8" ht="20.100000000000001" customHeight="1" x14ac:dyDescent="0.25">
      <c r="A229" s="59" t="s">
        <v>366</v>
      </c>
      <c r="B229" s="3" t="s">
        <v>17</v>
      </c>
      <c r="C229" s="43" t="s">
        <v>367</v>
      </c>
      <c r="D229" s="43" t="s">
        <v>1174</v>
      </c>
      <c r="E229" s="78">
        <v>148.80000000000001</v>
      </c>
      <c r="F229" s="3" t="s">
        <v>35</v>
      </c>
      <c r="G229" s="78">
        <v>13</v>
      </c>
      <c r="H229" s="20">
        <f t="shared" si="6"/>
        <v>1934.4</v>
      </c>
    </row>
    <row r="230" spans="1:8" ht="20.100000000000001" customHeight="1" x14ac:dyDescent="0.25">
      <c r="A230" s="59" t="s">
        <v>368</v>
      </c>
      <c r="B230" s="3" t="s">
        <v>17</v>
      </c>
      <c r="C230" s="43" t="s">
        <v>369</v>
      </c>
      <c r="D230" s="43" t="s">
        <v>1175</v>
      </c>
      <c r="E230" s="78">
        <v>1156.26</v>
      </c>
      <c r="F230" s="3" t="s">
        <v>35</v>
      </c>
      <c r="G230" s="78">
        <v>11.59</v>
      </c>
      <c r="H230" s="20">
        <f t="shared" si="6"/>
        <v>13401.05</v>
      </c>
    </row>
    <row r="231" spans="1:8" ht="20.100000000000001" customHeight="1" x14ac:dyDescent="0.25">
      <c r="A231" s="59" t="s">
        <v>370</v>
      </c>
      <c r="B231" s="3" t="s">
        <v>17</v>
      </c>
      <c r="C231" s="43" t="s">
        <v>371</v>
      </c>
      <c r="D231" s="43" t="s">
        <v>1176</v>
      </c>
      <c r="E231" s="78">
        <v>424.59</v>
      </c>
      <c r="F231" s="3" t="s">
        <v>35</v>
      </c>
      <c r="G231" s="78">
        <v>12.31</v>
      </c>
      <c r="H231" s="20">
        <f t="shared" si="6"/>
        <v>5226.7</v>
      </c>
    </row>
    <row r="232" spans="1:8" ht="20.100000000000001" customHeight="1" x14ac:dyDescent="0.25">
      <c r="A232" s="59" t="s">
        <v>372</v>
      </c>
      <c r="B232" s="3" t="s">
        <v>17</v>
      </c>
      <c r="C232" s="43" t="s">
        <v>373</v>
      </c>
      <c r="D232" s="43" t="s">
        <v>1177</v>
      </c>
      <c r="E232" s="78">
        <v>167.84</v>
      </c>
      <c r="F232" s="3" t="s">
        <v>35</v>
      </c>
      <c r="G232" s="78">
        <v>9.18</v>
      </c>
      <c r="H232" s="20">
        <f t="shared" si="6"/>
        <v>1540.77</v>
      </c>
    </row>
    <row r="233" spans="1:8" ht="20.100000000000001" customHeight="1" x14ac:dyDescent="0.25">
      <c r="A233" s="59" t="s">
        <v>374</v>
      </c>
      <c r="B233" s="3" t="s">
        <v>17</v>
      </c>
      <c r="C233" s="43" t="s">
        <v>375</v>
      </c>
      <c r="D233" s="43" t="s">
        <v>1178</v>
      </c>
      <c r="E233" s="78">
        <v>15.64</v>
      </c>
      <c r="F233" s="3" t="s">
        <v>35</v>
      </c>
      <c r="G233" s="78">
        <v>12.31</v>
      </c>
      <c r="H233" s="20">
        <f t="shared" si="6"/>
        <v>192.53</v>
      </c>
    </row>
    <row r="234" spans="1:8" ht="20.100000000000001" customHeight="1" x14ac:dyDescent="0.25">
      <c r="A234" s="59" t="s">
        <v>376</v>
      </c>
      <c r="B234" s="3" t="s">
        <v>17</v>
      </c>
      <c r="C234" s="43" t="s">
        <v>377</v>
      </c>
      <c r="D234" s="43" t="s">
        <v>1179</v>
      </c>
      <c r="E234" s="78">
        <v>1097.1199999999999</v>
      </c>
      <c r="F234" s="3" t="s">
        <v>277</v>
      </c>
      <c r="G234" s="78">
        <v>7.25</v>
      </c>
      <c r="H234" s="20">
        <f t="shared" si="6"/>
        <v>7954.12</v>
      </c>
    </row>
    <row r="235" spans="1:8" ht="20.100000000000001" customHeight="1" x14ac:dyDescent="0.25">
      <c r="A235" s="59" t="s">
        <v>378</v>
      </c>
      <c r="B235" s="3" t="s">
        <v>17</v>
      </c>
      <c r="C235" s="43" t="s">
        <v>379</v>
      </c>
      <c r="D235" s="43" t="s">
        <v>1180</v>
      </c>
      <c r="E235" s="78">
        <v>534.69000000000005</v>
      </c>
      <c r="F235" s="3" t="s">
        <v>277</v>
      </c>
      <c r="G235" s="78">
        <v>8.5</v>
      </c>
      <c r="H235" s="20">
        <f t="shared" si="6"/>
        <v>4544.87</v>
      </c>
    </row>
    <row r="236" spans="1:8" ht="20.100000000000001" customHeight="1" x14ac:dyDescent="0.25">
      <c r="A236" s="59" t="s">
        <v>380</v>
      </c>
      <c r="B236" s="3" t="s">
        <v>17</v>
      </c>
      <c r="C236" s="43" t="s">
        <v>381</v>
      </c>
      <c r="D236" s="43" t="s">
        <v>1181</v>
      </c>
      <c r="E236" s="78">
        <v>417.73</v>
      </c>
      <c r="F236" s="3" t="s">
        <v>35</v>
      </c>
      <c r="G236" s="78">
        <v>24.37</v>
      </c>
      <c r="H236" s="20">
        <f t="shared" si="6"/>
        <v>10180.08</v>
      </c>
    </row>
    <row r="237" spans="1:8" ht="20.100000000000001" customHeight="1" x14ac:dyDescent="0.25">
      <c r="A237" s="52"/>
      <c r="B237" s="9"/>
      <c r="C237" s="44" t="s">
        <v>382</v>
      </c>
      <c r="D237" s="44" t="s">
        <v>382</v>
      </c>
      <c r="E237" s="78">
        <v>1</v>
      </c>
      <c r="F237" s="9"/>
      <c r="G237" s="79">
        <f>SUM(H226:H236)</f>
        <v>59065.919999999998</v>
      </c>
      <c r="H237" s="29">
        <f t="shared" si="6"/>
        <v>59065.919999999998</v>
      </c>
    </row>
    <row r="238" spans="1:8" ht="20.100000000000001" customHeight="1" x14ac:dyDescent="0.25">
      <c r="A238" s="60"/>
      <c r="B238" s="12"/>
      <c r="C238" s="45"/>
      <c r="D238" s="45"/>
      <c r="E238" s="34"/>
      <c r="F238" s="12"/>
      <c r="G238" s="34"/>
      <c r="H238" s="30"/>
    </row>
    <row r="239" spans="1:8" ht="20.100000000000001" customHeight="1" x14ac:dyDescent="0.25">
      <c r="A239" s="62" t="s">
        <v>383</v>
      </c>
      <c r="B239" s="7" t="s">
        <v>9</v>
      </c>
      <c r="C239" s="47" t="s">
        <v>384</v>
      </c>
      <c r="D239" s="47" t="s">
        <v>1184</v>
      </c>
      <c r="E239" s="81">
        <f>E250</f>
        <v>1</v>
      </c>
      <c r="F239" s="7" t="s">
        <v>10</v>
      </c>
      <c r="G239" s="81">
        <f>G250</f>
        <v>16704.66</v>
      </c>
      <c r="H239" s="21">
        <f>H250</f>
        <v>16704.66</v>
      </c>
    </row>
    <row r="240" spans="1:8" ht="20.100000000000001" customHeight="1" x14ac:dyDescent="0.25">
      <c r="A240" s="59" t="s">
        <v>385</v>
      </c>
      <c r="B240" s="3" t="s">
        <v>17</v>
      </c>
      <c r="C240" s="43" t="s">
        <v>386</v>
      </c>
      <c r="D240" s="43" t="s">
        <v>1185</v>
      </c>
      <c r="E240" s="78">
        <v>644.92999999999995</v>
      </c>
      <c r="F240" s="3" t="s">
        <v>18</v>
      </c>
      <c r="G240" s="78">
        <v>4.7699999999999996</v>
      </c>
      <c r="H240" s="20">
        <f t="shared" ref="H240:H250" si="7">ROUND(E240*G240,2)</f>
        <v>3076.32</v>
      </c>
    </row>
    <row r="241" spans="1:8" ht="20.100000000000001" customHeight="1" x14ac:dyDescent="0.25">
      <c r="A241" s="59" t="s">
        <v>387</v>
      </c>
      <c r="B241" s="3" t="s">
        <v>17</v>
      </c>
      <c r="C241" s="43" t="s">
        <v>388</v>
      </c>
      <c r="D241" s="43" t="s">
        <v>1194</v>
      </c>
      <c r="E241" s="78">
        <v>100.2</v>
      </c>
      <c r="F241" s="3" t="s">
        <v>18</v>
      </c>
      <c r="G241" s="78">
        <v>13</v>
      </c>
      <c r="H241" s="20">
        <f t="shared" si="7"/>
        <v>1302.5999999999999</v>
      </c>
    </row>
    <row r="242" spans="1:8" ht="20.100000000000001" customHeight="1" x14ac:dyDescent="0.25">
      <c r="A242" s="59" t="s">
        <v>389</v>
      </c>
      <c r="B242" s="3" t="s">
        <v>17</v>
      </c>
      <c r="C242" s="43" t="s">
        <v>390</v>
      </c>
      <c r="D242" s="43" t="s">
        <v>1186</v>
      </c>
      <c r="E242" s="78">
        <v>70.150000000000006</v>
      </c>
      <c r="F242" s="3" t="s">
        <v>29</v>
      </c>
      <c r="G242" s="78">
        <v>15.36</v>
      </c>
      <c r="H242" s="20">
        <f t="shared" si="7"/>
        <v>1077.5</v>
      </c>
    </row>
    <row r="243" spans="1:8" ht="20.100000000000001" customHeight="1" x14ac:dyDescent="0.25">
      <c r="A243" s="59" t="s">
        <v>391</v>
      </c>
      <c r="B243" s="3" t="s">
        <v>17</v>
      </c>
      <c r="C243" s="43" t="s">
        <v>392</v>
      </c>
      <c r="D243" s="43" t="s">
        <v>1190</v>
      </c>
      <c r="E243" s="78">
        <v>14.4</v>
      </c>
      <c r="F243" s="3" t="s">
        <v>29</v>
      </c>
      <c r="G243" s="78">
        <v>33.28</v>
      </c>
      <c r="H243" s="20">
        <f t="shared" si="7"/>
        <v>479.23</v>
      </c>
    </row>
    <row r="244" spans="1:8" ht="20.100000000000001" customHeight="1" x14ac:dyDescent="0.25">
      <c r="A244" s="59" t="s">
        <v>393</v>
      </c>
      <c r="B244" s="3" t="s">
        <v>17</v>
      </c>
      <c r="C244" s="43" t="s">
        <v>394</v>
      </c>
      <c r="D244" s="43" t="s">
        <v>1189</v>
      </c>
      <c r="E244" s="78">
        <v>42.16</v>
      </c>
      <c r="F244" s="3" t="s">
        <v>18</v>
      </c>
      <c r="G244" s="78">
        <v>17.93</v>
      </c>
      <c r="H244" s="20">
        <f t="shared" si="7"/>
        <v>755.93</v>
      </c>
    </row>
    <row r="245" spans="1:8" ht="20.100000000000001" customHeight="1" x14ac:dyDescent="0.25">
      <c r="A245" s="59" t="s">
        <v>395</v>
      </c>
      <c r="B245" s="3" t="s">
        <v>17</v>
      </c>
      <c r="C245" s="43" t="s">
        <v>396</v>
      </c>
      <c r="D245" s="43" t="s">
        <v>1188</v>
      </c>
      <c r="E245" s="78">
        <v>215.64</v>
      </c>
      <c r="F245" s="3" t="s">
        <v>18</v>
      </c>
      <c r="G245" s="78">
        <v>19.059999999999999</v>
      </c>
      <c r="H245" s="20">
        <f t="shared" si="7"/>
        <v>4110.1000000000004</v>
      </c>
    </row>
    <row r="246" spans="1:8" ht="20.100000000000001" customHeight="1" x14ac:dyDescent="0.25">
      <c r="A246" s="59" t="s">
        <v>397</v>
      </c>
      <c r="B246" s="3" t="s">
        <v>17</v>
      </c>
      <c r="C246" s="43" t="s">
        <v>398</v>
      </c>
      <c r="D246" s="43" t="s">
        <v>1191</v>
      </c>
      <c r="E246" s="78">
        <v>58.83</v>
      </c>
      <c r="F246" s="3" t="s">
        <v>29</v>
      </c>
      <c r="G246" s="78">
        <v>3.84</v>
      </c>
      <c r="H246" s="20">
        <f t="shared" si="7"/>
        <v>225.91</v>
      </c>
    </row>
    <row r="247" spans="1:8" ht="20.100000000000001" customHeight="1" x14ac:dyDescent="0.25">
      <c r="A247" s="59" t="s">
        <v>399</v>
      </c>
      <c r="B247" s="3" t="s">
        <v>17</v>
      </c>
      <c r="C247" s="43" t="s">
        <v>400</v>
      </c>
      <c r="D247" s="43" t="s">
        <v>1192</v>
      </c>
      <c r="E247" s="78">
        <v>42.16</v>
      </c>
      <c r="F247" s="3" t="s">
        <v>18</v>
      </c>
      <c r="G247" s="78">
        <v>41.27</v>
      </c>
      <c r="H247" s="20">
        <f t="shared" si="7"/>
        <v>1739.94</v>
      </c>
    </row>
    <row r="248" spans="1:8" ht="20.100000000000001" customHeight="1" x14ac:dyDescent="0.25">
      <c r="A248" s="59" t="s">
        <v>401</v>
      </c>
      <c r="B248" s="3" t="s">
        <v>17</v>
      </c>
      <c r="C248" s="43" t="s">
        <v>402</v>
      </c>
      <c r="D248" s="43" t="s">
        <v>1193</v>
      </c>
      <c r="E248" s="78">
        <v>215.16</v>
      </c>
      <c r="F248" s="3" t="s">
        <v>35</v>
      </c>
      <c r="G248" s="78">
        <v>16.52</v>
      </c>
      <c r="H248" s="20">
        <f t="shared" si="7"/>
        <v>3554.44</v>
      </c>
    </row>
    <row r="249" spans="1:8" ht="20.100000000000001" customHeight="1" x14ac:dyDescent="0.25">
      <c r="A249" s="59" t="s">
        <v>403</v>
      </c>
      <c r="B249" s="3" t="s">
        <v>17</v>
      </c>
      <c r="C249" s="43" t="s">
        <v>404</v>
      </c>
      <c r="D249" s="43" t="s">
        <v>1463</v>
      </c>
      <c r="E249" s="78">
        <v>48.32</v>
      </c>
      <c r="F249" s="3" t="s">
        <v>277</v>
      </c>
      <c r="G249" s="78">
        <v>7.92</v>
      </c>
      <c r="H249" s="20">
        <f t="shared" si="7"/>
        <v>382.69</v>
      </c>
    </row>
    <row r="250" spans="1:8" ht="20.100000000000001" customHeight="1" x14ac:dyDescent="0.25">
      <c r="A250" s="52"/>
      <c r="B250" s="9"/>
      <c r="C250" s="44" t="s">
        <v>405</v>
      </c>
      <c r="D250" s="44" t="s">
        <v>405</v>
      </c>
      <c r="E250" s="78">
        <v>1</v>
      </c>
      <c r="F250" s="9"/>
      <c r="G250" s="79">
        <f>SUM(H240:H249)</f>
        <v>16704.66</v>
      </c>
      <c r="H250" s="29">
        <f t="shared" si="7"/>
        <v>16704.66</v>
      </c>
    </row>
    <row r="251" spans="1:8" ht="20.100000000000001" hidden="1" customHeight="1" outlineLevel="1" x14ac:dyDescent="0.25">
      <c r="A251" s="60"/>
      <c r="B251" s="12"/>
      <c r="C251" s="45"/>
      <c r="D251" s="45"/>
      <c r="E251" s="34"/>
      <c r="F251" s="12"/>
      <c r="G251" s="34"/>
      <c r="H251" s="30"/>
    </row>
    <row r="252" spans="1:8" ht="20.100000000000001" hidden="1" customHeight="1" outlineLevel="1" x14ac:dyDescent="0.25">
      <c r="A252" s="62" t="s">
        <v>406</v>
      </c>
      <c r="B252" s="7" t="s">
        <v>9</v>
      </c>
      <c r="C252" s="47" t="s">
        <v>407</v>
      </c>
      <c r="D252" s="47" t="s">
        <v>1195</v>
      </c>
      <c r="E252" s="81">
        <f>E268</f>
        <v>1</v>
      </c>
      <c r="F252" s="7" t="s">
        <v>65</v>
      </c>
      <c r="G252" s="81">
        <f>G268</f>
        <v>0</v>
      </c>
      <c r="H252" s="21">
        <f>H268</f>
        <v>0</v>
      </c>
    </row>
    <row r="253" spans="1:8" ht="20.100000000000001" hidden="1" customHeight="1" outlineLevel="1" x14ac:dyDescent="0.25">
      <c r="A253" s="63"/>
      <c r="B253" s="18" t="s">
        <v>9</v>
      </c>
      <c r="C253" s="48" t="s">
        <v>408</v>
      </c>
      <c r="D253" s="48" t="s">
        <v>1196</v>
      </c>
      <c r="E253" s="82">
        <f>E256</f>
        <v>1</v>
      </c>
      <c r="F253" s="18" t="s">
        <v>65</v>
      </c>
      <c r="G253" s="82">
        <f>G256</f>
        <v>0</v>
      </c>
      <c r="H253" s="32">
        <f>H256</f>
        <v>0</v>
      </c>
    </row>
    <row r="254" spans="1:8" ht="20.100000000000001" hidden="1" customHeight="1" outlineLevel="1" x14ac:dyDescent="0.25">
      <c r="A254" s="59" t="s">
        <v>409</v>
      </c>
      <c r="B254" s="3" t="s">
        <v>17</v>
      </c>
      <c r="C254" s="43" t="s">
        <v>410</v>
      </c>
      <c r="D254" s="43" t="s">
        <v>1198</v>
      </c>
      <c r="E254" s="78">
        <v>7.12</v>
      </c>
      <c r="F254" s="3" t="s">
        <v>18</v>
      </c>
      <c r="G254" s="78"/>
      <c r="H254" s="20"/>
    </row>
    <row r="255" spans="1:8" ht="20.100000000000001" hidden="1" customHeight="1" outlineLevel="1" x14ac:dyDescent="0.25">
      <c r="A255" s="59" t="s">
        <v>411</v>
      </c>
      <c r="B255" s="3" t="s">
        <v>17</v>
      </c>
      <c r="C255" s="43" t="s">
        <v>1199</v>
      </c>
      <c r="D255" s="91" t="s">
        <v>1200</v>
      </c>
      <c r="E255" s="78">
        <v>12.4</v>
      </c>
      <c r="F255" s="3" t="s">
        <v>29</v>
      </c>
      <c r="G255" s="78"/>
      <c r="H255" s="20"/>
    </row>
    <row r="256" spans="1:8" ht="20.100000000000001" hidden="1" customHeight="1" outlineLevel="1" x14ac:dyDescent="0.25">
      <c r="A256" s="52"/>
      <c r="B256" s="9"/>
      <c r="C256" s="44" t="s">
        <v>1201</v>
      </c>
      <c r="D256" s="44" t="s">
        <v>1209</v>
      </c>
      <c r="E256" s="78">
        <v>1</v>
      </c>
      <c r="F256" s="9"/>
      <c r="G256" s="79">
        <f>SUM(H254:H255)</f>
        <v>0</v>
      </c>
      <c r="H256" s="29">
        <f>ROUND(E256*G256,2)</f>
        <v>0</v>
      </c>
    </row>
    <row r="257" spans="1:8" ht="20.100000000000001" hidden="1" customHeight="1" outlineLevel="1" x14ac:dyDescent="0.25">
      <c r="A257" s="60"/>
      <c r="B257" s="12"/>
      <c r="C257" s="45"/>
      <c r="D257" s="45"/>
      <c r="E257" s="34"/>
      <c r="F257" s="12"/>
      <c r="G257" s="34"/>
      <c r="H257" s="30"/>
    </row>
    <row r="258" spans="1:8" ht="20.100000000000001" hidden="1" customHeight="1" outlineLevel="1" x14ac:dyDescent="0.25">
      <c r="A258" s="63"/>
      <c r="B258" s="18" t="s">
        <v>9</v>
      </c>
      <c r="C258" s="48" t="s">
        <v>413</v>
      </c>
      <c r="D258" s="48" t="s">
        <v>1197</v>
      </c>
      <c r="E258" s="82">
        <f>E266</f>
        <v>1</v>
      </c>
      <c r="F258" s="18" t="s">
        <v>65</v>
      </c>
      <c r="G258" s="82">
        <f>G266</f>
        <v>0</v>
      </c>
      <c r="H258" s="32">
        <f>H266</f>
        <v>0</v>
      </c>
    </row>
    <row r="259" spans="1:8" ht="20.100000000000001" hidden="1" customHeight="1" outlineLevel="1" x14ac:dyDescent="0.25">
      <c r="A259" s="59" t="s">
        <v>414</v>
      </c>
      <c r="B259" s="3" t="s">
        <v>17</v>
      </c>
      <c r="C259" s="43" t="s">
        <v>415</v>
      </c>
      <c r="D259" s="43" t="s">
        <v>1205</v>
      </c>
      <c r="E259" s="78">
        <v>136.68</v>
      </c>
      <c r="F259" s="3" t="s">
        <v>18</v>
      </c>
      <c r="G259" s="78"/>
      <c r="H259" s="20"/>
    </row>
    <row r="260" spans="1:8" ht="20.100000000000001" hidden="1" customHeight="1" outlineLevel="1" x14ac:dyDescent="0.25">
      <c r="A260" s="59" t="s">
        <v>416</v>
      </c>
      <c r="B260" s="3" t="s">
        <v>17</v>
      </c>
      <c r="C260" s="43" t="s">
        <v>417</v>
      </c>
      <c r="D260" s="43" t="s">
        <v>1202</v>
      </c>
      <c r="E260" s="78">
        <v>161.25</v>
      </c>
      <c r="F260" s="3" t="s">
        <v>18</v>
      </c>
      <c r="G260" s="78"/>
      <c r="H260" s="20"/>
    </row>
    <row r="261" spans="1:8" ht="20.100000000000001" hidden="1" customHeight="1" outlineLevel="1" x14ac:dyDescent="0.25">
      <c r="A261" s="59" t="s">
        <v>418</v>
      </c>
      <c r="B261" s="3" t="s">
        <v>17</v>
      </c>
      <c r="C261" s="43" t="s">
        <v>419</v>
      </c>
      <c r="D261" s="43" t="s">
        <v>1204</v>
      </c>
      <c r="E261" s="78">
        <v>25.92</v>
      </c>
      <c r="F261" s="3" t="s">
        <v>29</v>
      </c>
      <c r="G261" s="78"/>
      <c r="H261" s="20"/>
    </row>
    <row r="262" spans="1:8" ht="20.100000000000001" hidden="1" customHeight="1" outlineLevel="1" x14ac:dyDescent="0.25">
      <c r="A262" s="59" t="s">
        <v>420</v>
      </c>
      <c r="B262" s="3" t="s">
        <v>17</v>
      </c>
      <c r="C262" s="43" t="s">
        <v>421</v>
      </c>
      <c r="D262" s="43" t="s">
        <v>1203</v>
      </c>
      <c r="E262" s="78">
        <v>29.7</v>
      </c>
      <c r="F262" s="3" t="s">
        <v>29</v>
      </c>
      <c r="G262" s="78"/>
      <c r="H262" s="20"/>
    </row>
    <row r="263" spans="1:8" ht="20.100000000000001" hidden="1" customHeight="1" outlineLevel="1" x14ac:dyDescent="0.25">
      <c r="A263" s="59" t="s">
        <v>422</v>
      </c>
      <c r="B263" s="3" t="s">
        <v>17</v>
      </c>
      <c r="C263" s="43" t="s">
        <v>423</v>
      </c>
      <c r="D263" s="43" t="s">
        <v>1206</v>
      </c>
      <c r="E263" s="78">
        <v>76.510000000000005</v>
      </c>
      <c r="F263" s="3" t="s">
        <v>18</v>
      </c>
      <c r="G263" s="78"/>
      <c r="H263" s="20"/>
    </row>
    <row r="264" spans="1:8" ht="20.100000000000001" hidden="1" customHeight="1" outlineLevel="1" x14ac:dyDescent="0.25">
      <c r="A264" s="59" t="s">
        <v>424</v>
      </c>
      <c r="B264" s="3" t="s">
        <v>17</v>
      </c>
      <c r="C264" s="43" t="s">
        <v>425</v>
      </c>
      <c r="D264" s="43" t="s">
        <v>1207</v>
      </c>
      <c r="E264" s="78">
        <v>175.11</v>
      </c>
      <c r="F264" s="3" t="s">
        <v>18</v>
      </c>
      <c r="G264" s="78"/>
      <c r="H264" s="20"/>
    </row>
    <row r="265" spans="1:8" ht="20.100000000000001" hidden="1" customHeight="1" outlineLevel="1" x14ac:dyDescent="0.25">
      <c r="A265" s="59" t="s">
        <v>426</v>
      </c>
      <c r="B265" s="3" t="s">
        <v>17</v>
      </c>
      <c r="C265" s="43" t="s">
        <v>427</v>
      </c>
      <c r="D265" s="43" t="s">
        <v>1208</v>
      </c>
      <c r="E265" s="78">
        <v>91.2</v>
      </c>
      <c r="F265" s="3" t="s">
        <v>18</v>
      </c>
      <c r="G265" s="78"/>
      <c r="H265" s="20"/>
    </row>
    <row r="266" spans="1:8" ht="20.100000000000001" hidden="1" customHeight="1" outlineLevel="1" x14ac:dyDescent="0.25">
      <c r="A266" s="52"/>
      <c r="B266" s="9"/>
      <c r="C266" s="44" t="s">
        <v>1210</v>
      </c>
      <c r="D266" s="44" t="s">
        <v>1210</v>
      </c>
      <c r="E266" s="78">
        <v>1</v>
      </c>
      <c r="F266" s="9"/>
      <c r="G266" s="79">
        <f>SUM(H259:H265)</f>
        <v>0</v>
      </c>
      <c r="H266" s="29">
        <f>ROUND(E266*G266,2)</f>
        <v>0</v>
      </c>
    </row>
    <row r="267" spans="1:8" ht="20.100000000000001" hidden="1" customHeight="1" outlineLevel="1" x14ac:dyDescent="0.25">
      <c r="A267" s="60"/>
      <c r="B267" s="12"/>
      <c r="C267" s="45"/>
      <c r="D267" s="45"/>
      <c r="E267" s="34"/>
      <c r="F267" s="12"/>
      <c r="G267" s="34"/>
      <c r="H267" s="30"/>
    </row>
    <row r="268" spans="1:8" ht="20.100000000000001" hidden="1" customHeight="1" outlineLevel="1" x14ac:dyDescent="0.25">
      <c r="A268" s="52"/>
      <c r="B268" s="9"/>
      <c r="C268" s="44" t="s">
        <v>428</v>
      </c>
      <c r="D268" s="44"/>
      <c r="E268" s="78">
        <v>1</v>
      </c>
      <c r="F268" s="9"/>
      <c r="G268" s="79">
        <f>H253+H258</f>
        <v>0</v>
      </c>
      <c r="H268" s="29">
        <f>ROUND(E268*G268,2)</f>
        <v>0</v>
      </c>
    </row>
    <row r="269" spans="1:8" ht="20.100000000000001" hidden="1" customHeight="1" outlineLevel="1" x14ac:dyDescent="0.25">
      <c r="A269" s="60"/>
      <c r="B269" s="12"/>
      <c r="C269" s="45"/>
      <c r="D269" s="45"/>
      <c r="E269" s="34"/>
      <c r="F269" s="12"/>
      <c r="G269" s="34"/>
      <c r="H269" s="30"/>
    </row>
    <row r="270" spans="1:8" ht="20.100000000000001" hidden="1" customHeight="1" outlineLevel="1" x14ac:dyDescent="0.25">
      <c r="A270" s="62" t="s">
        <v>429</v>
      </c>
      <c r="B270" s="7" t="s">
        <v>9</v>
      </c>
      <c r="C270" s="47" t="s">
        <v>430</v>
      </c>
      <c r="D270" s="47" t="s">
        <v>1211</v>
      </c>
      <c r="E270" s="81">
        <f>E282</f>
        <v>1</v>
      </c>
      <c r="F270" s="7" t="s">
        <v>65</v>
      </c>
      <c r="G270" s="81">
        <f>G282</f>
        <v>0</v>
      </c>
      <c r="H270" s="21">
        <f>H282</f>
        <v>0</v>
      </c>
    </row>
    <row r="271" spans="1:8" ht="20.100000000000001" hidden="1" customHeight="1" outlineLevel="1" x14ac:dyDescent="0.25">
      <c r="A271" s="63"/>
      <c r="B271" s="18" t="s">
        <v>9</v>
      </c>
      <c r="C271" s="48" t="s">
        <v>431</v>
      </c>
      <c r="D271" s="48" t="s">
        <v>1212</v>
      </c>
      <c r="E271" s="82">
        <f>E276</f>
        <v>1</v>
      </c>
      <c r="F271" s="18" t="s">
        <v>65</v>
      </c>
      <c r="G271" s="82">
        <f>G276</f>
        <v>0</v>
      </c>
      <c r="H271" s="32">
        <f>H276</f>
        <v>0</v>
      </c>
    </row>
    <row r="272" spans="1:8" ht="20.100000000000001" hidden="1" customHeight="1" outlineLevel="1" x14ac:dyDescent="0.25">
      <c r="A272" s="59" t="s">
        <v>432</v>
      </c>
      <c r="B272" s="3" t="s">
        <v>17</v>
      </c>
      <c r="C272" s="43" t="s">
        <v>434</v>
      </c>
      <c r="D272" s="43" t="s">
        <v>434</v>
      </c>
      <c r="E272" s="78">
        <v>1</v>
      </c>
      <c r="F272" s="3" t="s">
        <v>433</v>
      </c>
      <c r="G272" s="78"/>
      <c r="H272" s="20"/>
    </row>
    <row r="273" spans="1:8" ht="20.100000000000001" hidden="1" customHeight="1" outlineLevel="1" x14ac:dyDescent="0.25">
      <c r="A273" s="59" t="s">
        <v>435</v>
      </c>
      <c r="B273" s="3" t="s">
        <v>17</v>
      </c>
      <c r="C273" s="43" t="s">
        <v>436</v>
      </c>
      <c r="D273" s="43" t="s">
        <v>436</v>
      </c>
      <c r="E273" s="78">
        <v>1</v>
      </c>
      <c r="F273" s="3" t="s">
        <v>433</v>
      </c>
      <c r="G273" s="78"/>
      <c r="H273" s="20"/>
    </row>
    <row r="274" spans="1:8" ht="20.100000000000001" hidden="1" customHeight="1" outlineLevel="1" x14ac:dyDescent="0.25">
      <c r="A274" s="59" t="s">
        <v>437</v>
      </c>
      <c r="B274" s="3" t="s">
        <v>17</v>
      </c>
      <c r="C274" s="43" t="s">
        <v>438</v>
      </c>
      <c r="D274" s="43" t="s">
        <v>438</v>
      </c>
      <c r="E274" s="78">
        <v>1</v>
      </c>
      <c r="F274" s="3" t="s">
        <v>433</v>
      </c>
      <c r="G274" s="78"/>
      <c r="H274" s="20"/>
    </row>
    <row r="275" spans="1:8" ht="20.100000000000001" hidden="1" customHeight="1" outlineLevel="1" x14ac:dyDescent="0.25">
      <c r="A275" s="59" t="s">
        <v>439</v>
      </c>
      <c r="B275" s="3" t="s">
        <v>17</v>
      </c>
      <c r="C275" s="43" t="s">
        <v>440</v>
      </c>
      <c r="D275" s="43" t="s">
        <v>440</v>
      </c>
      <c r="E275" s="78">
        <v>1</v>
      </c>
      <c r="F275" s="3" t="s">
        <v>433</v>
      </c>
      <c r="G275" s="78"/>
      <c r="H275" s="20"/>
    </row>
    <row r="276" spans="1:8" ht="20.100000000000001" hidden="1" customHeight="1" outlineLevel="1" x14ac:dyDescent="0.25">
      <c r="A276" s="52"/>
      <c r="B276" s="9"/>
      <c r="C276" s="44" t="s">
        <v>1213</v>
      </c>
      <c r="D276" s="44" t="s">
        <v>1213</v>
      </c>
      <c r="E276" s="78">
        <v>1</v>
      </c>
      <c r="F276" s="9"/>
      <c r="G276" s="79">
        <f>SUM(H272:H275)</f>
        <v>0</v>
      </c>
      <c r="H276" s="29">
        <f>ROUND(E276*G276,2)</f>
        <v>0</v>
      </c>
    </row>
    <row r="277" spans="1:8" ht="20.100000000000001" hidden="1" customHeight="1" outlineLevel="1" x14ac:dyDescent="0.25">
      <c r="A277" s="60"/>
      <c r="B277" s="12"/>
      <c r="C277" s="45"/>
      <c r="D277" s="45"/>
      <c r="E277" s="34"/>
      <c r="F277" s="12"/>
      <c r="G277" s="34"/>
      <c r="H277" s="30"/>
    </row>
    <row r="278" spans="1:8" ht="20.100000000000001" hidden="1" customHeight="1" outlineLevel="1" x14ac:dyDescent="0.25">
      <c r="A278" s="63" t="s">
        <v>441</v>
      </c>
      <c r="B278" s="18" t="s">
        <v>9</v>
      </c>
      <c r="C278" s="48" t="s">
        <v>442</v>
      </c>
      <c r="D278" s="48" t="s">
        <v>1215</v>
      </c>
      <c r="E278" s="82">
        <f>E280</f>
        <v>1</v>
      </c>
      <c r="F278" s="18" t="s">
        <v>65</v>
      </c>
      <c r="G278" s="82">
        <f>G280</f>
        <v>0</v>
      </c>
      <c r="H278" s="32">
        <f>H280</f>
        <v>0</v>
      </c>
    </row>
    <row r="279" spans="1:8" ht="20.100000000000001" hidden="1" customHeight="1" outlineLevel="1" x14ac:dyDescent="0.25">
      <c r="A279" s="59" t="s">
        <v>443</v>
      </c>
      <c r="B279" s="3" t="s">
        <v>17</v>
      </c>
      <c r="C279" s="43" t="s">
        <v>444</v>
      </c>
      <c r="D279" s="43" t="s">
        <v>1214</v>
      </c>
      <c r="E279" s="78">
        <v>3.04</v>
      </c>
      <c r="F279" s="3" t="s">
        <v>35</v>
      </c>
      <c r="G279" s="78"/>
      <c r="H279" s="20"/>
    </row>
    <row r="280" spans="1:8" ht="20.100000000000001" hidden="1" customHeight="1" outlineLevel="1" x14ac:dyDescent="0.25">
      <c r="A280" s="52"/>
      <c r="B280" s="9"/>
      <c r="C280" s="44" t="s">
        <v>1216</v>
      </c>
      <c r="D280" s="44" t="s">
        <v>1216</v>
      </c>
      <c r="E280" s="78">
        <v>1</v>
      </c>
      <c r="F280" s="9"/>
      <c r="G280" s="79">
        <f>H279</f>
        <v>0</v>
      </c>
      <c r="H280" s="29">
        <f>ROUND(E280*G280,2)</f>
        <v>0</v>
      </c>
    </row>
    <row r="281" spans="1:8" ht="20.100000000000001" hidden="1" customHeight="1" outlineLevel="1" x14ac:dyDescent="0.25">
      <c r="A281" s="60"/>
      <c r="B281" s="12"/>
      <c r="C281" s="45"/>
      <c r="D281" s="45"/>
      <c r="E281" s="34"/>
      <c r="F281" s="12"/>
      <c r="G281" s="34"/>
      <c r="H281" s="30"/>
    </row>
    <row r="282" spans="1:8" ht="20.100000000000001" hidden="1" customHeight="1" outlineLevel="1" x14ac:dyDescent="0.25">
      <c r="A282" s="52"/>
      <c r="B282" s="9"/>
      <c r="C282" s="44" t="s">
        <v>445</v>
      </c>
      <c r="D282" s="44" t="s">
        <v>445</v>
      </c>
      <c r="E282" s="78">
        <v>1</v>
      </c>
      <c r="F282" s="9"/>
      <c r="G282" s="79">
        <f>H271+H278</f>
        <v>0</v>
      </c>
      <c r="H282" s="29">
        <f>ROUND(E282*G282,2)</f>
        <v>0</v>
      </c>
    </row>
    <row r="283" spans="1:8" ht="20.100000000000001" hidden="1" customHeight="1" outlineLevel="1" x14ac:dyDescent="0.25">
      <c r="A283" s="60"/>
      <c r="B283" s="12"/>
      <c r="C283" s="45"/>
      <c r="D283" s="45"/>
      <c r="E283" s="34"/>
      <c r="F283" s="12"/>
      <c r="G283" s="34"/>
      <c r="H283" s="30"/>
    </row>
    <row r="284" spans="1:8" ht="20.100000000000001" hidden="1" customHeight="1" outlineLevel="1" x14ac:dyDescent="0.25">
      <c r="A284" s="62" t="s">
        <v>446</v>
      </c>
      <c r="B284" s="7" t="s">
        <v>9</v>
      </c>
      <c r="C284" s="47" t="s">
        <v>447</v>
      </c>
      <c r="D284" s="47" t="s">
        <v>1217</v>
      </c>
      <c r="E284" s="81">
        <f>E301</f>
        <v>1</v>
      </c>
      <c r="F284" s="7" t="s">
        <v>65</v>
      </c>
      <c r="G284" s="81">
        <f>G301</f>
        <v>0</v>
      </c>
      <c r="H284" s="21">
        <f>H301</f>
        <v>0</v>
      </c>
    </row>
    <row r="285" spans="1:8" ht="20.100000000000001" hidden="1" customHeight="1" outlineLevel="1" x14ac:dyDescent="0.25">
      <c r="A285" s="63"/>
      <c r="B285" s="18" t="s">
        <v>9</v>
      </c>
      <c r="C285" s="48" t="s">
        <v>408</v>
      </c>
      <c r="D285" s="48" t="s">
        <v>1196</v>
      </c>
      <c r="E285" s="82">
        <f>E292</f>
        <v>1</v>
      </c>
      <c r="F285" s="18" t="s">
        <v>65</v>
      </c>
      <c r="G285" s="82">
        <f>G292</f>
        <v>0</v>
      </c>
      <c r="H285" s="32">
        <f>H292</f>
        <v>0</v>
      </c>
    </row>
    <row r="286" spans="1:8" ht="20.100000000000001" hidden="1" customHeight="1" outlineLevel="1" x14ac:dyDescent="0.25">
      <c r="A286" s="59" t="s">
        <v>448</v>
      </c>
      <c r="B286" s="3" t="s">
        <v>17</v>
      </c>
      <c r="C286" s="43" t="s">
        <v>449</v>
      </c>
      <c r="D286" s="91" t="s">
        <v>1220</v>
      </c>
      <c r="E286" s="78">
        <v>1148.1300000000001</v>
      </c>
      <c r="F286" s="3" t="s">
        <v>35</v>
      </c>
      <c r="G286" s="78"/>
      <c r="H286" s="20"/>
    </row>
    <row r="287" spans="1:8" ht="20.100000000000001" hidden="1" customHeight="1" outlineLevel="1" x14ac:dyDescent="0.25">
      <c r="A287" s="59" t="s">
        <v>450</v>
      </c>
      <c r="B287" s="3" t="s">
        <v>17</v>
      </c>
      <c r="C287" s="43" t="s">
        <v>451</v>
      </c>
      <c r="D287" s="91" t="s">
        <v>1219</v>
      </c>
      <c r="E287" s="78">
        <v>449.86</v>
      </c>
      <c r="F287" s="3" t="s">
        <v>35</v>
      </c>
      <c r="G287" s="78"/>
      <c r="H287" s="20"/>
    </row>
    <row r="288" spans="1:8" ht="20.100000000000001" hidden="1" customHeight="1" outlineLevel="1" x14ac:dyDescent="0.25">
      <c r="A288" s="59" t="s">
        <v>452</v>
      </c>
      <c r="B288" s="3" t="s">
        <v>17</v>
      </c>
      <c r="C288" s="43" t="s">
        <v>453</v>
      </c>
      <c r="D288" s="43" t="s">
        <v>1218</v>
      </c>
      <c r="E288" s="78">
        <v>529.69000000000005</v>
      </c>
      <c r="F288" s="3" t="s">
        <v>277</v>
      </c>
      <c r="G288" s="78"/>
      <c r="H288" s="20"/>
    </row>
    <row r="289" spans="1:8" ht="20.100000000000001" hidden="1" customHeight="1" outlineLevel="1" x14ac:dyDescent="0.25">
      <c r="A289" s="59" t="s">
        <v>454</v>
      </c>
      <c r="B289" s="3" t="s">
        <v>17</v>
      </c>
      <c r="C289" s="43" t="s">
        <v>455</v>
      </c>
      <c r="D289" s="43" t="s">
        <v>1223</v>
      </c>
      <c r="E289" s="78">
        <v>1087.1199999999999</v>
      </c>
      <c r="F289" s="3" t="s">
        <v>277</v>
      </c>
      <c r="G289" s="78"/>
      <c r="H289" s="20"/>
    </row>
    <row r="290" spans="1:8" ht="20.100000000000001" hidden="1" customHeight="1" outlineLevel="1" x14ac:dyDescent="0.25">
      <c r="A290" s="59" t="s">
        <v>456</v>
      </c>
      <c r="B290" s="3" t="s">
        <v>17</v>
      </c>
      <c r="C290" s="43" t="s">
        <v>457</v>
      </c>
      <c r="D290" s="43" t="s">
        <v>1221</v>
      </c>
      <c r="E290" s="78">
        <v>10</v>
      </c>
      <c r="F290" s="3" t="s">
        <v>10</v>
      </c>
      <c r="G290" s="78"/>
      <c r="H290" s="20"/>
    </row>
    <row r="291" spans="1:8" ht="20.100000000000001" hidden="1" customHeight="1" outlineLevel="1" x14ac:dyDescent="0.25">
      <c r="A291" s="59" t="s">
        <v>458</v>
      </c>
      <c r="B291" s="3" t="s">
        <v>17</v>
      </c>
      <c r="C291" s="43" t="s">
        <v>459</v>
      </c>
      <c r="D291" s="43" t="s">
        <v>1222</v>
      </c>
      <c r="E291" s="78">
        <v>248.19</v>
      </c>
      <c r="F291" s="3" t="s">
        <v>277</v>
      </c>
      <c r="G291" s="78"/>
      <c r="H291" s="20"/>
    </row>
    <row r="292" spans="1:8" ht="20.100000000000001" hidden="1" customHeight="1" outlineLevel="1" x14ac:dyDescent="0.25">
      <c r="A292" s="52"/>
      <c r="B292" s="9"/>
      <c r="C292" s="44" t="s">
        <v>1224</v>
      </c>
      <c r="D292" s="44" t="s">
        <v>1224</v>
      </c>
      <c r="E292" s="78">
        <v>1</v>
      </c>
      <c r="F292" s="9"/>
      <c r="G292" s="79">
        <f>SUM(H286:H291)</f>
        <v>0</v>
      </c>
      <c r="H292" s="29">
        <f>ROUND(E292*G292,2)</f>
        <v>0</v>
      </c>
    </row>
    <row r="293" spans="1:8" ht="20.100000000000001" hidden="1" customHeight="1" outlineLevel="1" x14ac:dyDescent="0.25">
      <c r="A293" s="60"/>
      <c r="B293" s="12"/>
      <c r="C293" s="45"/>
      <c r="D293" s="45"/>
      <c r="E293" s="34"/>
      <c r="F293" s="12"/>
      <c r="G293" s="34"/>
      <c r="H293" s="30"/>
    </row>
    <row r="294" spans="1:8" ht="20.100000000000001" hidden="1" customHeight="1" outlineLevel="1" x14ac:dyDescent="0.25">
      <c r="A294" s="63" t="s">
        <v>460</v>
      </c>
      <c r="B294" s="18" t="s">
        <v>9</v>
      </c>
      <c r="C294" s="48" t="s">
        <v>413</v>
      </c>
      <c r="D294" s="48" t="s">
        <v>1197</v>
      </c>
      <c r="E294" s="82">
        <f>E299</f>
        <v>1</v>
      </c>
      <c r="F294" s="18" t="s">
        <v>65</v>
      </c>
      <c r="G294" s="82">
        <f>G299</f>
        <v>0</v>
      </c>
      <c r="H294" s="32">
        <f>H299</f>
        <v>0</v>
      </c>
    </row>
    <row r="295" spans="1:8" ht="20.100000000000001" hidden="1" customHeight="1" outlineLevel="1" x14ac:dyDescent="0.25">
      <c r="A295" s="59" t="s">
        <v>461</v>
      </c>
      <c r="B295" s="3" t="s">
        <v>17</v>
      </c>
      <c r="C295" s="43" t="s">
        <v>462</v>
      </c>
      <c r="D295" s="43" t="s">
        <v>1226</v>
      </c>
      <c r="E295" s="78">
        <v>653.02</v>
      </c>
      <c r="F295" s="3" t="s">
        <v>35</v>
      </c>
      <c r="G295" s="78"/>
      <c r="H295" s="20"/>
    </row>
    <row r="296" spans="1:8" ht="20.100000000000001" hidden="1" customHeight="1" outlineLevel="1" x14ac:dyDescent="0.25">
      <c r="A296" s="59" t="s">
        <v>463</v>
      </c>
      <c r="B296" s="3" t="s">
        <v>17</v>
      </c>
      <c r="C296" s="43" t="s">
        <v>464</v>
      </c>
      <c r="D296" s="43" t="s">
        <v>1236</v>
      </c>
      <c r="E296" s="78">
        <v>215.64</v>
      </c>
      <c r="F296" s="3" t="s">
        <v>35</v>
      </c>
      <c r="G296" s="78"/>
      <c r="H296" s="20"/>
    </row>
    <row r="297" spans="1:8" ht="20.100000000000001" hidden="1" customHeight="1" outlineLevel="1" x14ac:dyDescent="0.25">
      <c r="A297" s="59" t="s">
        <v>465</v>
      </c>
      <c r="B297" s="3" t="s">
        <v>17</v>
      </c>
      <c r="C297" s="43" t="s">
        <v>466</v>
      </c>
      <c r="D297" s="91" t="s">
        <v>1228</v>
      </c>
      <c r="E297" s="78">
        <v>59.74</v>
      </c>
      <c r="F297" s="3" t="s">
        <v>277</v>
      </c>
      <c r="G297" s="78"/>
      <c r="H297" s="20"/>
    </row>
    <row r="298" spans="1:8" ht="20.100000000000001" hidden="1" customHeight="1" outlineLevel="1" x14ac:dyDescent="0.25">
      <c r="A298" s="59" t="s">
        <v>467</v>
      </c>
      <c r="B298" s="3" t="s">
        <v>17</v>
      </c>
      <c r="C298" s="43" t="s">
        <v>469</v>
      </c>
      <c r="D298" s="43" t="s">
        <v>1227</v>
      </c>
      <c r="E298" s="78">
        <v>282.87</v>
      </c>
      <c r="F298" s="3" t="s">
        <v>468</v>
      </c>
      <c r="G298" s="78"/>
      <c r="H298" s="20"/>
    </row>
    <row r="299" spans="1:8" ht="20.100000000000001" hidden="1" customHeight="1" outlineLevel="1" x14ac:dyDescent="0.25">
      <c r="A299" s="52"/>
      <c r="B299" s="9"/>
      <c r="C299" s="44" t="s">
        <v>1225</v>
      </c>
      <c r="D299" s="44" t="s">
        <v>1225</v>
      </c>
      <c r="E299" s="78">
        <v>1</v>
      </c>
      <c r="F299" s="9"/>
      <c r="G299" s="79">
        <f>SUM(H295:H298)</f>
        <v>0</v>
      </c>
      <c r="H299" s="29">
        <f>ROUND(E299*G299,2)</f>
        <v>0</v>
      </c>
    </row>
    <row r="300" spans="1:8" ht="20.100000000000001" hidden="1" customHeight="1" outlineLevel="1" x14ac:dyDescent="0.25">
      <c r="A300" s="60"/>
      <c r="B300" s="12"/>
      <c r="C300" s="45"/>
      <c r="D300" s="45"/>
      <c r="E300" s="34"/>
      <c r="F300" s="12"/>
      <c r="G300" s="34"/>
      <c r="H300" s="30"/>
    </row>
    <row r="301" spans="1:8" ht="20.100000000000001" hidden="1" customHeight="1" outlineLevel="1" x14ac:dyDescent="0.25">
      <c r="A301" s="52"/>
      <c r="B301" s="9"/>
      <c r="C301" s="44" t="s">
        <v>470</v>
      </c>
      <c r="D301" s="44" t="s">
        <v>470</v>
      </c>
      <c r="E301" s="78">
        <v>1</v>
      </c>
      <c r="F301" s="9"/>
      <c r="G301" s="79">
        <f>H285+H294</f>
        <v>0</v>
      </c>
      <c r="H301" s="29">
        <f>ROUND(E301*G301,2)</f>
        <v>0</v>
      </c>
    </row>
    <row r="302" spans="1:8" ht="20.100000000000001" hidden="1" customHeight="1" outlineLevel="1" x14ac:dyDescent="0.25">
      <c r="A302" s="60"/>
      <c r="B302" s="12"/>
      <c r="C302" s="45"/>
      <c r="D302" s="45"/>
      <c r="E302" s="34"/>
      <c r="F302" s="12"/>
      <c r="G302" s="34"/>
      <c r="H302" s="30"/>
    </row>
    <row r="303" spans="1:8" ht="20.100000000000001" hidden="1" customHeight="1" outlineLevel="1" x14ac:dyDescent="0.25">
      <c r="A303" s="62" t="s">
        <v>471</v>
      </c>
      <c r="B303" s="7" t="s">
        <v>9</v>
      </c>
      <c r="C303" s="47" t="s">
        <v>472</v>
      </c>
      <c r="D303" s="47" t="s">
        <v>1229</v>
      </c>
      <c r="E303" s="81">
        <f>E361</f>
        <v>1</v>
      </c>
      <c r="F303" s="7" t="s">
        <v>65</v>
      </c>
      <c r="G303" s="81">
        <f>G361</f>
        <v>0</v>
      </c>
      <c r="H303" s="21">
        <f>H361</f>
        <v>0</v>
      </c>
    </row>
    <row r="304" spans="1:8" ht="20.100000000000001" hidden="1" customHeight="1" outlineLevel="1" x14ac:dyDescent="0.25">
      <c r="A304" s="63"/>
      <c r="B304" s="18" t="s">
        <v>9</v>
      </c>
      <c r="C304" s="48" t="s">
        <v>473</v>
      </c>
      <c r="D304" s="48" t="s">
        <v>1230</v>
      </c>
      <c r="E304" s="82">
        <f>E315</f>
        <v>1</v>
      </c>
      <c r="F304" s="18" t="s">
        <v>65</v>
      </c>
      <c r="G304" s="82">
        <f>G315</f>
        <v>0</v>
      </c>
      <c r="H304" s="32">
        <f>H315</f>
        <v>0</v>
      </c>
    </row>
    <row r="305" spans="1:8" ht="20.100000000000001" hidden="1" customHeight="1" outlineLevel="1" x14ac:dyDescent="0.25">
      <c r="A305" s="59" t="s">
        <v>474</v>
      </c>
      <c r="B305" s="3" t="s">
        <v>17</v>
      </c>
      <c r="C305" s="43" t="s">
        <v>434</v>
      </c>
      <c r="D305" s="43" t="s">
        <v>1232</v>
      </c>
      <c r="E305" s="78">
        <v>22.32</v>
      </c>
      <c r="F305" s="3" t="s">
        <v>35</v>
      </c>
      <c r="G305" s="78"/>
      <c r="H305" s="20"/>
    </row>
    <row r="306" spans="1:8" ht="20.100000000000001" hidden="1" customHeight="1" outlineLevel="1" x14ac:dyDescent="0.25">
      <c r="A306" s="59" t="s">
        <v>475</v>
      </c>
      <c r="B306" s="3" t="s">
        <v>17</v>
      </c>
      <c r="C306" s="43" t="s">
        <v>476</v>
      </c>
      <c r="D306" s="43" t="s">
        <v>476</v>
      </c>
      <c r="E306" s="78">
        <v>7.64</v>
      </c>
      <c r="F306" s="3" t="s">
        <v>35</v>
      </c>
      <c r="G306" s="78"/>
      <c r="H306" s="20"/>
    </row>
    <row r="307" spans="1:8" ht="20.100000000000001" hidden="1" customHeight="1" outlineLevel="1" x14ac:dyDescent="0.25">
      <c r="A307" s="59" t="s">
        <v>477</v>
      </c>
      <c r="B307" s="3" t="s">
        <v>17</v>
      </c>
      <c r="C307" s="43" t="s">
        <v>438</v>
      </c>
      <c r="D307" s="43" t="s">
        <v>438</v>
      </c>
      <c r="E307" s="78">
        <v>27.83</v>
      </c>
      <c r="F307" s="3" t="s">
        <v>35</v>
      </c>
      <c r="G307" s="78"/>
      <c r="H307" s="20"/>
    </row>
    <row r="308" spans="1:8" ht="20.100000000000001" hidden="1" customHeight="1" outlineLevel="1" x14ac:dyDescent="0.25">
      <c r="A308" s="59" t="s">
        <v>478</v>
      </c>
      <c r="B308" s="3" t="s">
        <v>17</v>
      </c>
      <c r="C308" s="43" t="s">
        <v>479</v>
      </c>
      <c r="D308" s="43" t="s">
        <v>479</v>
      </c>
      <c r="E308" s="78">
        <v>7.96</v>
      </c>
      <c r="F308" s="3" t="s">
        <v>35</v>
      </c>
      <c r="G308" s="78"/>
      <c r="H308" s="20"/>
    </row>
    <row r="309" spans="1:8" ht="20.100000000000001" hidden="1" customHeight="1" outlineLevel="1" x14ac:dyDescent="0.25">
      <c r="A309" s="59" t="s">
        <v>480</v>
      </c>
      <c r="B309" s="3" t="s">
        <v>17</v>
      </c>
      <c r="C309" s="43" t="s">
        <v>481</v>
      </c>
      <c r="D309" s="43" t="s">
        <v>481</v>
      </c>
      <c r="E309" s="78">
        <v>6.4</v>
      </c>
      <c r="F309" s="3" t="s">
        <v>35</v>
      </c>
      <c r="G309" s="78"/>
      <c r="H309" s="20"/>
    </row>
    <row r="310" spans="1:8" ht="20.100000000000001" hidden="1" customHeight="1" outlineLevel="1" x14ac:dyDescent="0.25">
      <c r="A310" s="59" t="s">
        <v>482</v>
      </c>
      <c r="B310" s="3" t="s">
        <v>17</v>
      </c>
      <c r="C310" s="43" t="s">
        <v>440</v>
      </c>
      <c r="D310" s="43" t="s">
        <v>440</v>
      </c>
      <c r="E310" s="78">
        <v>19.09</v>
      </c>
      <c r="F310" s="3" t="s">
        <v>35</v>
      </c>
      <c r="G310" s="78"/>
      <c r="H310" s="20"/>
    </row>
    <row r="311" spans="1:8" ht="20.100000000000001" hidden="1" customHeight="1" outlineLevel="1" x14ac:dyDescent="0.25">
      <c r="A311" s="59" t="s">
        <v>483</v>
      </c>
      <c r="B311" s="3" t="s">
        <v>17</v>
      </c>
      <c r="C311" s="43" t="s">
        <v>484</v>
      </c>
      <c r="D311" s="43" t="s">
        <v>484</v>
      </c>
      <c r="E311" s="78">
        <v>7.25</v>
      </c>
      <c r="F311" s="3" t="s">
        <v>35</v>
      </c>
      <c r="G311" s="78"/>
      <c r="H311" s="20"/>
    </row>
    <row r="312" spans="1:8" ht="20.100000000000001" hidden="1" customHeight="1" outlineLevel="1" x14ac:dyDescent="0.25">
      <c r="A312" s="59" t="s">
        <v>485</v>
      </c>
      <c r="B312" s="3" t="s">
        <v>17</v>
      </c>
      <c r="C312" s="43" t="s">
        <v>486</v>
      </c>
      <c r="D312" s="43" t="s">
        <v>486</v>
      </c>
      <c r="E312" s="78">
        <v>29.4</v>
      </c>
      <c r="F312" s="3" t="s">
        <v>35</v>
      </c>
      <c r="G312" s="78"/>
      <c r="H312" s="20"/>
    </row>
    <row r="313" spans="1:8" ht="20.100000000000001" hidden="1" customHeight="1" outlineLevel="1" x14ac:dyDescent="0.25">
      <c r="A313" s="59" t="s">
        <v>487</v>
      </c>
      <c r="B313" s="3" t="s">
        <v>17</v>
      </c>
      <c r="C313" s="43" t="s">
        <v>488</v>
      </c>
      <c r="D313" s="43" t="s">
        <v>488</v>
      </c>
      <c r="E313" s="78">
        <v>48.57</v>
      </c>
      <c r="F313" s="3" t="s">
        <v>35</v>
      </c>
      <c r="G313" s="78"/>
      <c r="H313" s="20"/>
    </row>
    <row r="314" spans="1:8" ht="20.100000000000001" hidden="1" customHeight="1" outlineLevel="1" x14ac:dyDescent="0.25">
      <c r="A314" s="59" t="s">
        <v>489</v>
      </c>
      <c r="B314" s="3" t="s">
        <v>17</v>
      </c>
      <c r="C314" s="43" t="s">
        <v>490</v>
      </c>
      <c r="D314" s="43" t="s">
        <v>490</v>
      </c>
      <c r="E314" s="78">
        <v>29.38</v>
      </c>
      <c r="F314" s="3" t="s">
        <v>35</v>
      </c>
      <c r="G314" s="78"/>
      <c r="H314" s="20"/>
    </row>
    <row r="315" spans="1:8" ht="20.100000000000001" hidden="1" customHeight="1" outlineLevel="1" x14ac:dyDescent="0.25">
      <c r="A315" s="52"/>
      <c r="B315" s="9"/>
      <c r="C315" s="44" t="s">
        <v>1231</v>
      </c>
      <c r="D315" s="44" t="s">
        <v>1231</v>
      </c>
      <c r="E315" s="78">
        <v>1</v>
      </c>
      <c r="F315" s="9"/>
      <c r="G315" s="79">
        <f>SUM(H305:H314)</f>
        <v>0</v>
      </c>
      <c r="H315" s="29">
        <f>ROUND(E315*G315,2)</f>
        <v>0</v>
      </c>
    </row>
    <row r="316" spans="1:8" ht="20.100000000000001" hidden="1" customHeight="1" outlineLevel="1" x14ac:dyDescent="0.25">
      <c r="A316" s="60"/>
      <c r="B316" s="12"/>
      <c r="C316" s="45"/>
      <c r="D316" s="45"/>
      <c r="E316" s="34"/>
      <c r="F316" s="12"/>
      <c r="G316" s="34"/>
      <c r="H316" s="30"/>
    </row>
    <row r="317" spans="1:8" ht="20.100000000000001" hidden="1" customHeight="1" outlineLevel="1" x14ac:dyDescent="0.25">
      <c r="A317" s="63"/>
      <c r="B317" s="18" t="s">
        <v>9</v>
      </c>
      <c r="C317" s="48" t="s">
        <v>491</v>
      </c>
      <c r="D317" s="48" t="s">
        <v>1230</v>
      </c>
      <c r="E317" s="82">
        <f>E321</f>
        <v>1</v>
      </c>
      <c r="F317" s="18" t="s">
        <v>65</v>
      </c>
      <c r="G317" s="82">
        <f>G321</f>
        <v>0</v>
      </c>
      <c r="H317" s="32">
        <f>H321</f>
        <v>0</v>
      </c>
    </row>
    <row r="318" spans="1:8" ht="20.100000000000001" hidden="1" customHeight="1" outlineLevel="1" x14ac:dyDescent="0.25">
      <c r="A318" s="59" t="s">
        <v>492</v>
      </c>
      <c r="B318" s="3" t="s">
        <v>17</v>
      </c>
      <c r="C318" s="43" t="s">
        <v>493</v>
      </c>
      <c r="D318" s="43" t="s">
        <v>493</v>
      </c>
      <c r="E318" s="78">
        <v>109.94</v>
      </c>
      <c r="F318" s="3" t="s">
        <v>35</v>
      </c>
      <c r="G318" s="78"/>
      <c r="H318" s="20"/>
    </row>
    <row r="319" spans="1:8" ht="20.100000000000001" hidden="1" customHeight="1" outlineLevel="1" x14ac:dyDescent="0.25">
      <c r="A319" s="59" t="s">
        <v>494</v>
      </c>
      <c r="B319" s="3" t="s">
        <v>17</v>
      </c>
      <c r="C319" s="43" t="s">
        <v>495</v>
      </c>
      <c r="D319" s="43" t="s">
        <v>434</v>
      </c>
      <c r="E319" s="78">
        <v>24.11</v>
      </c>
      <c r="F319" s="3" t="s">
        <v>35</v>
      </c>
      <c r="G319" s="78"/>
      <c r="H319" s="20"/>
    </row>
    <row r="320" spans="1:8" ht="20.100000000000001" hidden="1" customHeight="1" outlineLevel="1" x14ac:dyDescent="0.25">
      <c r="A320" s="59" t="s">
        <v>496</v>
      </c>
      <c r="B320" s="3" t="s">
        <v>17</v>
      </c>
      <c r="C320" s="43" t="s">
        <v>497</v>
      </c>
      <c r="D320" s="43" t="s">
        <v>1317</v>
      </c>
      <c r="E320" s="78">
        <v>69.739999999999995</v>
      </c>
      <c r="F320" s="3" t="s">
        <v>35</v>
      </c>
      <c r="G320" s="78"/>
      <c r="H320" s="20"/>
    </row>
    <row r="321" spans="1:8" ht="20.100000000000001" hidden="1" customHeight="1" outlineLevel="1" x14ac:dyDescent="0.25">
      <c r="A321" s="52"/>
      <c r="B321" s="9"/>
      <c r="C321" s="44" t="s">
        <v>1239</v>
      </c>
      <c r="D321" s="44" t="s">
        <v>1239</v>
      </c>
      <c r="E321" s="78">
        <v>1</v>
      </c>
      <c r="F321" s="9"/>
      <c r="G321" s="79">
        <f>SUM(H318:H320)</f>
        <v>0</v>
      </c>
      <c r="H321" s="29">
        <f>ROUND(E321*G321,2)</f>
        <v>0</v>
      </c>
    </row>
    <row r="322" spans="1:8" ht="20.100000000000001" hidden="1" customHeight="1" outlineLevel="1" x14ac:dyDescent="0.25">
      <c r="A322" s="60"/>
      <c r="B322" s="12"/>
      <c r="C322" s="45"/>
      <c r="D322" s="45"/>
      <c r="E322" s="34"/>
      <c r="F322" s="12"/>
      <c r="G322" s="34"/>
      <c r="H322" s="30"/>
    </row>
    <row r="323" spans="1:8" ht="39.950000000000003" hidden="1" customHeight="1" outlineLevel="1" x14ac:dyDescent="0.25">
      <c r="A323" s="63"/>
      <c r="B323" s="18" t="s">
        <v>9</v>
      </c>
      <c r="C323" s="48" t="s">
        <v>498</v>
      </c>
      <c r="D323" s="48" t="s">
        <v>1238</v>
      </c>
      <c r="E323" s="82">
        <f>E326</f>
        <v>1</v>
      </c>
      <c r="F323" s="18" t="s">
        <v>65</v>
      </c>
      <c r="G323" s="82">
        <f>G326</f>
        <v>0</v>
      </c>
      <c r="H323" s="32">
        <f>H326</f>
        <v>0</v>
      </c>
    </row>
    <row r="324" spans="1:8" ht="20.100000000000001" hidden="1" customHeight="1" outlineLevel="1" x14ac:dyDescent="0.25">
      <c r="A324" s="59" t="s">
        <v>499</v>
      </c>
      <c r="B324" s="3" t="s">
        <v>17</v>
      </c>
      <c r="C324" s="43" t="s">
        <v>500</v>
      </c>
      <c r="D324" s="43" t="s">
        <v>500</v>
      </c>
      <c r="E324" s="78">
        <v>25.76</v>
      </c>
      <c r="F324" s="3" t="s">
        <v>35</v>
      </c>
      <c r="G324" s="78"/>
      <c r="H324" s="20"/>
    </row>
    <row r="325" spans="1:8" ht="20.100000000000001" hidden="1" customHeight="1" outlineLevel="1" x14ac:dyDescent="0.25">
      <c r="A325" s="59" t="s">
        <v>501</v>
      </c>
      <c r="B325" s="3" t="s">
        <v>17</v>
      </c>
      <c r="C325" s="43" t="s">
        <v>502</v>
      </c>
      <c r="D325" s="43" t="s">
        <v>502</v>
      </c>
      <c r="E325" s="78">
        <v>13.44</v>
      </c>
      <c r="F325" s="3" t="s">
        <v>35</v>
      </c>
      <c r="G325" s="78"/>
      <c r="H325" s="20"/>
    </row>
    <row r="326" spans="1:8" ht="20.100000000000001" hidden="1" customHeight="1" outlineLevel="1" x14ac:dyDescent="0.25">
      <c r="A326" s="52"/>
      <c r="B326" s="9"/>
      <c r="C326" s="44" t="s">
        <v>1240</v>
      </c>
      <c r="D326" s="44" t="s">
        <v>1240</v>
      </c>
      <c r="E326" s="78">
        <v>1</v>
      </c>
      <c r="F326" s="9"/>
      <c r="G326" s="79">
        <f>SUM(H324:H325)</f>
        <v>0</v>
      </c>
      <c r="H326" s="29">
        <f>ROUND(E326*G326,2)</f>
        <v>0</v>
      </c>
    </row>
    <row r="327" spans="1:8" ht="20.100000000000001" hidden="1" customHeight="1" outlineLevel="1" x14ac:dyDescent="0.25">
      <c r="A327" s="60"/>
      <c r="B327" s="12"/>
      <c r="C327" s="45"/>
      <c r="D327" s="45"/>
      <c r="E327" s="34"/>
      <c r="F327" s="12"/>
      <c r="G327" s="34"/>
      <c r="H327" s="30"/>
    </row>
    <row r="328" spans="1:8" ht="20.100000000000001" hidden="1" customHeight="1" outlineLevel="1" x14ac:dyDescent="0.25">
      <c r="A328" s="63"/>
      <c r="B328" s="18" t="s">
        <v>9</v>
      </c>
      <c r="C328" s="48" t="s">
        <v>503</v>
      </c>
      <c r="D328" s="48" t="s">
        <v>1241</v>
      </c>
      <c r="E328" s="82">
        <f>E337</f>
        <v>1</v>
      </c>
      <c r="F328" s="18" t="s">
        <v>65</v>
      </c>
      <c r="G328" s="82">
        <f>G337</f>
        <v>0</v>
      </c>
      <c r="H328" s="32">
        <f>H337</f>
        <v>0</v>
      </c>
    </row>
    <row r="329" spans="1:8" ht="20.100000000000001" hidden="1" customHeight="1" outlineLevel="1" x14ac:dyDescent="0.25">
      <c r="A329" s="59" t="s">
        <v>504</v>
      </c>
      <c r="B329" s="3" t="s">
        <v>17</v>
      </c>
      <c r="C329" s="43" t="s">
        <v>505</v>
      </c>
      <c r="D329" s="43" t="s">
        <v>505</v>
      </c>
      <c r="E329" s="78">
        <v>7.84</v>
      </c>
      <c r="F329" s="3" t="s">
        <v>35</v>
      </c>
      <c r="G329" s="78"/>
      <c r="H329" s="20"/>
    </row>
    <row r="330" spans="1:8" ht="20.100000000000001" hidden="1" customHeight="1" outlineLevel="1" x14ac:dyDescent="0.25">
      <c r="A330" s="59" t="s">
        <v>506</v>
      </c>
      <c r="B330" s="3" t="s">
        <v>17</v>
      </c>
      <c r="C330" s="43" t="s">
        <v>507</v>
      </c>
      <c r="D330" s="43" t="s">
        <v>507</v>
      </c>
      <c r="E330" s="78">
        <v>3.56</v>
      </c>
      <c r="F330" s="3" t="s">
        <v>35</v>
      </c>
      <c r="G330" s="78"/>
      <c r="H330" s="20"/>
    </row>
    <row r="331" spans="1:8" ht="20.100000000000001" hidden="1" customHeight="1" outlineLevel="1" x14ac:dyDescent="0.25">
      <c r="A331" s="59" t="s">
        <v>508</v>
      </c>
      <c r="B331" s="3" t="s">
        <v>17</v>
      </c>
      <c r="C331" s="43" t="s">
        <v>509</v>
      </c>
      <c r="D331" s="43" t="s">
        <v>509</v>
      </c>
      <c r="E331" s="78">
        <v>2.7</v>
      </c>
      <c r="F331" s="3" t="s">
        <v>35</v>
      </c>
      <c r="G331" s="78"/>
      <c r="H331" s="20"/>
    </row>
    <row r="332" spans="1:8" ht="20.100000000000001" hidden="1" customHeight="1" outlineLevel="1" x14ac:dyDescent="0.25">
      <c r="A332" s="59" t="s">
        <v>510</v>
      </c>
      <c r="B332" s="3" t="s">
        <v>17</v>
      </c>
      <c r="C332" s="43" t="s">
        <v>511</v>
      </c>
      <c r="D332" s="43" t="s">
        <v>511</v>
      </c>
      <c r="E332" s="78">
        <v>16.850000000000001</v>
      </c>
      <c r="F332" s="3" t="s">
        <v>35</v>
      </c>
      <c r="G332" s="78"/>
      <c r="H332" s="20"/>
    </row>
    <row r="333" spans="1:8" ht="20.100000000000001" hidden="1" customHeight="1" outlineLevel="1" x14ac:dyDescent="0.25">
      <c r="A333" s="59" t="s">
        <v>512</v>
      </c>
      <c r="B333" s="3" t="s">
        <v>17</v>
      </c>
      <c r="C333" s="43" t="s">
        <v>513</v>
      </c>
      <c r="D333" s="43" t="s">
        <v>513</v>
      </c>
      <c r="E333" s="78">
        <v>7.82</v>
      </c>
      <c r="F333" s="3" t="s">
        <v>35</v>
      </c>
      <c r="G333" s="78"/>
      <c r="H333" s="20"/>
    </row>
    <row r="334" spans="1:8" ht="20.100000000000001" hidden="1" customHeight="1" outlineLevel="1" x14ac:dyDescent="0.25">
      <c r="A334" s="59" t="s">
        <v>514</v>
      </c>
      <c r="B334" s="3" t="s">
        <v>17</v>
      </c>
      <c r="C334" s="43" t="s">
        <v>515</v>
      </c>
      <c r="D334" s="43" t="s">
        <v>515</v>
      </c>
      <c r="E334" s="78">
        <v>3.55</v>
      </c>
      <c r="F334" s="3" t="s">
        <v>35</v>
      </c>
      <c r="G334" s="78"/>
      <c r="H334" s="20"/>
    </row>
    <row r="335" spans="1:8" ht="20.100000000000001" hidden="1" customHeight="1" outlineLevel="1" x14ac:dyDescent="0.25">
      <c r="A335" s="59" t="s">
        <v>516</v>
      </c>
      <c r="B335" s="3" t="s">
        <v>17</v>
      </c>
      <c r="C335" s="43" t="s">
        <v>517</v>
      </c>
      <c r="D335" s="43" t="s">
        <v>517</v>
      </c>
      <c r="E335" s="78">
        <v>9.61</v>
      </c>
      <c r="F335" s="3" t="s">
        <v>35</v>
      </c>
      <c r="G335" s="78"/>
      <c r="H335" s="20"/>
    </row>
    <row r="336" spans="1:8" ht="20.100000000000001" hidden="1" customHeight="1" outlineLevel="1" x14ac:dyDescent="0.25">
      <c r="A336" s="59" t="s">
        <v>518</v>
      </c>
      <c r="B336" s="3" t="s">
        <v>17</v>
      </c>
      <c r="C336" s="43" t="s">
        <v>519</v>
      </c>
      <c r="D336" s="43" t="s">
        <v>519</v>
      </c>
      <c r="E336" s="78">
        <v>13.87</v>
      </c>
      <c r="F336" s="3" t="s">
        <v>35</v>
      </c>
      <c r="G336" s="78"/>
      <c r="H336" s="20"/>
    </row>
    <row r="337" spans="1:8" ht="20.100000000000001" hidden="1" customHeight="1" outlineLevel="1" x14ac:dyDescent="0.25">
      <c r="A337" s="52"/>
      <c r="B337" s="9"/>
      <c r="C337" s="44" t="s">
        <v>1242</v>
      </c>
      <c r="D337" s="44" t="s">
        <v>1242</v>
      </c>
      <c r="E337" s="78">
        <v>1</v>
      </c>
      <c r="F337" s="9"/>
      <c r="G337" s="79">
        <f>SUM(H329:H336)</f>
        <v>0</v>
      </c>
      <c r="H337" s="29">
        <f>ROUND(E337*G337,2)</f>
        <v>0</v>
      </c>
    </row>
    <row r="338" spans="1:8" ht="20.100000000000001" hidden="1" customHeight="1" outlineLevel="1" x14ac:dyDescent="0.25">
      <c r="A338" s="60"/>
      <c r="B338" s="12"/>
      <c r="C338" s="45"/>
      <c r="D338" s="45"/>
      <c r="E338" s="34"/>
      <c r="F338" s="12"/>
      <c r="G338" s="34"/>
      <c r="H338" s="30"/>
    </row>
    <row r="339" spans="1:8" ht="20.100000000000001" hidden="1" customHeight="1" outlineLevel="1" x14ac:dyDescent="0.25">
      <c r="A339" s="63"/>
      <c r="B339" s="18" t="s">
        <v>9</v>
      </c>
      <c r="C339" s="48" t="s">
        <v>520</v>
      </c>
      <c r="D339" s="48" t="s">
        <v>1244</v>
      </c>
      <c r="E339" s="82">
        <f>E341</f>
        <v>1</v>
      </c>
      <c r="F339" s="18" t="s">
        <v>65</v>
      </c>
      <c r="G339" s="82">
        <f>G341</f>
        <v>0</v>
      </c>
      <c r="H339" s="32">
        <f>H341</f>
        <v>0</v>
      </c>
    </row>
    <row r="340" spans="1:8" ht="20.100000000000001" hidden="1" customHeight="1" outlineLevel="1" x14ac:dyDescent="0.25">
      <c r="A340" s="59" t="s">
        <v>521</v>
      </c>
      <c r="B340" s="3" t="s">
        <v>17</v>
      </c>
      <c r="C340" s="43" t="s">
        <v>436</v>
      </c>
      <c r="D340" s="43" t="s">
        <v>436</v>
      </c>
      <c r="E340" s="78">
        <v>46.94</v>
      </c>
      <c r="F340" s="3" t="s">
        <v>35</v>
      </c>
      <c r="G340" s="78"/>
      <c r="H340" s="20"/>
    </row>
    <row r="341" spans="1:8" ht="20.100000000000001" hidden="1" customHeight="1" outlineLevel="1" x14ac:dyDescent="0.25">
      <c r="A341" s="52"/>
      <c r="B341" s="9"/>
      <c r="C341" s="44" t="s">
        <v>1243</v>
      </c>
      <c r="D341" s="44" t="s">
        <v>1243</v>
      </c>
      <c r="E341" s="78">
        <v>1</v>
      </c>
      <c r="F341" s="9"/>
      <c r="G341" s="79">
        <f>H340</f>
        <v>0</v>
      </c>
      <c r="H341" s="29">
        <f>ROUND(E341*G341,2)</f>
        <v>0</v>
      </c>
    </row>
    <row r="342" spans="1:8" ht="20.100000000000001" hidden="1" customHeight="1" outlineLevel="1" x14ac:dyDescent="0.25">
      <c r="A342" s="60"/>
      <c r="B342" s="12"/>
      <c r="C342" s="45"/>
      <c r="D342" s="45"/>
      <c r="E342" s="34"/>
      <c r="F342" s="12"/>
      <c r="G342" s="34"/>
      <c r="H342" s="30"/>
    </row>
    <row r="343" spans="1:8" ht="20.100000000000001" hidden="1" customHeight="1" outlineLevel="1" x14ac:dyDescent="0.25">
      <c r="A343" s="63" t="s">
        <v>522</v>
      </c>
      <c r="B343" s="18" t="s">
        <v>9</v>
      </c>
      <c r="C343" s="48" t="s">
        <v>523</v>
      </c>
      <c r="D343" s="48" t="s">
        <v>1245</v>
      </c>
      <c r="E343" s="82">
        <f>E345</f>
        <v>1</v>
      </c>
      <c r="F343" s="18" t="s">
        <v>65</v>
      </c>
      <c r="G343" s="82">
        <f>G345</f>
        <v>0</v>
      </c>
      <c r="H343" s="32">
        <f>H345</f>
        <v>0</v>
      </c>
    </row>
    <row r="344" spans="1:8" ht="20.100000000000001" hidden="1" customHeight="1" outlineLevel="1" x14ac:dyDescent="0.25">
      <c r="A344" s="59" t="s">
        <v>524</v>
      </c>
      <c r="B344" s="3" t="s">
        <v>17</v>
      </c>
      <c r="C344" s="43" t="s">
        <v>525</v>
      </c>
      <c r="D344" s="43" t="s">
        <v>1246</v>
      </c>
      <c r="E344" s="78">
        <v>39.53</v>
      </c>
      <c r="F344" s="3" t="s">
        <v>18</v>
      </c>
      <c r="G344" s="78"/>
      <c r="H344" s="20"/>
    </row>
    <row r="345" spans="1:8" ht="20.100000000000001" hidden="1" customHeight="1" outlineLevel="1" x14ac:dyDescent="0.25">
      <c r="A345" s="52"/>
      <c r="B345" s="9"/>
      <c r="C345" s="44" t="s">
        <v>1235</v>
      </c>
      <c r="D345" s="44" t="s">
        <v>1235</v>
      </c>
      <c r="E345" s="78">
        <v>1</v>
      </c>
      <c r="F345" s="9"/>
      <c r="G345" s="79">
        <f>H344</f>
        <v>0</v>
      </c>
      <c r="H345" s="29">
        <f>ROUND(E345*G345,2)</f>
        <v>0</v>
      </c>
    </row>
    <row r="346" spans="1:8" ht="20.100000000000001" hidden="1" customHeight="1" outlineLevel="1" x14ac:dyDescent="0.25">
      <c r="A346" s="60"/>
      <c r="B346" s="12"/>
      <c r="C346" s="45"/>
      <c r="D346" s="45"/>
      <c r="E346" s="34"/>
      <c r="F346" s="12"/>
      <c r="G346" s="34"/>
      <c r="H346" s="30"/>
    </row>
    <row r="347" spans="1:8" ht="20.100000000000001" hidden="1" customHeight="1" outlineLevel="1" x14ac:dyDescent="0.25">
      <c r="A347" s="63"/>
      <c r="B347" s="18" t="s">
        <v>9</v>
      </c>
      <c r="C347" s="48" t="s">
        <v>526</v>
      </c>
      <c r="D347" s="48" t="s">
        <v>1247</v>
      </c>
      <c r="E347" s="82">
        <f>E352</f>
        <v>1</v>
      </c>
      <c r="F347" s="18" t="s">
        <v>65</v>
      </c>
      <c r="G347" s="82">
        <f>G352</f>
        <v>0</v>
      </c>
      <c r="H347" s="32">
        <f>H352</f>
        <v>0</v>
      </c>
    </row>
    <row r="348" spans="1:8" ht="20.100000000000001" hidden="1" customHeight="1" outlineLevel="1" x14ac:dyDescent="0.25">
      <c r="A348" s="59" t="s">
        <v>527</v>
      </c>
      <c r="B348" s="3" t="s">
        <v>17</v>
      </c>
      <c r="C348" s="43" t="s">
        <v>528</v>
      </c>
      <c r="D348" s="43" t="s">
        <v>1267</v>
      </c>
      <c r="E348" s="78">
        <v>19.739999999999998</v>
      </c>
      <c r="F348" s="3" t="s">
        <v>277</v>
      </c>
      <c r="G348" s="78"/>
      <c r="H348" s="20"/>
    </row>
    <row r="349" spans="1:8" ht="20.100000000000001" hidden="1" customHeight="1" outlineLevel="1" x14ac:dyDescent="0.25">
      <c r="A349" s="59" t="s">
        <v>529</v>
      </c>
      <c r="B349" s="3" t="s">
        <v>17</v>
      </c>
      <c r="C349" s="43" t="s">
        <v>530</v>
      </c>
      <c r="D349" s="43" t="s">
        <v>1268</v>
      </c>
      <c r="E349" s="78">
        <v>141.07</v>
      </c>
      <c r="F349" s="3" t="s">
        <v>277</v>
      </c>
      <c r="G349" s="78"/>
      <c r="H349" s="20"/>
    </row>
    <row r="350" spans="1:8" ht="20.100000000000001" hidden="1" customHeight="1" outlineLevel="1" x14ac:dyDescent="0.25">
      <c r="A350" s="59" t="s">
        <v>531</v>
      </c>
      <c r="B350" s="3" t="s">
        <v>17</v>
      </c>
      <c r="C350" s="43" t="s">
        <v>532</v>
      </c>
      <c r="D350" s="43" t="s">
        <v>1269</v>
      </c>
      <c r="E350" s="78">
        <v>50.37</v>
      </c>
      <c r="F350" s="3" t="s">
        <v>277</v>
      </c>
      <c r="G350" s="78"/>
      <c r="H350" s="20"/>
    </row>
    <row r="351" spans="1:8" ht="20.100000000000001" hidden="1" customHeight="1" outlineLevel="1" x14ac:dyDescent="0.25">
      <c r="A351" s="59" t="s">
        <v>533</v>
      </c>
      <c r="B351" s="3" t="s">
        <v>17</v>
      </c>
      <c r="C351" s="43" t="s">
        <v>534</v>
      </c>
      <c r="D351" s="43" t="s">
        <v>1248</v>
      </c>
      <c r="E351" s="78">
        <v>63.28</v>
      </c>
      <c r="F351" s="3" t="s">
        <v>277</v>
      </c>
      <c r="G351" s="78"/>
      <c r="H351" s="20"/>
    </row>
    <row r="352" spans="1:8" ht="20.100000000000001" hidden="1" customHeight="1" outlineLevel="1" x14ac:dyDescent="0.25">
      <c r="A352" s="52"/>
      <c r="B352" s="9"/>
      <c r="C352" s="44" t="s">
        <v>1234</v>
      </c>
      <c r="D352" s="44" t="s">
        <v>1234</v>
      </c>
      <c r="E352" s="78">
        <v>1</v>
      </c>
      <c r="F352" s="9"/>
      <c r="G352" s="79">
        <f>SUM(H348:H351)</f>
        <v>0</v>
      </c>
      <c r="H352" s="29">
        <f>ROUND(E352*G352,2)</f>
        <v>0</v>
      </c>
    </row>
    <row r="353" spans="1:8" ht="20.100000000000001" hidden="1" customHeight="1" outlineLevel="1" x14ac:dyDescent="0.25">
      <c r="A353" s="60"/>
      <c r="B353" s="12"/>
      <c r="C353" s="45"/>
      <c r="D353" s="45"/>
      <c r="E353" s="34"/>
      <c r="F353" s="12"/>
      <c r="G353" s="34"/>
      <c r="H353" s="30"/>
    </row>
    <row r="354" spans="1:8" ht="20.100000000000001" hidden="1" customHeight="1" outlineLevel="1" x14ac:dyDescent="0.25">
      <c r="A354" s="63" t="s">
        <v>535</v>
      </c>
      <c r="B354" s="18" t="s">
        <v>9</v>
      </c>
      <c r="C354" s="48" t="s">
        <v>536</v>
      </c>
      <c r="D354" s="48" t="s">
        <v>1249</v>
      </c>
      <c r="E354" s="82">
        <f>E359</f>
        <v>1</v>
      </c>
      <c r="F354" s="18" t="s">
        <v>65</v>
      </c>
      <c r="G354" s="82">
        <f>G359</f>
        <v>0</v>
      </c>
      <c r="H354" s="32">
        <f>H359</f>
        <v>0</v>
      </c>
    </row>
    <row r="355" spans="1:8" ht="20.100000000000001" hidden="1" customHeight="1" outlineLevel="1" x14ac:dyDescent="0.25">
      <c r="A355" s="59" t="s">
        <v>537</v>
      </c>
      <c r="B355" s="3" t="s">
        <v>17</v>
      </c>
      <c r="C355" s="43" t="s">
        <v>538</v>
      </c>
      <c r="D355" s="43" t="s">
        <v>1250</v>
      </c>
      <c r="E355" s="78">
        <v>54.54</v>
      </c>
      <c r="F355" s="3" t="s">
        <v>277</v>
      </c>
      <c r="G355" s="78"/>
      <c r="H355" s="20"/>
    </row>
    <row r="356" spans="1:8" ht="20.100000000000001" hidden="1" customHeight="1" outlineLevel="1" x14ac:dyDescent="0.25">
      <c r="A356" s="59" t="s">
        <v>539</v>
      </c>
      <c r="B356" s="3" t="s">
        <v>17</v>
      </c>
      <c r="C356" s="43" t="s">
        <v>540</v>
      </c>
      <c r="D356" s="43" t="s">
        <v>1251</v>
      </c>
      <c r="E356" s="78">
        <v>7.05</v>
      </c>
      <c r="F356" s="3" t="s">
        <v>277</v>
      </c>
      <c r="G356" s="78"/>
      <c r="H356" s="20"/>
    </row>
    <row r="357" spans="1:8" ht="20.100000000000001" hidden="1" customHeight="1" outlineLevel="1" x14ac:dyDescent="0.25">
      <c r="A357" s="59" t="s">
        <v>541</v>
      </c>
      <c r="B357" s="3" t="s">
        <v>17</v>
      </c>
      <c r="C357" s="43" t="s">
        <v>542</v>
      </c>
      <c r="D357" s="43" t="s">
        <v>1252</v>
      </c>
      <c r="E357" s="78">
        <v>8.15</v>
      </c>
      <c r="F357" s="3" t="s">
        <v>277</v>
      </c>
      <c r="G357" s="78"/>
      <c r="H357" s="20"/>
    </row>
    <row r="358" spans="1:8" ht="20.100000000000001" hidden="1" customHeight="1" outlineLevel="1" x14ac:dyDescent="0.25">
      <c r="A358" s="59" t="s">
        <v>543</v>
      </c>
      <c r="B358" s="3" t="s">
        <v>17</v>
      </c>
      <c r="C358" s="43" t="s">
        <v>544</v>
      </c>
      <c r="D358" s="43" t="s">
        <v>1253</v>
      </c>
      <c r="E358" s="78">
        <v>81.22</v>
      </c>
      <c r="F358" s="3" t="s">
        <v>277</v>
      </c>
      <c r="G358" s="78"/>
      <c r="H358" s="20"/>
    </row>
    <row r="359" spans="1:8" ht="20.100000000000001" hidden="1" customHeight="1" outlineLevel="1" x14ac:dyDescent="0.25">
      <c r="A359" s="52"/>
      <c r="B359" s="9"/>
      <c r="C359" s="44" t="s">
        <v>1233</v>
      </c>
      <c r="D359" s="44" t="s">
        <v>1233</v>
      </c>
      <c r="E359" s="78">
        <v>1</v>
      </c>
      <c r="F359" s="9"/>
      <c r="G359" s="79">
        <f>SUM(H355:H358)</f>
        <v>0</v>
      </c>
      <c r="H359" s="29">
        <f>ROUND(E359*G359,2)</f>
        <v>0</v>
      </c>
    </row>
    <row r="360" spans="1:8" ht="20.100000000000001" hidden="1" customHeight="1" outlineLevel="1" x14ac:dyDescent="0.25">
      <c r="A360" s="60"/>
      <c r="B360" s="12"/>
      <c r="C360" s="45"/>
      <c r="D360" s="45"/>
      <c r="E360" s="34"/>
      <c r="F360" s="12"/>
      <c r="G360" s="34"/>
      <c r="H360" s="30"/>
    </row>
    <row r="361" spans="1:8" ht="20.100000000000001" hidden="1" customHeight="1" outlineLevel="1" x14ac:dyDescent="0.25">
      <c r="A361" s="52"/>
      <c r="B361" s="9"/>
      <c r="C361" s="44" t="s">
        <v>545</v>
      </c>
      <c r="D361" s="44" t="s">
        <v>545</v>
      </c>
      <c r="E361" s="78">
        <v>1</v>
      </c>
      <c r="F361" s="9"/>
      <c r="G361" s="79">
        <f>H304+H317+H323+H328+H339+H343+H347+H354</f>
        <v>0</v>
      </c>
      <c r="H361" s="29">
        <f>ROUND(E361*G361,2)</f>
        <v>0</v>
      </c>
    </row>
    <row r="362" spans="1:8" ht="20.100000000000001" hidden="1" customHeight="1" outlineLevel="1" x14ac:dyDescent="0.25">
      <c r="A362" s="60"/>
      <c r="B362" s="12"/>
      <c r="C362" s="45"/>
      <c r="D362" s="45"/>
      <c r="E362" s="34"/>
      <c r="F362" s="12"/>
      <c r="G362" s="34"/>
      <c r="H362" s="30"/>
    </row>
    <row r="363" spans="1:8" ht="20.100000000000001" hidden="1" customHeight="1" outlineLevel="1" x14ac:dyDescent="0.25">
      <c r="A363" s="62" t="s">
        <v>546</v>
      </c>
      <c r="B363" s="7" t="s">
        <v>9</v>
      </c>
      <c r="C363" s="47" t="s">
        <v>547</v>
      </c>
      <c r="D363" s="47" t="s">
        <v>1254</v>
      </c>
      <c r="E363" s="81">
        <f>E372</f>
        <v>1</v>
      </c>
      <c r="F363" s="7" t="s">
        <v>65</v>
      </c>
      <c r="G363" s="81">
        <f>G372</f>
        <v>0</v>
      </c>
      <c r="H363" s="21">
        <f>H372</f>
        <v>0</v>
      </c>
    </row>
    <row r="364" spans="1:8" ht="20.100000000000001" hidden="1" customHeight="1" outlineLevel="1" x14ac:dyDescent="0.25">
      <c r="A364" s="63"/>
      <c r="B364" s="18" t="s">
        <v>9</v>
      </c>
      <c r="C364" s="48" t="s">
        <v>548</v>
      </c>
      <c r="D364" s="48" t="s">
        <v>1256</v>
      </c>
      <c r="E364" s="82">
        <f>E366</f>
        <v>1</v>
      </c>
      <c r="F364" s="18" t="s">
        <v>65</v>
      </c>
      <c r="G364" s="82">
        <f>G366</f>
        <v>0</v>
      </c>
      <c r="H364" s="32">
        <f>H366</f>
        <v>0</v>
      </c>
    </row>
    <row r="365" spans="1:8" ht="20.100000000000001" hidden="1" customHeight="1" outlineLevel="1" x14ac:dyDescent="0.25">
      <c r="A365" s="59" t="s">
        <v>549</v>
      </c>
      <c r="B365" s="3" t="s">
        <v>17</v>
      </c>
      <c r="C365" s="43" t="s">
        <v>550</v>
      </c>
      <c r="D365" s="43" t="s">
        <v>1255</v>
      </c>
      <c r="E365" s="78">
        <v>1</v>
      </c>
      <c r="F365" s="3" t="s">
        <v>10</v>
      </c>
      <c r="G365" s="78"/>
      <c r="H365" s="20"/>
    </row>
    <row r="366" spans="1:8" ht="20.100000000000001" hidden="1" customHeight="1" outlineLevel="1" x14ac:dyDescent="0.25">
      <c r="A366" s="52"/>
      <c r="B366" s="9"/>
      <c r="C366" s="44" t="s">
        <v>1257</v>
      </c>
      <c r="D366" s="44" t="s">
        <v>1257</v>
      </c>
      <c r="E366" s="78">
        <v>1</v>
      </c>
      <c r="F366" s="9"/>
      <c r="G366" s="79">
        <f>H365</f>
        <v>0</v>
      </c>
      <c r="H366" s="29">
        <f>ROUND(E366*G366,2)</f>
        <v>0</v>
      </c>
    </row>
    <row r="367" spans="1:8" ht="20.100000000000001" hidden="1" customHeight="1" outlineLevel="1" x14ac:dyDescent="0.25">
      <c r="A367" s="60"/>
      <c r="B367" s="12"/>
      <c r="C367" s="45"/>
      <c r="D367" s="45"/>
      <c r="E367" s="34"/>
      <c r="F367" s="12"/>
      <c r="G367" s="34"/>
      <c r="H367" s="30"/>
    </row>
    <row r="368" spans="1:8" ht="20.100000000000001" hidden="1" customHeight="1" outlineLevel="1" x14ac:dyDescent="0.25">
      <c r="A368" s="63"/>
      <c r="B368" s="18" t="s">
        <v>9</v>
      </c>
      <c r="C368" s="48" t="s">
        <v>551</v>
      </c>
      <c r="D368" s="48" t="s">
        <v>1259</v>
      </c>
      <c r="E368" s="82">
        <f>E370</f>
        <v>1</v>
      </c>
      <c r="F368" s="18" t="s">
        <v>65</v>
      </c>
      <c r="G368" s="82">
        <f>G370</f>
        <v>0</v>
      </c>
      <c r="H368" s="32">
        <f>H370</f>
        <v>0</v>
      </c>
    </row>
    <row r="369" spans="1:8" ht="20.100000000000001" hidden="1" customHeight="1" outlineLevel="1" x14ac:dyDescent="0.25">
      <c r="A369" s="59" t="s">
        <v>552</v>
      </c>
      <c r="B369" s="3" t="s">
        <v>17</v>
      </c>
      <c r="C369" s="43" t="s">
        <v>553</v>
      </c>
      <c r="D369" s="43" t="s">
        <v>1259</v>
      </c>
      <c r="E369" s="78">
        <v>1</v>
      </c>
      <c r="F369" s="3" t="s">
        <v>433</v>
      </c>
      <c r="G369" s="78"/>
      <c r="H369" s="20"/>
    </row>
    <row r="370" spans="1:8" ht="20.100000000000001" hidden="1" customHeight="1" outlineLevel="1" x14ac:dyDescent="0.25">
      <c r="A370" s="52"/>
      <c r="B370" s="9"/>
      <c r="C370" s="44" t="s">
        <v>1258</v>
      </c>
      <c r="D370" s="44" t="s">
        <v>1258</v>
      </c>
      <c r="E370" s="78">
        <v>1</v>
      </c>
      <c r="F370" s="9"/>
      <c r="G370" s="79">
        <f>H369</f>
        <v>0</v>
      </c>
      <c r="H370" s="29">
        <f>ROUND(E370*G370,2)</f>
        <v>0</v>
      </c>
    </row>
    <row r="371" spans="1:8" ht="20.100000000000001" hidden="1" customHeight="1" outlineLevel="1" x14ac:dyDescent="0.25">
      <c r="A371" s="60"/>
      <c r="B371" s="12"/>
      <c r="C371" s="45"/>
      <c r="D371" s="45"/>
      <c r="E371" s="34"/>
      <c r="F371" s="12"/>
      <c r="G371" s="34"/>
      <c r="H371" s="30"/>
    </row>
    <row r="372" spans="1:8" ht="20.100000000000001" hidden="1" customHeight="1" outlineLevel="1" x14ac:dyDescent="0.25">
      <c r="A372" s="52"/>
      <c r="B372" s="9"/>
      <c r="C372" s="44" t="s">
        <v>554</v>
      </c>
      <c r="D372" s="44" t="s">
        <v>554</v>
      </c>
      <c r="E372" s="78">
        <v>1</v>
      </c>
      <c r="F372" s="9"/>
      <c r="G372" s="79">
        <f>H364+H368</f>
        <v>0</v>
      </c>
      <c r="H372" s="29">
        <f>ROUND(E372*G372,2)</f>
        <v>0</v>
      </c>
    </row>
    <row r="373" spans="1:8" ht="20.100000000000001" hidden="1" customHeight="1" outlineLevel="1" x14ac:dyDescent="0.25">
      <c r="A373" s="60"/>
      <c r="B373" s="12"/>
      <c r="C373" s="45"/>
      <c r="D373" s="45"/>
      <c r="E373" s="34"/>
      <c r="F373" s="12"/>
      <c r="G373" s="34"/>
      <c r="H373" s="30"/>
    </row>
    <row r="374" spans="1:8" s="4" customFormat="1" ht="39.950000000000003" hidden="1" customHeight="1" outlineLevel="1" x14ac:dyDescent="0.25">
      <c r="A374" s="62" t="s">
        <v>555</v>
      </c>
      <c r="B374" s="7" t="s">
        <v>9</v>
      </c>
      <c r="C374" s="47" t="s">
        <v>556</v>
      </c>
      <c r="D374" s="47" t="s">
        <v>1260</v>
      </c>
      <c r="E374" s="81">
        <f>E379</f>
        <v>1</v>
      </c>
      <c r="F374" s="7" t="s">
        <v>65</v>
      </c>
      <c r="G374" s="81">
        <f>G379</f>
        <v>0</v>
      </c>
      <c r="H374" s="21">
        <f>H379</f>
        <v>0</v>
      </c>
    </row>
    <row r="375" spans="1:8" ht="20.100000000000001" hidden="1" customHeight="1" outlineLevel="1" x14ac:dyDescent="0.25">
      <c r="A375" s="59" t="s">
        <v>557</v>
      </c>
      <c r="B375" s="3" t="s">
        <v>17</v>
      </c>
      <c r="C375" s="43" t="s">
        <v>558</v>
      </c>
      <c r="D375" s="91" t="s">
        <v>1262</v>
      </c>
      <c r="E375" s="78">
        <v>5.48</v>
      </c>
      <c r="F375" s="3" t="s">
        <v>35</v>
      </c>
      <c r="G375" s="78"/>
      <c r="H375" s="20"/>
    </row>
    <row r="376" spans="1:8" ht="20.100000000000001" hidden="1" customHeight="1" outlineLevel="1" x14ac:dyDescent="0.25">
      <c r="A376" s="59" t="s">
        <v>559</v>
      </c>
      <c r="B376" s="3" t="s">
        <v>17</v>
      </c>
      <c r="C376" s="43" t="s">
        <v>560</v>
      </c>
      <c r="D376" s="91" t="s">
        <v>1261</v>
      </c>
      <c r="E376" s="78">
        <v>78.7</v>
      </c>
      <c r="F376" s="3" t="s">
        <v>35</v>
      </c>
      <c r="G376" s="78"/>
      <c r="H376" s="20"/>
    </row>
    <row r="377" spans="1:8" ht="20.100000000000001" hidden="1" customHeight="1" outlineLevel="1" x14ac:dyDescent="0.25">
      <c r="A377" s="59" t="s">
        <v>561</v>
      </c>
      <c r="B377" s="3" t="s">
        <v>17</v>
      </c>
      <c r="C377" s="43" t="s">
        <v>562</v>
      </c>
      <c r="D377" s="91" t="s">
        <v>1263</v>
      </c>
      <c r="E377" s="78">
        <v>66.56</v>
      </c>
      <c r="F377" s="3" t="s">
        <v>35</v>
      </c>
      <c r="G377" s="78"/>
      <c r="H377" s="20"/>
    </row>
    <row r="378" spans="1:8" ht="20.100000000000001" hidden="1" customHeight="1" outlineLevel="1" x14ac:dyDescent="0.25">
      <c r="A378" s="59" t="s">
        <v>563</v>
      </c>
      <c r="B378" s="3" t="s">
        <v>17</v>
      </c>
      <c r="C378" s="43" t="s">
        <v>564</v>
      </c>
      <c r="D378" s="91" t="s">
        <v>1264</v>
      </c>
      <c r="E378" s="78">
        <v>30.32</v>
      </c>
      <c r="F378" s="3" t="s">
        <v>35</v>
      </c>
      <c r="G378" s="78"/>
      <c r="H378" s="20"/>
    </row>
    <row r="379" spans="1:8" ht="20.100000000000001" hidden="1" customHeight="1" outlineLevel="1" x14ac:dyDescent="0.25">
      <c r="A379" s="52"/>
      <c r="B379" s="9"/>
      <c r="C379" s="44" t="s">
        <v>565</v>
      </c>
      <c r="D379" s="44" t="s">
        <v>565</v>
      </c>
      <c r="E379" s="78">
        <v>1</v>
      </c>
      <c r="F379" s="9"/>
      <c r="G379" s="79">
        <f>SUM(H375:H378)</f>
        <v>0</v>
      </c>
      <c r="H379" s="29">
        <f>ROUND(E379*G379,2)</f>
        <v>0</v>
      </c>
    </row>
    <row r="380" spans="1:8" ht="20.100000000000001" hidden="1" customHeight="1" outlineLevel="1" x14ac:dyDescent="0.25">
      <c r="A380" s="60"/>
      <c r="B380" s="12"/>
      <c r="C380" s="45"/>
      <c r="D380" s="45"/>
      <c r="E380" s="34"/>
      <c r="F380" s="12"/>
      <c r="G380" s="34"/>
      <c r="H380" s="30"/>
    </row>
    <row r="381" spans="1:8" ht="20.100000000000001" hidden="1" customHeight="1" outlineLevel="1" x14ac:dyDescent="0.25">
      <c r="A381" s="62" t="s">
        <v>566</v>
      </c>
      <c r="B381" s="7" t="s">
        <v>9</v>
      </c>
      <c r="C381" s="47" t="s">
        <v>567</v>
      </c>
      <c r="D381" s="47" t="s">
        <v>1270</v>
      </c>
      <c r="E381" s="81">
        <f>E394</f>
        <v>1</v>
      </c>
      <c r="F381" s="7" t="s">
        <v>65</v>
      </c>
      <c r="G381" s="81">
        <f>G394</f>
        <v>0</v>
      </c>
      <c r="H381" s="21">
        <f>H394</f>
        <v>0</v>
      </c>
    </row>
    <row r="382" spans="1:8" ht="20.100000000000001" hidden="1" customHeight="1" outlineLevel="1" x14ac:dyDescent="0.25">
      <c r="A382" s="63"/>
      <c r="B382" s="18" t="s">
        <v>9</v>
      </c>
      <c r="C382" s="48" t="s">
        <v>568</v>
      </c>
      <c r="D382" s="48" t="s">
        <v>1271</v>
      </c>
      <c r="E382" s="82">
        <f>E384</f>
        <v>1</v>
      </c>
      <c r="F382" s="18" t="s">
        <v>65</v>
      </c>
      <c r="G382" s="82">
        <f>G384</f>
        <v>0</v>
      </c>
      <c r="H382" s="32">
        <f>H384</f>
        <v>0</v>
      </c>
    </row>
    <row r="383" spans="1:8" ht="20.100000000000001" hidden="1" customHeight="1" outlineLevel="1" x14ac:dyDescent="0.25">
      <c r="A383" s="59" t="s">
        <v>569</v>
      </c>
      <c r="B383" s="3" t="s">
        <v>17</v>
      </c>
      <c r="C383" s="43" t="s">
        <v>570</v>
      </c>
      <c r="D383" s="43" t="s">
        <v>1272</v>
      </c>
      <c r="E383" s="78">
        <v>48.42</v>
      </c>
      <c r="F383" s="3" t="s">
        <v>18</v>
      </c>
      <c r="G383" s="78"/>
      <c r="H383" s="20"/>
    </row>
    <row r="384" spans="1:8" ht="20.100000000000001" hidden="1" customHeight="1" outlineLevel="1" x14ac:dyDescent="0.25">
      <c r="A384" s="52"/>
      <c r="B384" s="9"/>
      <c r="C384" s="44" t="s">
        <v>1265</v>
      </c>
      <c r="D384" s="44" t="s">
        <v>1265</v>
      </c>
      <c r="E384" s="78">
        <v>1</v>
      </c>
      <c r="F384" s="9"/>
      <c r="G384" s="79">
        <f>H383</f>
        <v>0</v>
      </c>
      <c r="H384" s="29">
        <f>ROUND(E384*G384,2)</f>
        <v>0</v>
      </c>
    </row>
    <row r="385" spans="1:8" ht="20.100000000000001" hidden="1" customHeight="1" outlineLevel="1" x14ac:dyDescent="0.25">
      <c r="A385" s="60"/>
      <c r="B385" s="12"/>
      <c r="C385" s="45"/>
      <c r="D385" s="45"/>
      <c r="E385" s="34"/>
      <c r="F385" s="12"/>
      <c r="G385" s="34"/>
      <c r="H385" s="30"/>
    </row>
    <row r="386" spans="1:8" ht="20.100000000000001" hidden="1" customHeight="1" outlineLevel="1" x14ac:dyDescent="0.25">
      <c r="A386" s="63"/>
      <c r="B386" s="18" t="s">
        <v>9</v>
      </c>
      <c r="C386" s="48" t="s">
        <v>571</v>
      </c>
      <c r="D386" s="48" t="s">
        <v>1273</v>
      </c>
      <c r="E386" s="82">
        <f>E392</f>
        <v>1</v>
      </c>
      <c r="F386" s="18" t="s">
        <v>65</v>
      </c>
      <c r="G386" s="82">
        <f>G392</f>
        <v>0</v>
      </c>
      <c r="H386" s="32">
        <f>H392</f>
        <v>0</v>
      </c>
    </row>
    <row r="387" spans="1:8" ht="20.100000000000001" hidden="1" customHeight="1" outlineLevel="1" x14ac:dyDescent="0.25">
      <c r="A387" s="59" t="s">
        <v>572</v>
      </c>
      <c r="B387" s="3" t="s">
        <v>17</v>
      </c>
      <c r="C387" s="43" t="s">
        <v>573</v>
      </c>
      <c r="D387" s="43" t="s">
        <v>1275</v>
      </c>
      <c r="E387" s="78">
        <v>21.46</v>
      </c>
      <c r="F387" s="3" t="s">
        <v>18</v>
      </c>
      <c r="G387" s="78"/>
      <c r="H387" s="20"/>
    </row>
    <row r="388" spans="1:8" ht="20.100000000000001" hidden="1" customHeight="1" outlineLevel="1" x14ac:dyDescent="0.25">
      <c r="A388" s="59" t="s">
        <v>574</v>
      </c>
      <c r="B388" s="3" t="s">
        <v>17</v>
      </c>
      <c r="C388" s="43" t="s">
        <v>575</v>
      </c>
      <c r="D388" s="43" t="s">
        <v>1277</v>
      </c>
      <c r="E388" s="78">
        <v>51.28</v>
      </c>
      <c r="F388" s="3" t="s">
        <v>18</v>
      </c>
      <c r="G388" s="78"/>
      <c r="H388" s="20"/>
    </row>
    <row r="389" spans="1:8" ht="20.100000000000001" hidden="1" customHeight="1" outlineLevel="1" x14ac:dyDescent="0.25">
      <c r="A389" s="59" t="s">
        <v>576</v>
      </c>
      <c r="B389" s="3" t="s">
        <v>17</v>
      </c>
      <c r="C389" s="43" t="s">
        <v>577</v>
      </c>
      <c r="D389" s="43" t="s">
        <v>1276</v>
      </c>
      <c r="E389" s="78">
        <v>63.98</v>
      </c>
      <c r="F389" s="3" t="s">
        <v>18</v>
      </c>
      <c r="G389" s="78"/>
      <c r="H389" s="20"/>
    </row>
    <row r="390" spans="1:8" ht="20.100000000000001" hidden="1" customHeight="1" outlineLevel="1" x14ac:dyDescent="0.25">
      <c r="A390" s="59" t="s">
        <v>578</v>
      </c>
      <c r="B390" s="3" t="s">
        <v>17</v>
      </c>
      <c r="C390" s="43" t="s">
        <v>579</v>
      </c>
      <c r="D390" s="43" t="s">
        <v>1275</v>
      </c>
      <c r="E390" s="78">
        <v>33.36</v>
      </c>
      <c r="F390" s="3" t="s">
        <v>18</v>
      </c>
      <c r="G390" s="78"/>
      <c r="H390" s="20"/>
    </row>
    <row r="391" spans="1:8" ht="20.100000000000001" hidden="1" customHeight="1" outlineLevel="1" x14ac:dyDescent="0.25">
      <c r="A391" s="59" t="s">
        <v>580</v>
      </c>
      <c r="B391" s="3" t="s">
        <v>17</v>
      </c>
      <c r="C391" s="43" t="s">
        <v>581</v>
      </c>
      <c r="D391" s="91" t="s">
        <v>1274</v>
      </c>
      <c r="E391" s="78">
        <v>2</v>
      </c>
      <c r="F391" s="3" t="s">
        <v>10</v>
      </c>
      <c r="G391" s="78"/>
      <c r="H391" s="20"/>
    </row>
    <row r="392" spans="1:8" ht="20.100000000000001" hidden="1" customHeight="1" outlineLevel="1" x14ac:dyDescent="0.25">
      <c r="A392" s="52"/>
      <c r="B392" s="9"/>
      <c r="C392" s="44" t="s">
        <v>1266</v>
      </c>
      <c r="D392" s="44" t="s">
        <v>1266</v>
      </c>
      <c r="E392" s="78">
        <v>1</v>
      </c>
      <c r="F392" s="9"/>
      <c r="G392" s="79">
        <f>SUM(H387:H391)</f>
        <v>0</v>
      </c>
      <c r="H392" s="29">
        <f>ROUND(E392*G392,2)</f>
        <v>0</v>
      </c>
    </row>
    <row r="393" spans="1:8" ht="20.100000000000001" hidden="1" customHeight="1" outlineLevel="1" x14ac:dyDescent="0.25">
      <c r="A393" s="60"/>
      <c r="B393" s="12"/>
      <c r="C393" s="45"/>
      <c r="D393" s="45"/>
      <c r="E393" s="34"/>
      <c r="F393" s="12"/>
      <c r="G393" s="34"/>
      <c r="H393" s="30"/>
    </row>
    <row r="394" spans="1:8" ht="20.100000000000001" hidden="1" customHeight="1" outlineLevel="1" x14ac:dyDescent="0.25">
      <c r="A394" s="52"/>
      <c r="B394" s="9"/>
      <c r="C394" s="44" t="s">
        <v>582</v>
      </c>
      <c r="D394" s="44" t="s">
        <v>582</v>
      </c>
      <c r="E394" s="78">
        <v>1</v>
      </c>
      <c r="F394" s="9"/>
      <c r="G394" s="79">
        <f>H382+H386</f>
        <v>0</v>
      </c>
      <c r="H394" s="29">
        <f>ROUND(E394*G394,2)</f>
        <v>0</v>
      </c>
    </row>
    <row r="395" spans="1:8" ht="20.100000000000001" hidden="1" customHeight="1" outlineLevel="1" x14ac:dyDescent="0.25">
      <c r="A395" s="60"/>
      <c r="B395" s="12"/>
      <c r="C395" s="45"/>
      <c r="D395" s="45"/>
      <c r="E395" s="34"/>
      <c r="F395" s="12"/>
      <c r="G395" s="34"/>
      <c r="H395" s="30"/>
    </row>
    <row r="396" spans="1:8" ht="20.100000000000001" hidden="1" customHeight="1" outlineLevel="1" x14ac:dyDescent="0.25">
      <c r="A396" s="62" t="s">
        <v>583</v>
      </c>
      <c r="B396" s="7" t="s">
        <v>9</v>
      </c>
      <c r="C396" s="47" t="s">
        <v>584</v>
      </c>
      <c r="D396" s="47" t="s">
        <v>1278</v>
      </c>
      <c r="E396" s="81">
        <f>E428</f>
        <v>1</v>
      </c>
      <c r="F396" s="7" t="s">
        <v>65</v>
      </c>
      <c r="G396" s="81">
        <f>G428</f>
        <v>0</v>
      </c>
      <c r="H396" s="21">
        <f>H428</f>
        <v>0</v>
      </c>
    </row>
    <row r="397" spans="1:8" ht="20.100000000000001" hidden="1" customHeight="1" outlineLevel="1" x14ac:dyDescent="0.25">
      <c r="A397" s="63"/>
      <c r="B397" s="18" t="s">
        <v>9</v>
      </c>
      <c r="C397" s="48" t="s">
        <v>1279</v>
      </c>
      <c r="D397" s="48" t="s">
        <v>1280</v>
      </c>
      <c r="E397" s="82">
        <f>E411</f>
        <v>1</v>
      </c>
      <c r="F397" s="18" t="s">
        <v>433</v>
      </c>
      <c r="G397" s="82">
        <f>G411</f>
        <v>0</v>
      </c>
      <c r="H397" s="32">
        <f>H411</f>
        <v>0</v>
      </c>
    </row>
    <row r="398" spans="1:8" ht="20.100000000000001" hidden="1" customHeight="1" outlineLevel="1" x14ac:dyDescent="0.25">
      <c r="A398" s="59" t="s">
        <v>585</v>
      </c>
      <c r="B398" s="3" t="s">
        <v>17</v>
      </c>
      <c r="C398" s="43" t="s">
        <v>586</v>
      </c>
      <c r="D398" s="43" t="s">
        <v>1281</v>
      </c>
      <c r="E398" s="78">
        <v>3</v>
      </c>
      <c r="F398" s="3" t="s">
        <v>10</v>
      </c>
      <c r="G398" s="78"/>
      <c r="H398" s="20"/>
    </row>
    <row r="399" spans="1:8" ht="20.100000000000001" hidden="1" customHeight="1" outlineLevel="1" x14ac:dyDescent="0.25">
      <c r="A399" s="59" t="s">
        <v>587</v>
      </c>
      <c r="B399" s="3" t="s">
        <v>17</v>
      </c>
      <c r="C399" s="43" t="s">
        <v>588</v>
      </c>
      <c r="D399" s="43" t="s">
        <v>1282</v>
      </c>
      <c r="E399" s="78">
        <v>4</v>
      </c>
      <c r="F399" s="3" t="s">
        <v>10</v>
      </c>
      <c r="G399" s="78"/>
      <c r="H399" s="20"/>
    </row>
    <row r="400" spans="1:8" ht="20.100000000000001" hidden="1" customHeight="1" outlineLevel="1" x14ac:dyDescent="0.25">
      <c r="A400" s="59" t="s">
        <v>589</v>
      </c>
      <c r="B400" s="3" t="s">
        <v>17</v>
      </c>
      <c r="C400" s="43" t="s">
        <v>590</v>
      </c>
      <c r="D400" s="43" t="s">
        <v>1283</v>
      </c>
      <c r="E400" s="78">
        <v>4</v>
      </c>
      <c r="F400" s="3" t="s">
        <v>10</v>
      </c>
      <c r="G400" s="78"/>
      <c r="H400" s="20"/>
    </row>
    <row r="401" spans="1:8" ht="20.100000000000001" hidden="1" customHeight="1" outlineLevel="1" x14ac:dyDescent="0.25">
      <c r="A401" s="59" t="s">
        <v>591</v>
      </c>
      <c r="B401" s="3" t="s">
        <v>17</v>
      </c>
      <c r="C401" s="43" t="s">
        <v>592</v>
      </c>
      <c r="D401" s="43" t="s">
        <v>1284</v>
      </c>
      <c r="E401" s="78">
        <v>2</v>
      </c>
      <c r="F401" s="3" t="s">
        <v>10</v>
      </c>
      <c r="G401" s="78"/>
      <c r="H401" s="20"/>
    </row>
    <row r="402" spans="1:8" ht="20.100000000000001" hidden="1" customHeight="1" outlineLevel="1" x14ac:dyDescent="0.25">
      <c r="A402" s="59" t="s">
        <v>593</v>
      </c>
      <c r="B402" s="3" t="s">
        <v>17</v>
      </c>
      <c r="C402" s="43" t="s">
        <v>594</v>
      </c>
      <c r="D402" s="43" t="s">
        <v>1285</v>
      </c>
      <c r="E402" s="78">
        <v>2</v>
      </c>
      <c r="F402" s="3" t="s">
        <v>10</v>
      </c>
      <c r="G402" s="78"/>
      <c r="H402" s="20"/>
    </row>
    <row r="403" spans="1:8" ht="20.100000000000001" hidden="1" customHeight="1" outlineLevel="1" x14ac:dyDescent="0.25">
      <c r="A403" s="59" t="s">
        <v>595</v>
      </c>
      <c r="B403" s="3" t="s">
        <v>17</v>
      </c>
      <c r="C403" s="43" t="s">
        <v>596</v>
      </c>
      <c r="D403" s="43" t="s">
        <v>1291</v>
      </c>
      <c r="E403" s="78">
        <v>2</v>
      </c>
      <c r="F403" s="3" t="s">
        <v>10</v>
      </c>
      <c r="G403" s="78"/>
      <c r="H403" s="20"/>
    </row>
    <row r="404" spans="1:8" ht="20.100000000000001" hidden="1" customHeight="1" outlineLevel="1" x14ac:dyDescent="0.25">
      <c r="A404" s="59" t="s">
        <v>597</v>
      </c>
      <c r="B404" s="3" t="s">
        <v>17</v>
      </c>
      <c r="C404" s="43" t="s">
        <v>598</v>
      </c>
      <c r="D404" s="43" t="s">
        <v>1292</v>
      </c>
      <c r="E404" s="78">
        <v>8</v>
      </c>
      <c r="F404" s="3" t="s">
        <v>10</v>
      </c>
      <c r="G404" s="78"/>
      <c r="H404" s="20"/>
    </row>
    <row r="405" spans="1:8" ht="20.100000000000001" hidden="1" customHeight="1" outlineLevel="1" x14ac:dyDescent="0.25">
      <c r="A405" s="59" t="s">
        <v>599</v>
      </c>
      <c r="B405" s="3" t="s">
        <v>17</v>
      </c>
      <c r="C405" s="43" t="s">
        <v>600</v>
      </c>
      <c r="D405" s="43" t="s">
        <v>1290</v>
      </c>
      <c r="E405" s="78">
        <v>3</v>
      </c>
      <c r="F405" s="3" t="s">
        <v>10</v>
      </c>
      <c r="G405" s="78"/>
      <c r="H405" s="20"/>
    </row>
    <row r="406" spans="1:8" ht="20.100000000000001" hidden="1" customHeight="1" outlineLevel="1" x14ac:dyDescent="0.25">
      <c r="A406" s="59" t="s">
        <v>601</v>
      </c>
      <c r="B406" s="3" t="s">
        <v>17</v>
      </c>
      <c r="C406" s="43" t="s">
        <v>602</v>
      </c>
      <c r="D406" s="43" t="s">
        <v>1289</v>
      </c>
      <c r="E406" s="78">
        <v>2</v>
      </c>
      <c r="F406" s="3" t="s">
        <v>10</v>
      </c>
      <c r="G406" s="78"/>
      <c r="H406" s="20"/>
    </row>
    <row r="407" spans="1:8" ht="20.100000000000001" hidden="1" customHeight="1" outlineLevel="1" x14ac:dyDescent="0.25">
      <c r="A407" s="59" t="s">
        <v>603</v>
      </c>
      <c r="B407" s="3" t="s">
        <v>17</v>
      </c>
      <c r="C407" s="43" t="s">
        <v>604</v>
      </c>
      <c r="D407" s="43" t="s">
        <v>1288</v>
      </c>
      <c r="E407" s="78">
        <v>2</v>
      </c>
      <c r="F407" s="3" t="s">
        <v>10</v>
      </c>
      <c r="G407" s="78"/>
      <c r="H407" s="20"/>
    </row>
    <row r="408" spans="1:8" ht="20.100000000000001" hidden="1" customHeight="1" outlineLevel="1" x14ac:dyDescent="0.25">
      <c r="A408" s="59" t="s">
        <v>605</v>
      </c>
      <c r="B408" s="3" t="s">
        <v>17</v>
      </c>
      <c r="C408" s="43" t="s">
        <v>1295</v>
      </c>
      <c r="D408" s="43" t="s">
        <v>1294</v>
      </c>
      <c r="E408" s="78">
        <v>2</v>
      </c>
      <c r="F408" s="3" t="s">
        <v>10</v>
      </c>
      <c r="G408" s="92"/>
      <c r="H408" s="20"/>
    </row>
    <row r="409" spans="1:8" ht="20.100000000000001" hidden="1" customHeight="1" outlineLevel="1" x14ac:dyDescent="0.25">
      <c r="A409" s="59" t="s">
        <v>607</v>
      </c>
      <c r="B409" s="3" t="s">
        <v>17</v>
      </c>
      <c r="C409" s="43" t="s">
        <v>606</v>
      </c>
      <c r="D409" s="43" t="s">
        <v>1286</v>
      </c>
      <c r="E409" s="78">
        <v>2</v>
      </c>
      <c r="F409" s="3" t="s">
        <v>10</v>
      </c>
      <c r="G409" s="78"/>
      <c r="H409" s="20"/>
    </row>
    <row r="410" spans="1:8" ht="20.100000000000001" hidden="1" customHeight="1" outlineLevel="1" x14ac:dyDescent="0.25">
      <c r="A410" s="59" t="s">
        <v>610</v>
      </c>
      <c r="B410" s="3" t="s">
        <v>17</v>
      </c>
      <c r="C410" s="43" t="s">
        <v>608</v>
      </c>
      <c r="D410" s="43" t="s">
        <v>1287</v>
      </c>
      <c r="E410" s="78">
        <v>2</v>
      </c>
      <c r="F410" s="3" t="s">
        <v>10</v>
      </c>
      <c r="G410" s="78"/>
      <c r="H410" s="20"/>
    </row>
    <row r="411" spans="1:8" ht="20.100000000000001" hidden="1" customHeight="1" outlineLevel="1" x14ac:dyDescent="0.25">
      <c r="A411" s="52"/>
      <c r="B411" s="9"/>
      <c r="C411" s="44" t="s">
        <v>1293</v>
      </c>
      <c r="D411" s="44" t="s">
        <v>1293</v>
      </c>
      <c r="E411" s="78">
        <v>1</v>
      </c>
      <c r="F411" s="9"/>
      <c r="G411" s="79">
        <f>SUM(H398:H410)</f>
        <v>0</v>
      </c>
      <c r="H411" s="29">
        <f>ROUND(E411*G411,2)</f>
        <v>0</v>
      </c>
    </row>
    <row r="412" spans="1:8" ht="20.100000000000001" hidden="1" customHeight="1" outlineLevel="1" x14ac:dyDescent="0.25">
      <c r="A412" s="60"/>
      <c r="B412" s="12"/>
      <c r="C412" s="45"/>
      <c r="D412" s="45"/>
      <c r="E412" s="34"/>
      <c r="F412" s="12"/>
      <c r="G412" s="34"/>
      <c r="H412" s="30"/>
    </row>
    <row r="413" spans="1:8" ht="20.100000000000001" hidden="1" customHeight="1" outlineLevel="1" x14ac:dyDescent="0.25">
      <c r="A413" s="63"/>
      <c r="B413" s="18" t="s">
        <v>9</v>
      </c>
      <c r="C413" s="48" t="s">
        <v>609</v>
      </c>
      <c r="D413" s="48" t="s">
        <v>1296</v>
      </c>
      <c r="E413" s="82">
        <f>E420</f>
        <v>1</v>
      </c>
      <c r="F413" s="18" t="s">
        <v>433</v>
      </c>
      <c r="G413" s="82">
        <f>G420</f>
        <v>0</v>
      </c>
      <c r="H413" s="32">
        <f>H420</f>
        <v>0</v>
      </c>
    </row>
    <row r="414" spans="1:8" ht="20.100000000000001" hidden="1" customHeight="1" outlineLevel="1" x14ac:dyDescent="0.25">
      <c r="A414" s="59" t="s">
        <v>612</v>
      </c>
      <c r="B414" s="3" t="s">
        <v>17</v>
      </c>
      <c r="C414" s="43" t="s">
        <v>611</v>
      </c>
      <c r="D414" s="91" t="s">
        <v>1301</v>
      </c>
      <c r="E414" s="78">
        <v>1</v>
      </c>
      <c r="F414" s="3" t="s">
        <v>154</v>
      </c>
      <c r="G414" s="78"/>
      <c r="H414" s="20"/>
    </row>
    <row r="415" spans="1:8" ht="20.100000000000001" hidden="1" customHeight="1" outlineLevel="1" x14ac:dyDescent="0.25">
      <c r="A415" s="59" t="s">
        <v>614</v>
      </c>
      <c r="B415" s="3" t="s">
        <v>17</v>
      </c>
      <c r="C415" s="43" t="s">
        <v>613</v>
      </c>
      <c r="D415" s="91" t="s">
        <v>1299</v>
      </c>
      <c r="E415" s="78">
        <v>2</v>
      </c>
      <c r="F415" s="3" t="s">
        <v>154</v>
      </c>
      <c r="G415" s="78"/>
      <c r="H415" s="20"/>
    </row>
    <row r="416" spans="1:8" ht="20.100000000000001" hidden="1" customHeight="1" outlineLevel="1" x14ac:dyDescent="0.25">
      <c r="A416" s="59" t="s">
        <v>616</v>
      </c>
      <c r="B416" s="3" t="s">
        <v>17</v>
      </c>
      <c r="C416" s="43" t="s">
        <v>615</v>
      </c>
      <c r="D416" s="91" t="s">
        <v>1298</v>
      </c>
      <c r="E416" s="78">
        <v>1</v>
      </c>
      <c r="F416" s="3" t="s">
        <v>154</v>
      </c>
      <c r="G416" s="78"/>
      <c r="H416" s="20"/>
    </row>
    <row r="417" spans="1:8" ht="20.100000000000001" hidden="1" customHeight="1" outlineLevel="1" x14ac:dyDescent="0.25">
      <c r="A417" s="59" t="s">
        <v>618</v>
      </c>
      <c r="B417" s="3" t="s">
        <v>17</v>
      </c>
      <c r="C417" s="43" t="s">
        <v>617</v>
      </c>
      <c r="D417" s="91" t="s">
        <v>1297</v>
      </c>
      <c r="E417" s="78">
        <v>1</v>
      </c>
      <c r="F417" s="3" t="s">
        <v>154</v>
      </c>
      <c r="G417" s="78"/>
      <c r="H417" s="20"/>
    </row>
    <row r="418" spans="1:8" ht="20.100000000000001" hidden="1" customHeight="1" outlineLevel="1" x14ac:dyDescent="0.25">
      <c r="A418" s="59" t="s">
        <v>620</v>
      </c>
      <c r="B418" s="3" t="s">
        <v>17</v>
      </c>
      <c r="C418" s="43" t="s">
        <v>619</v>
      </c>
      <c r="D418" s="91" t="s">
        <v>1300</v>
      </c>
      <c r="E418" s="78">
        <v>2</v>
      </c>
      <c r="F418" s="3" t="s">
        <v>154</v>
      </c>
      <c r="G418" s="78"/>
      <c r="H418" s="20"/>
    </row>
    <row r="419" spans="1:8" ht="20.100000000000001" hidden="1" customHeight="1" outlineLevel="1" x14ac:dyDescent="0.25">
      <c r="A419" s="59" t="s">
        <v>623</v>
      </c>
      <c r="B419" s="3" t="s">
        <v>17</v>
      </c>
      <c r="C419" s="43" t="s">
        <v>621</v>
      </c>
      <c r="D419" s="43" t="s">
        <v>1302</v>
      </c>
      <c r="E419" s="78">
        <v>1</v>
      </c>
      <c r="F419" s="3" t="s">
        <v>154</v>
      </c>
      <c r="G419" s="78"/>
      <c r="H419" s="20"/>
    </row>
    <row r="420" spans="1:8" ht="20.100000000000001" hidden="1" customHeight="1" outlineLevel="1" x14ac:dyDescent="0.25">
      <c r="A420" s="52"/>
      <c r="B420" s="9"/>
      <c r="C420" s="44" t="s">
        <v>1303</v>
      </c>
      <c r="D420" s="44" t="s">
        <v>1303</v>
      </c>
      <c r="E420" s="78">
        <v>1</v>
      </c>
      <c r="F420" s="9"/>
      <c r="G420" s="79">
        <f>SUM(H414:H419)</f>
        <v>0</v>
      </c>
      <c r="H420" s="29">
        <f>ROUND(E420*G420,2)</f>
        <v>0</v>
      </c>
    </row>
    <row r="421" spans="1:8" ht="20.100000000000001" hidden="1" customHeight="1" outlineLevel="1" x14ac:dyDescent="0.25">
      <c r="A421" s="60"/>
      <c r="B421" s="12"/>
      <c r="C421" s="45"/>
      <c r="D421" s="45"/>
      <c r="E421" s="34"/>
      <c r="F421" s="12"/>
      <c r="G421" s="34"/>
      <c r="H421" s="30"/>
    </row>
    <row r="422" spans="1:8" ht="20.100000000000001" hidden="1" customHeight="1" outlineLevel="1" x14ac:dyDescent="0.25">
      <c r="A422" s="63"/>
      <c r="B422" s="18" t="s">
        <v>9</v>
      </c>
      <c r="C422" s="48" t="s">
        <v>622</v>
      </c>
      <c r="D422" s="48" t="s">
        <v>1308</v>
      </c>
      <c r="E422" s="82">
        <f>E426</f>
        <v>1</v>
      </c>
      <c r="F422" s="18" t="s">
        <v>433</v>
      </c>
      <c r="G422" s="82">
        <f>G426</f>
        <v>0</v>
      </c>
      <c r="H422" s="32">
        <f>H426</f>
        <v>0</v>
      </c>
    </row>
    <row r="423" spans="1:8" ht="20.100000000000001" hidden="1" customHeight="1" outlineLevel="1" x14ac:dyDescent="0.25">
      <c r="A423" s="59" t="s">
        <v>623</v>
      </c>
      <c r="B423" s="3" t="s">
        <v>17</v>
      </c>
      <c r="C423" s="43" t="s">
        <v>624</v>
      </c>
      <c r="D423" s="43" t="s">
        <v>1305</v>
      </c>
      <c r="E423" s="78">
        <v>1</v>
      </c>
      <c r="F423" s="3" t="s">
        <v>10</v>
      </c>
      <c r="G423" s="78"/>
      <c r="H423" s="20"/>
    </row>
    <row r="424" spans="1:8" ht="20.100000000000001" hidden="1" customHeight="1" outlineLevel="1" x14ac:dyDescent="0.25">
      <c r="A424" s="59" t="s">
        <v>625</v>
      </c>
      <c r="B424" s="3" t="s">
        <v>17</v>
      </c>
      <c r="C424" s="43" t="s">
        <v>626</v>
      </c>
      <c r="D424" s="43" t="s">
        <v>1306</v>
      </c>
      <c r="E424" s="78">
        <v>1</v>
      </c>
      <c r="F424" s="3" t="s">
        <v>10</v>
      </c>
      <c r="G424" s="78"/>
      <c r="H424" s="20"/>
    </row>
    <row r="425" spans="1:8" s="4" customFormat="1" ht="39.950000000000003" hidden="1" customHeight="1" outlineLevel="1" x14ac:dyDescent="0.25">
      <c r="A425" s="59" t="s">
        <v>627</v>
      </c>
      <c r="B425" s="3" t="s">
        <v>17</v>
      </c>
      <c r="C425" s="43" t="s">
        <v>628</v>
      </c>
      <c r="D425" s="43" t="s">
        <v>1307</v>
      </c>
      <c r="E425" s="78">
        <v>2</v>
      </c>
      <c r="F425" s="3" t="s">
        <v>10</v>
      </c>
      <c r="G425" s="78"/>
      <c r="H425" s="20"/>
    </row>
    <row r="426" spans="1:8" ht="20.100000000000001" hidden="1" customHeight="1" outlineLevel="1" x14ac:dyDescent="0.25">
      <c r="A426" s="52"/>
      <c r="B426" s="9"/>
      <c r="C426" s="44" t="s">
        <v>1304</v>
      </c>
      <c r="D426" s="44" t="s">
        <v>1304</v>
      </c>
      <c r="E426" s="78">
        <v>1</v>
      </c>
      <c r="F426" s="9"/>
      <c r="G426" s="79">
        <f>SUM(H423:H425)</f>
        <v>0</v>
      </c>
      <c r="H426" s="29">
        <f>ROUND(E426*G426,2)</f>
        <v>0</v>
      </c>
    </row>
    <row r="427" spans="1:8" ht="20.100000000000001" hidden="1" customHeight="1" outlineLevel="1" x14ac:dyDescent="0.25">
      <c r="A427" s="60"/>
      <c r="B427" s="12"/>
      <c r="C427" s="45"/>
      <c r="D427" s="45"/>
      <c r="E427" s="34"/>
      <c r="F427" s="12"/>
      <c r="G427" s="34"/>
      <c r="H427" s="30"/>
    </row>
    <row r="428" spans="1:8" ht="20.100000000000001" hidden="1" customHeight="1" outlineLevel="1" x14ac:dyDescent="0.25">
      <c r="A428" s="52"/>
      <c r="B428" s="9"/>
      <c r="C428" s="44" t="s">
        <v>629</v>
      </c>
      <c r="D428" s="44" t="s">
        <v>629</v>
      </c>
      <c r="E428" s="78">
        <v>1</v>
      </c>
      <c r="F428" s="9"/>
      <c r="G428" s="79">
        <f>H397+H413+H422</f>
        <v>0</v>
      </c>
      <c r="H428" s="29">
        <f>ROUND(E428*G428,2)</f>
        <v>0</v>
      </c>
    </row>
    <row r="429" spans="1:8" ht="20.100000000000001" customHeight="1" collapsed="1" x14ac:dyDescent="0.25">
      <c r="A429" s="60"/>
      <c r="B429" s="12"/>
      <c r="C429" s="45"/>
      <c r="D429" s="45"/>
      <c r="E429" s="34"/>
      <c r="F429" s="12"/>
      <c r="G429" s="34"/>
      <c r="H429" s="30"/>
    </row>
    <row r="430" spans="1:8" ht="20.100000000000001" customHeight="1" x14ac:dyDescent="0.25">
      <c r="A430" s="52"/>
      <c r="B430" s="9"/>
      <c r="C430" s="44" t="s">
        <v>630</v>
      </c>
      <c r="D430" s="44" t="s">
        <v>630</v>
      </c>
      <c r="E430" s="78">
        <v>1</v>
      </c>
      <c r="F430" s="9"/>
      <c r="G430" s="79">
        <f>H225+H239+H252+H270+H284+H303+H363+H374+H381+H396</f>
        <v>75770.58</v>
      </c>
      <c r="H430" s="29">
        <f>ROUND(E430*G430,2)</f>
        <v>75770.58</v>
      </c>
    </row>
    <row r="431" spans="1:8" ht="20.100000000000001" customHeight="1" x14ac:dyDescent="0.25">
      <c r="A431" s="60"/>
      <c r="B431" s="12"/>
      <c r="C431" s="45"/>
      <c r="D431" s="45"/>
      <c r="E431" s="34"/>
      <c r="F431" s="12"/>
      <c r="G431" s="34"/>
      <c r="H431" s="30"/>
    </row>
    <row r="432" spans="1:8" ht="20.100000000000001" customHeight="1" x14ac:dyDescent="0.25">
      <c r="A432" s="61" t="s">
        <v>631</v>
      </c>
      <c r="B432" s="17" t="s">
        <v>9</v>
      </c>
      <c r="C432" s="46" t="s">
        <v>292</v>
      </c>
      <c r="D432" s="46" t="s">
        <v>1152</v>
      </c>
      <c r="E432" s="80">
        <f>E601</f>
        <v>1</v>
      </c>
      <c r="F432" s="17" t="s">
        <v>10</v>
      </c>
      <c r="G432" s="80">
        <f>G601</f>
        <v>79380.86</v>
      </c>
      <c r="H432" s="31">
        <f>H601</f>
        <v>79380.86</v>
      </c>
    </row>
    <row r="433" spans="1:8" ht="20.100000000000001" customHeight="1" x14ac:dyDescent="0.25">
      <c r="A433" s="62" t="s">
        <v>406</v>
      </c>
      <c r="B433" s="7" t="s">
        <v>9</v>
      </c>
      <c r="C433" s="47" t="s">
        <v>359</v>
      </c>
      <c r="D433" s="47" t="s">
        <v>1183</v>
      </c>
      <c r="E433" s="81">
        <f>E444</f>
        <v>1</v>
      </c>
      <c r="F433" s="7" t="s">
        <v>10</v>
      </c>
      <c r="G433" s="81">
        <f>G444</f>
        <v>45700.63</v>
      </c>
      <c r="H433" s="21">
        <f>H444</f>
        <v>45700.63</v>
      </c>
    </row>
    <row r="434" spans="1:8" ht="39.950000000000003" customHeight="1" x14ac:dyDescent="0.25">
      <c r="A434" s="59" t="s">
        <v>409</v>
      </c>
      <c r="B434" s="3" t="s">
        <v>17</v>
      </c>
      <c r="C434" s="43" t="s">
        <v>361</v>
      </c>
      <c r="D434" s="43" t="s">
        <v>1171</v>
      </c>
      <c r="E434" s="78">
        <v>1057.68</v>
      </c>
      <c r="F434" s="3" t="s">
        <v>277</v>
      </c>
      <c r="G434" s="78">
        <v>4.3</v>
      </c>
      <c r="H434" s="20">
        <f t="shared" ref="H434:H444" si="8">ROUND(E434*G434,2)</f>
        <v>4548.0200000000004</v>
      </c>
    </row>
    <row r="435" spans="1:8" ht="20.100000000000001" customHeight="1" x14ac:dyDescent="0.25">
      <c r="A435" s="59" t="s">
        <v>411</v>
      </c>
      <c r="B435" s="3" t="s">
        <v>17</v>
      </c>
      <c r="C435" s="43" t="s">
        <v>363</v>
      </c>
      <c r="D435" s="43" t="s">
        <v>1172</v>
      </c>
      <c r="E435" s="78">
        <v>157.19</v>
      </c>
      <c r="F435" s="3" t="s">
        <v>35</v>
      </c>
      <c r="G435" s="78">
        <v>4.7699999999999996</v>
      </c>
      <c r="H435" s="20">
        <f t="shared" si="8"/>
        <v>749.8</v>
      </c>
    </row>
    <row r="436" spans="1:8" ht="20.100000000000001" customHeight="1" x14ac:dyDescent="0.25">
      <c r="A436" s="59" t="s">
        <v>414</v>
      </c>
      <c r="B436" s="3" t="s">
        <v>17</v>
      </c>
      <c r="C436" s="43" t="s">
        <v>365</v>
      </c>
      <c r="D436" s="43" t="s">
        <v>1173</v>
      </c>
      <c r="E436" s="78">
        <v>352.94</v>
      </c>
      <c r="F436" s="3" t="s">
        <v>277</v>
      </c>
      <c r="G436" s="78">
        <v>11.97</v>
      </c>
      <c r="H436" s="20">
        <f t="shared" si="8"/>
        <v>4224.6899999999996</v>
      </c>
    </row>
    <row r="437" spans="1:8" ht="20.100000000000001" customHeight="1" x14ac:dyDescent="0.25">
      <c r="A437" s="59" t="s">
        <v>416</v>
      </c>
      <c r="B437" s="3" t="s">
        <v>17</v>
      </c>
      <c r="C437" s="43" t="s">
        <v>367</v>
      </c>
      <c r="D437" s="43" t="s">
        <v>1174</v>
      </c>
      <c r="E437" s="78">
        <v>157.19</v>
      </c>
      <c r="F437" s="3" t="s">
        <v>35</v>
      </c>
      <c r="G437" s="78">
        <v>13</v>
      </c>
      <c r="H437" s="20">
        <f t="shared" si="8"/>
        <v>2043.47</v>
      </c>
    </row>
    <row r="438" spans="1:8" ht="20.100000000000001" customHeight="1" x14ac:dyDescent="0.25">
      <c r="A438" s="59" t="s">
        <v>418</v>
      </c>
      <c r="B438" s="3" t="s">
        <v>17</v>
      </c>
      <c r="C438" s="43" t="s">
        <v>369</v>
      </c>
      <c r="D438" s="43" t="s">
        <v>1175</v>
      </c>
      <c r="E438" s="78">
        <v>976.87</v>
      </c>
      <c r="F438" s="3" t="s">
        <v>35</v>
      </c>
      <c r="G438" s="78">
        <v>11.59</v>
      </c>
      <c r="H438" s="20">
        <f t="shared" si="8"/>
        <v>11321.92</v>
      </c>
    </row>
    <row r="439" spans="1:8" ht="20.100000000000001" customHeight="1" x14ac:dyDescent="0.25">
      <c r="A439" s="59" t="s">
        <v>420</v>
      </c>
      <c r="B439" s="3" t="s">
        <v>17</v>
      </c>
      <c r="C439" s="43" t="s">
        <v>371</v>
      </c>
      <c r="D439" s="43" t="s">
        <v>1176</v>
      </c>
      <c r="E439" s="78">
        <v>277.33999999999997</v>
      </c>
      <c r="F439" s="3" t="s">
        <v>35</v>
      </c>
      <c r="G439" s="78">
        <v>12.31</v>
      </c>
      <c r="H439" s="20">
        <f t="shared" si="8"/>
        <v>3414.06</v>
      </c>
    </row>
    <row r="440" spans="1:8" ht="20.100000000000001" customHeight="1" x14ac:dyDescent="0.25">
      <c r="A440" s="59" t="s">
        <v>422</v>
      </c>
      <c r="B440" s="3" t="s">
        <v>17</v>
      </c>
      <c r="C440" s="43" t="s">
        <v>373</v>
      </c>
      <c r="D440" s="43" t="s">
        <v>1177</v>
      </c>
      <c r="E440" s="78">
        <v>116.71</v>
      </c>
      <c r="F440" s="3" t="s">
        <v>35</v>
      </c>
      <c r="G440" s="78">
        <v>9.18</v>
      </c>
      <c r="H440" s="20">
        <f t="shared" si="8"/>
        <v>1071.4000000000001</v>
      </c>
    </row>
    <row r="441" spans="1:8" ht="20.100000000000001" customHeight="1" x14ac:dyDescent="0.25">
      <c r="A441" s="59" t="s">
        <v>424</v>
      </c>
      <c r="B441" s="3" t="s">
        <v>17</v>
      </c>
      <c r="C441" s="43" t="s">
        <v>377</v>
      </c>
      <c r="D441" s="43" t="s">
        <v>1179</v>
      </c>
      <c r="E441" s="78">
        <v>820.37</v>
      </c>
      <c r="F441" s="3" t="s">
        <v>277</v>
      </c>
      <c r="G441" s="78">
        <v>7.25</v>
      </c>
      <c r="H441" s="20">
        <f t="shared" si="8"/>
        <v>5947.68</v>
      </c>
    </row>
    <row r="442" spans="1:8" ht="20.100000000000001" customHeight="1" x14ac:dyDescent="0.25">
      <c r="A442" s="59" t="s">
        <v>426</v>
      </c>
      <c r="B442" s="3" t="s">
        <v>17</v>
      </c>
      <c r="C442" s="43" t="s">
        <v>379</v>
      </c>
      <c r="D442" s="43" t="s">
        <v>1180</v>
      </c>
      <c r="E442" s="78">
        <v>424.74</v>
      </c>
      <c r="F442" s="3" t="s">
        <v>277</v>
      </c>
      <c r="G442" s="78">
        <v>8.5</v>
      </c>
      <c r="H442" s="20">
        <f t="shared" si="8"/>
        <v>3610.29</v>
      </c>
    </row>
    <row r="443" spans="1:8" ht="20.100000000000001" customHeight="1" x14ac:dyDescent="0.25">
      <c r="A443" s="59" t="s">
        <v>1464</v>
      </c>
      <c r="B443" s="3" t="s">
        <v>17</v>
      </c>
      <c r="C443" s="43" t="s">
        <v>381</v>
      </c>
      <c r="D443" s="43" t="s">
        <v>1181</v>
      </c>
      <c r="E443" s="78">
        <v>359.84</v>
      </c>
      <c r="F443" s="3" t="s">
        <v>35</v>
      </c>
      <c r="G443" s="78">
        <v>24.37</v>
      </c>
      <c r="H443" s="20">
        <f t="shared" si="8"/>
        <v>8769.2999999999993</v>
      </c>
    </row>
    <row r="444" spans="1:8" ht="20.100000000000001" customHeight="1" x14ac:dyDescent="0.25">
      <c r="A444" s="52"/>
      <c r="B444" s="9"/>
      <c r="C444" s="44" t="s">
        <v>428</v>
      </c>
      <c r="D444" s="44" t="s">
        <v>428</v>
      </c>
      <c r="E444" s="78">
        <v>1</v>
      </c>
      <c r="F444" s="9"/>
      <c r="G444" s="79">
        <f>SUM(H434:H443)</f>
        <v>45700.63</v>
      </c>
      <c r="H444" s="29">
        <f t="shared" si="8"/>
        <v>45700.63</v>
      </c>
    </row>
    <row r="445" spans="1:8" ht="20.100000000000001" customHeight="1" x14ac:dyDescent="0.25">
      <c r="A445" s="60"/>
      <c r="B445" s="12"/>
      <c r="C445" s="45"/>
      <c r="D445" s="45"/>
      <c r="E445" s="34"/>
      <c r="F445" s="12"/>
      <c r="G445" s="34"/>
      <c r="H445" s="30"/>
    </row>
    <row r="446" spans="1:8" ht="20.100000000000001" customHeight="1" x14ac:dyDescent="0.25">
      <c r="A446" s="62" t="s">
        <v>429</v>
      </c>
      <c r="B446" s="7" t="s">
        <v>9</v>
      </c>
      <c r="C446" s="47" t="s">
        <v>384</v>
      </c>
      <c r="D446" s="47" t="s">
        <v>1184</v>
      </c>
      <c r="E446" s="81">
        <f>E457</f>
        <v>1</v>
      </c>
      <c r="F446" s="7" t="s">
        <v>10</v>
      </c>
      <c r="G446" s="81">
        <f>G457</f>
        <v>33680.230000000003</v>
      </c>
      <c r="H446" s="21">
        <f>H457</f>
        <v>33680.230000000003</v>
      </c>
    </row>
    <row r="447" spans="1:8" ht="20.100000000000001" customHeight="1" x14ac:dyDescent="0.25">
      <c r="A447" s="59" t="s">
        <v>432</v>
      </c>
      <c r="B447" s="3" t="s">
        <v>17</v>
      </c>
      <c r="C447" s="43" t="s">
        <v>386</v>
      </c>
      <c r="D447" s="43" t="s">
        <v>1185</v>
      </c>
      <c r="E447" s="78">
        <v>616.38</v>
      </c>
      <c r="F447" s="3" t="s">
        <v>18</v>
      </c>
      <c r="G447" s="78">
        <v>4.7699999999999996</v>
      </c>
      <c r="H447" s="20">
        <f t="shared" ref="H447:H457" si="9">ROUND(E447*G447,2)</f>
        <v>2940.13</v>
      </c>
    </row>
    <row r="448" spans="1:8" ht="20.100000000000001" customHeight="1" x14ac:dyDescent="0.25">
      <c r="A448" s="59" t="s">
        <v>435</v>
      </c>
      <c r="B448" s="3" t="s">
        <v>17</v>
      </c>
      <c r="C448" s="43" t="s">
        <v>388</v>
      </c>
      <c r="D448" s="43" t="s">
        <v>1194</v>
      </c>
      <c r="E448" s="78">
        <v>161.07</v>
      </c>
      <c r="F448" s="3" t="s">
        <v>18</v>
      </c>
      <c r="G448" s="78">
        <v>13</v>
      </c>
      <c r="H448" s="20">
        <f t="shared" si="9"/>
        <v>2093.91</v>
      </c>
    </row>
    <row r="449" spans="1:8" ht="20.100000000000001" customHeight="1" x14ac:dyDescent="0.25">
      <c r="A449" s="59" t="s">
        <v>437</v>
      </c>
      <c r="B449" s="3" t="s">
        <v>17</v>
      </c>
      <c r="C449" s="43" t="s">
        <v>390</v>
      </c>
      <c r="D449" s="43" t="s">
        <v>1186</v>
      </c>
      <c r="E449" s="78">
        <v>123.99</v>
      </c>
      <c r="F449" s="3" t="s">
        <v>29</v>
      </c>
      <c r="G449" s="78">
        <v>15.36</v>
      </c>
      <c r="H449" s="20">
        <f t="shared" si="9"/>
        <v>1904.49</v>
      </c>
    </row>
    <row r="450" spans="1:8" ht="20.100000000000001" customHeight="1" x14ac:dyDescent="0.25">
      <c r="A450" s="59" t="s">
        <v>439</v>
      </c>
      <c r="B450" s="3" t="s">
        <v>17</v>
      </c>
      <c r="C450" s="43" t="s">
        <v>392</v>
      </c>
      <c r="D450" s="43" t="s">
        <v>1190</v>
      </c>
      <c r="E450" s="78">
        <v>49.76</v>
      </c>
      <c r="F450" s="3" t="s">
        <v>29</v>
      </c>
      <c r="G450" s="78">
        <v>33.28</v>
      </c>
      <c r="H450" s="20">
        <f t="shared" si="9"/>
        <v>1656.01</v>
      </c>
    </row>
    <row r="451" spans="1:8" ht="20.100000000000001" customHeight="1" x14ac:dyDescent="0.25">
      <c r="A451" s="59" t="s">
        <v>443</v>
      </c>
      <c r="B451" s="3" t="s">
        <v>17</v>
      </c>
      <c r="C451" s="43" t="s">
        <v>394</v>
      </c>
      <c r="D451" s="43" t="s">
        <v>1189</v>
      </c>
      <c r="E451" s="78">
        <v>92.52</v>
      </c>
      <c r="F451" s="3" t="s">
        <v>18</v>
      </c>
      <c r="G451" s="78">
        <v>17.93</v>
      </c>
      <c r="H451" s="20">
        <f t="shared" si="9"/>
        <v>1658.88</v>
      </c>
    </row>
    <row r="452" spans="1:8" ht="20.100000000000001" customHeight="1" x14ac:dyDescent="0.25">
      <c r="A452" s="59" t="s">
        <v>1465</v>
      </c>
      <c r="B452" s="3" t="s">
        <v>17</v>
      </c>
      <c r="C452" s="43" t="s">
        <v>396</v>
      </c>
      <c r="D452" s="43" t="s">
        <v>1188</v>
      </c>
      <c r="E452" s="78">
        <v>523.87</v>
      </c>
      <c r="F452" s="3" t="s">
        <v>18</v>
      </c>
      <c r="G452" s="78">
        <v>19.059999999999999</v>
      </c>
      <c r="H452" s="20">
        <f t="shared" si="9"/>
        <v>9984.9599999999991</v>
      </c>
    </row>
    <row r="453" spans="1:8" ht="20.100000000000001" customHeight="1" x14ac:dyDescent="0.25">
      <c r="A453" s="59" t="s">
        <v>1466</v>
      </c>
      <c r="B453" s="3" t="s">
        <v>17</v>
      </c>
      <c r="C453" s="43" t="s">
        <v>398</v>
      </c>
      <c r="D453" s="43" t="s">
        <v>1191</v>
      </c>
      <c r="E453" s="78">
        <v>52.09</v>
      </c>
      <c r="F453" s="3" t="s">
        <v>29</v>
      </c>
      <c r="G453" s="78">
        <v>3.84</v>
      </c>
      <c r="H453" s="20">
        <f t="shared" si="9"/>
        <v>200.03</v>
      </c>
    </row>
    <row r="454" spans="1:8" ht="20.100000000000001" customHeight="1" x14ac:dyDescent="0.25">
      <c r="A454" s="59" t="s">
        <v>1467</v>
      </c>
      <c r="B454" s="3" t="s">
        <v>17</v>
      </c>
      <c r="C454" s="43" t="s">
        <v>400</v>
      </c>
      <c r="D454" s="43" t="s">
        <v>1192</v>
      </c>
      <c r="E454" s="78">
        <v>102.93</v>
      </c>
      <c r="F454" s="3" t="s">
        <v>18</v>
      </c>
      <c r="G454" s="78">
        <v>41.27</v>
      </c>
      <c r="H454" s="20">
        <f t="shared" si="9"/>
        <v>4247.92</v>
      </c>
    </row>
    <row r="455" spans="1:8" ht="20.100000000000001" customHeight="1" x14ac:dyDescent="0.25">
      <c r="A455" s="59" t="s">
        <v>1468</v>
      </c>
      <c r="B455" s="3" t="s">
        <v>17</v>
      </c>
      <c r="C455" s="43" t="s">
        <v>402</v>
      </c>
      <c r="D455" s="43" t="s">
        <v>1193</v>
      </c>
      <c r="E455" s="78">
        <v>534.28</v>
      </c>
      <c r="F455" s="3" t="s">
        <v>35</v>
      </c>
      <c r="G455" s="78">
        <v>16.52</v>
      </c>
      <c r="H455" s="20">
        <f t="shared" si="9"/>
        <v>8826.31</v>
      </c>
    </row>
    <row r="456" spans="1:8" ht="20.100000000000001" customHeight="1" x14ac:dyDescent="0.25">
      <c r="A456" s="59" t="s">
        <v>1469</v>
      </c>
      <c r="B456" s="3" t="s">
        <v>17</v>
      </c>
      <c r="C456" s="43" t="s">
        <v>404</v>
      </c>
      <c r="D456" s="43" t="s">
        <v>1463</v>
      </c>
      <c r="E456" s="78">
        <v>21.16</v>
      </c>
      <c r="F456" s="3" t="s">
        <v>277</v>
      </c>
      <c r="G456" s="78">
        <v>7.92</v>
      </c>
      <c r="H456" s="20">
        <f t="shared" si="9"/>
        <v>167.59</v>
      </c>
    </row>
    <row r="457" spans="1:8" ht="20.100000000000001" customHeight="1" x14ac:dyDescent="0.25">
      <c r="A457" s="52"/>
      <c r="B457" s="9"/>
      <c r="C457" s="44" t="s">
        <v>445</v>
      </c>
      <c r="D457" s="44" t="s">
        <v>445</v>
      </c>
      <c r="E457" s="78">
        <v>1</v>
      </c>
      <c r="F457" s="9"/>
      <c r="G457" s="79">
        <f>SUM(H447:H456)</f>
        <v>33680.230000000003</v>
      </c>
      <c r="H457" s="29">
        <f t="shared" si="9"/>
        <v>33680.230000000003</v>
      </c>
    </row>
    <row r="458" spans="1:8" ht="20.100000000000001" hidden="1" customHeight="1" outlineLevel="1" x14ac:dyDescent="0.25">
      <c r="A458" s="60"/>
      <c r="B458" s="12"/>
      <c r="C458" s="45"/>
      <c r="D458" s="45"/>
      <c r="E458" s="34"/>
      <c r="F458" s="12"/>
      <c r="G458" s="34"/>
      <c r="H458" s="30"/>
    </row>
    <row r="459" spans="1:8" ht="20.100000000000001" hidden="1" customHeight="1" outlineLevel="1" x14ac:dyDescent="0.25">
      <c r="A459" s="62" t="s">
        <v>656</v>
      </c>
      <c r="B459" s="7" t="s">
        <v>9</v>
      </c>
      <c r="C459" s="47" t="s">
        <v>407</v>
      </c>
      <c r="D459" s="47"/>
      <c r="E459" s="81">
        <f>E476</f>
        <v>1</v>
      </c>
      <c r="F459" s="7" t="s">
        <v>10</v>
      </c>
      <c r="G459" s="81">
        <f>G476</f>
        <v>0</v>
      </c>
      <c r="H459" s="21">
        <f>H476</f>
        <v>0</v>
      </c>
    </row>
    <row r="460" spans="1:8" ht="20.100000000000001" hidden="1" customHeight="1" outlineLevel="1" x14ac:dyDescent="0.25">
      <c r="A460" s="63"/>
      <c r="B460" s="18" t="s">
        <v>9</v>
      </c>
      <c r="C460" s="48" t="s">
        <v>408</v>
      </c>
      <c r="D460" s="48" t="s">
        <v>1196</v>
      </c>
      <c r="E460" s="82">
        <f>E464</f>
        <v>1</v>
      </c>
      <c r="F460" s="18" t="s">
        <v>65</v>
      </c>
      <c r="G460" s="82">
        <f>G464</f>
        <v>0</v>
      </c>
      <c r="H460" s="32">
        <f>H464</f>
        <v>0</v>
      </c>
    </row>
    <row r="461" spans="1:8" ht="20.100000000000001" hidden="1" customHeight="1" outlineLevel="1" x14ac:dyDescent="0.25">
      <c r="A461" s="59" t="s">
        <v>657</v>
      </c>
      <c r="B461" s="3" t="s">
        <v>17</v>
      </c>
      <c r="C461" s="43" t="s">
        <v>658</v>
      </c>
      <c r="D461" s="43" t="s">
        <v>1309</v>
      </c>
      <c r="E461" s="78">
        <v>1</v>
      </c>
      <c r="F461" s="3" t="s">
        <v>433</v>
      </c>
      <c r="G461" s="78"/>
      <c r="H461" s="20"/>
    </row>
    <row r="462" spans="1:8" ht="20.100000000000001" hidden="1" customHeight="1" outlineLevel="1" x14ac:dyDescent="0.25">
      <c r="A462" s="59" t="s">
        <v>659</v>
      </c>
      <c r="B462" s="3" t="s">
        <v>17</v>
      </c>
      <c r="C462" s="43" t="s">
        <v>660</v>
      </c>
      <c r="D462" s="43" t="s">
        <v>1198</v>
      </c>
      <c r="E462" s="78">
        <v>15.94</v>
      </c>
      <c r="F462" s="3" t="s">
        <v>18</v>
      </c>
      <c r="G462" s="78"/>
      <c r="H462" s="20"/>
    </row>
    <row r="463" spans="1:8" ht="20.100000000000001" hidden="1" customHeight="1" outlineLevel="1" x14ac:dyDescent="0.25">
      <c r="A463" s="59" t="s">
        <v>661</v>
      </c>
      <c r="B463" s="3" t="s">
        <v>17</v>
      </c>
      <c r="C463" s="43" t="s">
        <v>412</v>
      </c>
      <c r="D463" s="91" t="s">
        <v>1200</v>
      </c>
      <c r="E463" s="78">
        <v>17.8</v>
      </c>
      <c r="F463" s="3" t="s">
        <v>29</v>
      </c>
      <c r="G463" s="78"/>
      <c r="H463" s="20"/>
    </row>
    <row r="464" spans="1:8" ht="20.100000000000001" hidden="1" customHeight="1" outlineLevel="1" x14ac:dyDescent="0.25">
      <c r="A464" s="52"/>
      <c r="B464" s="9"/>
      <c r="C464" s="44" t="s">
        <v>1310</v>
      </c>
      <c r="D464" s="44" t="s">
        <v>1310</v>
      </c>
      <c r="E464" s="78">
        <v>1</v>
      </c>
      <c r="F464" s="9"/>
      <c r="G464" s="79">
        <f>SUM(H461:H463)</f>
        <v>0</v>
      </c>
      <c r="H464" s="29">
        <f>ROUND(E464*G464,2)</f>
        <v>0</v>
      </c>
    </row>
    <row r="465" spans="1:8" ht="20.100000000000001" hidden="1" customHeight="1" outlineLevel="1" x14ac:dyDescent="0.25">
      <c r="A465" s="60"/>
      <c r="B465" s="12"/>
      <c r="C465" s="45"/>
      <c r="D465" s="45"/>
      <c r="E465" s="34"/>
      <c r="F465" s="12"/>
      <c r="G465" s="34"/>
      <c r="H465" s="30"/>
    </row>
    <row r="466" spans="1:8" ht="20.100000000000001" hidden="1" customHeight="1" outlineLevel="1" x14ac:dyDescent="0.25">
      <c r="A466" s="63"/>
      <c r="B466" s="18" t="s">
        <v>9</v>
      </c>
      <c r="C466" s="48" t="s">
        <v>413</v>
      </c>
      <c r="D466" s="48" t="s">
        <v>1197</v>
      </c>
      <c r="E466" s="82">
        <f>E474</f>
        <v>1</v>
      </c>
      <c r="F466" s="18" t="s">
        <v>65</v>
      </c>
      <c r="G466" s="82">
        <f>G474</f>
        <v>0</v>
      </c>
      <c r="H466" s="32">
        <f>H474</f>
        <v>0</v>
      </c>
    </row>
    <row r="467" spans="1:8" ht="20.100000000000001" hidden="1" customHeight="1" outlineLevel="1" x14ac:dyDescent="0.25">
      <c r="A467" s="59" t="s">
        <v>662</v>
      </c>
      <c r="B467" s="3" t="s">
        <v>17</v>
      </c>
      <c r="C467" s="43" t="s">
        <v>663</v>
      </c>
      <c r="D467" s="43" t="s">
        <v>1202</v>
      </c>
      <c r="E467" s="78">
        <v>243.78</v>
      </c>
      <c r="F467" s="3" t="s">
        <v>35</v>
      </c>
      <c r="G467" s="78"/>
      <c r="H467" s="20"/>
    </row>
    <row r="468" spans="1:8" ht="20.100000000000001" hidden="1" customHeight="1" outlineLevel="1" x14ac:dyDescent="0.25">
      <c r="A468" s="59" t="s">
        <v>664</v>
      </c>
      <c r="B468" s="3" t="s">
        <v>17</v>
      </c>
      <c r="C468" s="43" t="s">
        <v>665</v>
      </c>
      <c r="D468" s="43" t="s">
        <v>1311</v>
      </c>
      <c r="E468" s="78">
        <v>138.75</v>
      </c>
      <c r="F468" s="3" t="s">
        <v>35</v>
      </c>
      <c r="G468" s="78"/>
      <c r="H468" s="20"/>
    </row>
    <row r="469" spans="1:8" ht="20.100000000000001" hidden="1" customHeight="1" outlineLevel="1" x14ac:dyDescent="0.25">
      <c r="A469" s="59" t="s">
        <v>666</v>
      </c>
      <c r="B469" s="3" t="s">
        <v>17</v>
      </c>
      <c r="C469" s="43" t="s">
        <v>667</v>
      </c>
      <c r="D469" s="43" t="s">
        <v>1205</v>
      </c>
      <c r="E469" s="78">
        <v>18.86</v>
      </c>
      <c r="F469" s="3" t="s">
        <v>35</v>
      </c>
      <c r="G469" s="78"/>
      <c r="H469" s="20"/>
    </row>
    <row r="470" spans="1:8" ht="20.100000000000001" hidden="1" customHeight="1" outlineLevel="1" x14ac:dyDescent="0.25">
      <c r="A470" s="59" t="s">
        <v>668</v>
      </c>
      <c r="B470" s="3" t="s">
        <v>17</v>
      </c>
      <c r="C470" s="43" t="s">
        <v>669</v>
      </c>
      <c r="D470" s="43" t="s">
        <v>1206</v>
      </c>
      <c r="E470" s="78">
        <v>40.31</v>
      </c>
      <c r="F470" s="3" t="s">
        <v>18</v>
      </c>
      <c r="G470" s="78"/>
      <c r="H470" s="20"/>
    </row>
    <row r="471" spans="1:8" ht="20.100000000000001" hidden="1" customHeight="1" outlineLevel="1" x14ac:dyDescent="0.25">
      <c r="A471" s="59" t="s">
        <v>670</v>
      </c>
      <c r="B471" s="3" t="s">
        <v>17</v>
      </c>
      <c r="C471" s="43" t="s">
        <v>425</v>
      </c>
      <c r="D471" s="43" t="s">
        <v>1207</v>
      </c>
      <c r="E471" s="78">
        <v>61.32</v>
      </c>
      <c r="F471" s="3" t="s">
        <v>18</v>
      </c>
      <c r="G471" s="78"/>
      <c r="H471" s="20"/>
    </row>
    <row r="472" spans="1:8" ht="20.100000000000001" hidden="1" customHeight="1" outlineLevel="1" x14ac:dyDescent="0.25">
      <c r="A472" s="59" t="s">
        <v>671</v>
      </c>
      <c r="B472" s="3" t="s">
        <v>17</v>
      </c>
      <c r="C472" s="43" t="s">
        <v>427</v>
      </c>
      <c r="D472" s="43" t="s">
        <v>1208</v>
      </c>
      <c r="E472" s="78">
        <v>111.59</v>
      </c>
      <c r="F472" s="3" t="s">
        <v>18</v>
      </c>
      <c r="G472" s="78"/>
      <c r="H472" s="20"/>
    </row>
    <row r="473" spans="1:8" ht="20.100000000000001" hidden="1" customHeight="1" outlineLevel="1" x14ac:dyDescent="0.25">
      <c r="A473" s="59" t="s">
        <v>672</v>
      </c>
      <c r="B473" s="3" t="s">
        <v>17</v>
      </c>
      <c r="C473" s="43" t="s">
        <v>421</v>
      </c>
      <c r="D473" s="43" t="s">
        <v>1203</v>
      </c>
      <c r="E473" s="78">
        <v>21.7</v>
      </c>
      <c r="F473" s="3" t="s">
        <v>29</v>
      </c>
      <c r="G473" s="78"/>
      <c r="H473" s="20"/>
    </row>
    <row r="474" spans="1:8" ht="20.100000000000001" hidden="1" customHeight="1" outlineLevel="1" x14ac:dyDescent="0.25">
      <c r="A474" s="52"/>
      <c r="B474" s="9"/>
      <c r="C474" s="44" t="s">
        <v>1312</v>
      </c>
      <c r="D474" s="44" t="s">
        <v>1312</v>
      </c>
      <c r="E474" s="78">
        <v>1</v>
      </c>
      <c r="F474" s="9"/>
      <c r="G474" s="79">
        <f>SUM(H467:H473)</f>
        <v>0</v>
      </c>
      <c r="H474" s="29">
        <f>ROUND(E474*G474,2)</f>
        <v>0</v>
      </c>
    </row>
    <row r="475" spans="1:8" ht="20.100000000000001" hidden="1" customHeight="1" outlineLevel="1" x14ac:dyDescent="0.25">
      <c r="A475" s="60"/>
      <c r="B475" s="12"/>
      <c r="C475" s="45"/>
      <c r="D475" s="45"/>
      <c r="E475" s="34"/>
      <c r="F475" s="12"/>
      <c r="G475" s="34"/>
      <c r="H475" s="30"/>
    </row>
    <row r="476" spans="1:8" ht="20.100000000000001" hidden="1" customHeight="1" outlineLevel="1" x14ac:dyDescent="0.25">
      <c r="A476" s="52"/>
      <c r="B476" s="9"/>
      <c r="C476" s="44" t="s">
        <v>673</v>
      </c>
      <c r="D476" s="44"/>
      <c r="E476" s="78">
        <v>1</v>
      </c>
      <c r="F476" s="9"/>
      <c r="G476" s="79">
        <f>H460+H466</f>
        <v>0</v>
      </c>
      <c r="H476" s="29">
        <f>ROUND(E476*G476,2)</f>
        <v>0</v>
      </c>
    </row>
    <row r="477" spans="1:8" ht="20.100000000000001" hidden="1" customHeight="1" outlineLevel="1" x14ac:dyDescent="0.25">
      <c r="A477" s="60"/>
      <c r="B477" s="12"/>
      <c r="C477" s="45"/>
      <c r="D477" s="45"/>
      <c r="E477" s="34"/>
      <c r="F477" s="12"/>
      <c r="G477" s="34"/>
      <c r="H477" s="30"/>
    </row>
    <row r="478" spans="1:8" ht="20.100000000000001" hidden="1" customHeight="1" outlineLevel="1" x14ac:dyDescent="0.25">
      <c r="A478" s="62" t="s">
        <v>674</v>
      </c>
      <c r="B478" s="7" t="s">
        <v>9</v>
      </c>
      <c r="C478" s="47" t="s">
        <v>430</v>
      </c>
      <c r="D478" s="47" t="s">
        <v>1211</v>
      </c>
      <c r="E478" s="81">
        <f>E493</f>
        <v>1</v>
      </c>
      <c r="F478" s="7" t="s">
        <v>10</v>
      </c>
      <c r="G478" s="81">
        <f>G493</f>
        <v>0</v>
      </c>
      <c r="H478" s="21">
        <f>H493</f>
        <v>0</v>
      </c>
    </row>
    <row r="479" spans="1:8" ht="20.100000000000001" hidden="1" customHeight="1" outlineLevel="1" x14ac:dyDescent="0.25">
      <c r="A479" s="63"/>
      <c r="B479" s="18" t="s">
        <v>9</v>
      </c>
      <c r="C479" s="48" t="s">
        <v>431</v>
      </c>
      <c r="D479" s="48" t="s">
        <v>1212</v>
      </c>
      <c r="E479" s="82">
        <f>E487</f>
        <v>1</v>
      </c>
      <c r="F479" s="18" t="s">
        <v>65</v>
      </c>
      <c r="G479" s="82">
        <f>G487</f>
        <v>0</v>
      </c>
      <c r="H479" s="32">
        <f>H487</f>
        <v>0</v>
      </c>
    </row>
    <row r="480" spans="1:8" ht="20.100000000000001" hidden="1" customHeight="1" outlineLevel="1" x14ac:dyDescent="0.25">
      <c r="A480" s="59" t="s">
        <v>675</v>
      </c>
      <c r="B480" s="3" t="s">
        <v>17</v>
      </c>
      <c r="C480" s="43" t="s">
        <v>676</v>
      </c>
      <c r="D480" s="43" t="s">
        <v>1313</v>
      </c>
      <c r="E480" s="78">
        <v>1</v>
      </c>
      <c r="F480" s="3" t="s">
        <v>433</v>
      </c>
      <c r="G480" s="78"/>
      <c r="H480" s="20"/>
    </row>
    <row r="481" spans="1:8" ht="20.100000000000001" hidden="1" customHeight="1" outlineLevel="1" x14ac:dyDescent="0.25">
      <c r="A481" s="59" t="s">
        <v>677</v>
      </c>
      <c r="B481" s="3" t="s">
        <v>17</v>
      </c>
      <c r="C481" s="43" t="s">
        <v>493</v>
      </c>
      <c r="D481" s="43" t="s">
        <v>493</v>
      </c>
      <c r="E481" s="78">
        <v>1</v>
      </c>
      <c r="F481" s="3" t="s">
        <v>433</v>
      </c>
      <c r="G481" s="78"/>
      <c r="H481" s="20"/>
    </row>
    <row r="482" spans="1:8" ht="20.100000000000001" hidden="1" customHeight="1" outlineLevel="1" x14ac:dyDescent="0.25">
      <c r="A482" s="59" t="s">
        <v>678</v>
      </c>
      <c r="B482" s="3" t="s">
        <v>17</v>
      </c>
      <c r="C482" s="43" t="s">
        <v>548</v>
      </c>
      <c r="D482" s="43" t="s">
        <v>1314</v>
      </c>
      <c r="E482" s="78">
        <v>1</v>
      </c>
      <c r="F482" s="3" t="s">
        <v>433</v>
      </c>
      <c r="G482" s="78"/>
      <c r="H482" s="20"/>
    </row>
    <row r="483" spans="1:8" ht="20.100000000000001" hidden="1" customHeight="1" outlineLevel="1" x14ac:dyDescent="0.25">
      <c r="A483" s="59" t="s">
        <v>679</v>
      </c>
      <c r="B483" s="3" t="s">
        <v>17</v>
      </c>
      <c r="C483" s="43" t="s">
        <v>680</v>
      </c>
      <c r="D483" s="43" t="s">
        <v>680</v>
      </c>
      <c r="E483" s="78">
        <v>1</v>
      </c>
      <c r="F483" s="3" t="s">
        <v>433</v>
      </c>
      <c r="G483" s="78"/>
      <c r="H483" s="20"/>
    </row>
    <row r="484" spans="1:8" ht="20.100000000000001" hidden="1" customHeight="1" outlineLevel="1" x14ac:dyDescent="0.25">
      <c r="A484" s="59" t="s">
        <v>681</v>
      </c>
      <c r="B484" s="3" t="s">
        <v>17</v>
      </c>
      <c r="C484" s="43" t="s">
        <v>682</v>
      </c>
      <c r="D484" s="43" t="s">
        <v>682</v>
      </c>
      <c r="E484" s="78">
        <v>1</v>
      </c>
      <c r="F484" s="3" t="s">
        <v>433</v>
      </c>
      <c r="G484" s="78"/>
      <c r="H484" s="20"/>
    </row>
    <row r="485" spans="1:8" ht="20.100000000000001" hidden="1" customHeight="1" outlineLevel="1" x14ac:dyDescent="0.25">
      <c r="A485" s="59" t="s">
        <v>683</v>
      </c>
      <c r="B485" s="3" t="s">
        <v>17</v>
      </c>
      <c r="C485" s="43" t="s">
        <v>684</v>
      </c>
      <c r="D485" s="43" t="s">
        <v>684</v>
      </c>
      <c r="E485" s="78">
        <v>1</v>
      </c>
      <c r="F485" s="3" t="s">
        <v>433</v>
      </c>
      <c r="G485" s="78"/>
      <c r="H485" s="20"/>
    </row>
    <row r="486" spans="1:8" ht="20.100000000000001" hidden="1" customHeight="1" outlineLevel="1" x14ac:dyDescent="0.25">
      <c r="A486" s="59" t="s">
        <v>685</v>
      </c>
      <c r="B486" s="3" t="s">
        <v>17</v>
      </c>
      <c r="C486" s="43" t="s">
        <v>686</v>
      </c>
      <c r="D486" s="43" t="s">
        <v>686</v>
      </c>
      <c r="E486" s="78">
        <v>1</v>
      </c>
      <c r="F486" s="3" t="s">
        <v>433</v>
      </c>
      <c r="G486" s="78"/>
      <c r="H486" s="20"/>
    </row>
    <row r="487" spans="1:8" ht="20.100000000000001" hidden="1" customHeight="1" outlineLevel="1" x14ac:dyDescent="0.25">
      <c r="A487" s="52"/>
      <c r="B487" s="9"/>
      <c r="C487" s="44" t="s">
        <v>1315</v>
      </c>
      <c r="D487" s="44" t="s">
        <v>1315</v>
      </c>
      <c r="E487" s="78">
        <v>1</v>
      </c>
      <c r="F487" s="9"/>
      <c r="G487" s="79">
        <f>SUM(H480:H486)</f>
        <v>0</v>
      </c>
      <c r="H487" s="29">
        <f>ROUND(E487*G487,2)</f>
        <v>0</v>
      </c>
    </row>
    <row r="488" spans="1:8" ht="20.100000000000001" hidden="1" customHeight="1" outlineLevel="1" x14ac:dyDescent="0.25">
      <c r="A488" s="60"/>
      <c r="B488" s="12"/>
      <c r="C488" s="45"/>
      <c r="D488" s="45"/>
      <c r="E488" s="34"/>
      <c r="F488" s="12"/>
      <c r="G488" s="34"/>
      <c r="H488" s="30"/>
    </row>
    <row r="489" spans="1:8" ht="20.100000000000001" hidden="1" customHeight="1" outlineLevel="1" x14ac:dyDescent="0.25">
      <c r="A489" s="63"/>
      <c r="B489" s="18" t="s">
        <v>9</v>
      </c>
      <c r="C489" s="48" t="s">
        <v>687</v>
      </c>
      <c r="D489" s="48" t="s">
        <v>1215</v>
      </c>
      <c r="E489" s="82">
        <f>E491</f>
        <v>1</v>
      </c>
      <c r="F489" s="18" t="s">
        <v>65</v>
      </c>
      <c r="G489" s="82">
        <f>G491</f>
        <v>0</v>
      </c>
      <c r="H489" s="32">
        <f>H491</f>
        <v>0</v>
      </c>
    </row>
    <row r="490" spans="1:8" ht="20.100000000000001" hidden="1" customHeight="1" outlineLevel="1" x14ac:dyDescent="0.25">
      <c r="A490" s="59" t="s">
        <v>688</v>
      </c>
      <c r="B490" s="3" t="s">
        <v>17</v>
      </c>
      <c r="C490" s="43" t="s">
        <v>689</v>
      </c>
      <c r="D490" s="43" t="s">
        <v>1317</v>
      </c>
      <c r="E490" s="78">
        <v>54.43</v>
      </c>
      <c r="F490" s="3" t="s">
        <v>35</v>
      </c>
      <c r="G490" s="78"/>
      <c r="H490" s="20"/>
    </row>
    <row r="491" spans="1:8" ht="20.100000000000001" hidden="1" customHeight="1" outlineLevel="1" x14ac:dyDescent="0.25">
      <c r="A491" s="52"/>
      <c r="B491" s="9"/>
      <c r="C491" s="44" t="s">
        <v>1316</v>
      </c>
      <c r="D491" s="44" t="s">
        <v>1316</v>
      </c>
      <c r="E491" s="78">
        <v>1</v>
      </c>
      <c r="F491" s="9"/>
      <c r="G491" s="79">
        <f>H490</f>
        <v>0</v>
      </c>
      <c r="H491" s="29">
        <f>ROUND(E491*G491,2)</f>
        <v>0</v>
      </c>
    </row>
    <row r="492" spans="1:8" ht="20.100000000000001" hidden="1" customHeight="1" outlineLevel="1" x14ac:dyDescent="0.25">
      <c r="A492" s="60"/>
      <c r="B492" s="12"/>
      <c r="C492" s="45"/>
      <c r="D492" s="45"/>
      <c r="E492" s="34"/>
      <c r="F492" s="12"/>
      <c r="G492" s="34"/>
      <c r="H492" s="30"/>
    </row>
    <row r="493" spans="1:8" ht="20.100000000000001" hidden="1" customHeight="1" outlineLevel="1" x14ac:dyDescent="0.25">
      <c r="A493" s="52"/>
      <c r="B493" s="9"/>
      <c r="C493" s="44" t="s">
        <v>690</v>
      </c>
      <c r="D493" s="44" t="s">
        <v>690</v>
      </c>
      <c r="E493" s="78">
        <v>1</v>
      </c>
      <c r="F493" s="9"/>
      <c r="G493" s="79">
        <f>H479+H489</f>
        <v>0</v>
      </c>
      <c r="H493" s="29">
        <f>ROUND(E493*G493,2)</f>
        <v>0</v>
      </c>
    </row>
    <row r="494" spans="1:8" ht="20.100000000000001" hidden="1" customHeight="1" outlineLevel="1" x14ac:dyDescent="0.25">
      <c r="A494" s="60"/>
      <c r="B494" s="12"/>
      <c r="C494" s="45"/>
      <c r="D494" s="45"/>
      <c r="E494" s="34"/>
      <c r="F494" s="12"/>
      <c r="G494" s="34"/>
      <c r="H494" s="30"/>
    </row>
    <row r="495" spans="1:8" ht="20.100000000000001" hidden="1" customHeight="1" outlineLevel="1" x14ac:dyDescent="0.25">
      <c r="A495" s="62" t="s">
        <v>691</v>
      </c>
      <c r="B495" s="7" t="s">
        <v>9</v>
      </c>
      <c r="C495" s="47" t="s">
        <v>692</v>
      </c>
      <c r="D495" s="47" t="s">
        <v>1217</v>
      </c>
      <c r="E495" s="81">
        <f>E512</f>
        <v>1</v>
      </c>
      <c r="F495" s="7" t="s">
        <v>10</v>
      </c>
      <c r="G495" s="81">
        <f>G512</f>
        <v>0</v>
      </c>
      <c r="H495" s="21">
        <f>H512</f>
        <v>0</v>
      </c>
    </row>
    <row r="496" spans="1:8" ht="20.100000000000001" hidden="1" customHeight="1" outlineLevel="1" x14ac:dyDescent="0.25">
      <c r="A496" s="63"/>
      <c r="B496" s="18" t="s">
        <v>9</v>
      </c>
      <c r="C496" s="48" t="s">
        <v>408</v>
      </c>
      <c r="D496" s="48" t="s">
        <v>1196</v>
      </c>
      <c r="E496" s="82">
        <f>E503</f>
        <v>1</v>
      </c>
      <c r="F496" s="18" t="s">
        <v>65</v>
      </c>
      <c r="G496" s="82">
        <f>G503</f>
        <v>0</v>
      </c>
      <c r="H496" s="32">
        <f>H503</f>
        <v>0</v>
      </c>
    </row>
    <row r="497" spans="1:8" ht="20.100000000000001" hidden="1" customHeight="1" outlineLevel="1" x14ac:dyDescent="0.25">
      <c r="A497" s="59" t="s">
        <v>693</v>
      </c>
      <c r="B497" s="3" t="s">
        <v>17</v>
      </c>
      <c r="C497" s="43" t="s">
        <v>449</v>
      </c>
      <c r="D497" s="91" t="s">
        <v>1220</v>
      </c>
      <c r="E497" s="78">
        <v>982.58</v>
      </c>
      <c r="F497" s="3" t="s">
        <v>35</v>
      </c>
      <c r="G497" s="78"/>
      <c r="H497" s="20"/>
    </row>
    <row r="498" spans="1:8" ht="20.100000000000001" hidden="1" customHeight="1" outlineLevel="1" x14ac:dyDescent="0.25">
      <c r="A498" s="59" t="s">
        <v>694</v>
      </c>
      <c r="B498" s="3" t="s">
        <v>17</v>
      </c>
      <c r="C498" s="43" t="s">
        <v>451</v>
      </c>
      <c r="D498" s="91" t="s">
        <v>1219</v>
      </c>
      <c r="E498" s="78">
        <v>278.04000000000002</v>
      </c>
      <c r="F498" s="3" t="s">
        <v>35</v>
      </c>
      <c r="G498" s="78"/>
      <c r="H498" s="20"/>
    </row>
    <row r="499" spans="1:8" ht="20.100000000000001" hidden="1" customHeight="1" outlineLevel="1" x14ac:dyDescent="0.25">
      <c r="A499" s="59" t="s">
        <v>695</v>
      </c>
      <c r="B499" s="3" t="s">
        <v>17</v>
      </c>
      <c r="C499" s="43" t="s">
        <v>453</v>
      </c>
      <c r="D499" s="43" t="s">
        <v>1218</v>
      </c>
      <c r="E499" s="78">
        <v>401.94</v>
      </c>
      <c r="F499" s="3" t="s">
        <v>277</v>
      </c>
      <c r="G499" s="78"/>
      <c r="H499" s="20"/>
    </row>
    <row r="500" spans="1:8" ht="20.100000000000001" hidden="1" customHeight="1" outlineLevel="1" x14ac:dyDescent="0.25">
      <c r="A500" s="59" t="s">
        <v>696</v>
      </c>
      <c r="B500" s="3" t="s">
        <v>17</v>
      </c>
      <c r="C500" s="43" t="s">
        <v>455</v>
      </c>
      <c r="D500" s="43" t="s">
        <v>1223</v>
      </c>
      <c r="E500" s="78">
        <v>773.17</v>
      </c>
      <c r="F500" s="3" t="s">
        <v>277</v>
      </c>
      <c r="G500" s="78"/>
      <c r="H500" s="20"/>
    </row>
    <row r="501" spans="1:8" ht="20.100000000000001" hidden="1" customHeight="1" outlineLevel="1" x14ac:dyDescent="0.25">
      <c r="A501" s="59" t="s">
        <v>697</v>
      </c>
      <c r="B501" s="3" t="s">
        <v>17</v>
      </c>
      <c r="C501" s="43" t="s">
        <v>457</v>
      </c>
      <c r="D501" s="43" t="s">
        <v>1221</v>
      </c>
      <c r="E501" s="78">
        <v>10</v>
      </c>
      <c r="F501" s="3" t="s">
        <v>10</v>
      </c>
      <c r="G501" s="78"/>
      <c r="H501" s="20"/>
    </row>
    <row r="502" spans="1:8" ht="20.100000000000001" hidden="1" customHeight="1" outlineLevel="1" x14ac:dyDescent="0.25">
      <c r="A502" s="59" t="s">
        <v>698</v>
      </c>
      <c r="B502" s="3" t="s">
        <v>17</v>
      </c>
      <c r="C502" s="43" t="s">
        <v>459</v>
      </c>
      <c r="D502" s="43" t="s">
        <v>1222</v>
      </c>
      <c r="E502" s="78">
        <v>191.1</v>
      </c>
      <c r="F502" s="3" t="s">
        <v>277</v>
      </c>
      <c r="G502" s="78"/>
      <c r="H502" s="20"/>
    </row>
    <row r="503" spans="1:8" ht="20.100000000000001" hidden="1" customHeight="1" outlineLevel="1" x14ac:dyDescent="0.25">
      <c r="A503" s="52"/>
      <c r="B503" s="9"/>
      <c r="C503" s="44" t="s">
        <v>1318</v>
      </c>
      <c r="D503" s="44" t="s">
        <v>1318</v>
      </c>
      <c r="E503" s="78">
        <v>1</v>
      </c>
      <c r="F503" s="9"/>
      <c r="G503" s="79">
        <f>SUM(H497:H502)</f>
        <v>0</v>
      </c>
      <c r="H503" s="29">
        <f>ROUND(E503*G503,2)</f>
        <v>0</v>
      </c>
    </row>
    <row r="504" spans="1:8" ht="20.100000000000001" hidden="1" customHeight="1" outlineLevel="1" x14ac:dyDescent="0.25">
      <c r="A504" s="60"/>
      <c r="B504" s="12"/>
      <c r="C504" s="45"/>
      <c r="D504" s="45"/>
      <c r="E504" s="34"/>
      <c r="F504" s="12"/>
      <c r="G504" s="34"/>
      <c r="H504" s="30"/>
    </row>
    <row r="505" spans="1:8" ht="20.100000000000001" hidden="1" customHeight="1" outlineLevel="1" x14ac:dyDescent="0.25">
      <c r="A505" s="63"/>
      <c r="B505" s="18" t="s">
        <v>9</v>
      </c>
      <c r="C505" s="48" t="s">
        <v>413</v>
      </c>
      <c r="D505" s="48" t="s">
        <v>1197</v>
      </c>
      <c r="E505" s="82">
        <f>E510</f>
        <v>1</v>
      </c>
      <c r="F505" s="18" t="s">
        <v>65</v>
      </c>
      <c r="G505" s="82">
        <f>G510</f>
        <v>0</v>
      </c>
      <c r="H505" s="32">
        <f>H510</f>
        <v>0</v>
      </c>
    </row>
    <row r="506" spans="1:8" ht="20.100000000000001" hidden="1" customHeight="1" outlineLevel="1" x14ac:dyDescent="0.25">
      <c r="A506" s="59" t="s">
        <v>699</v>
      </c>
      <c r="B506" s="3" t="s">
        <v>17</v>
      </c>
      <c r="C506" s="43" t="s">
        <v>462</v>
      </c>
      <c r="D506" s="43" t="s">
        <v>1226</v>
      </c>
      <c r="E506" s="78">
        <v>488.17</v>
      </c>
      <c r="F506" s="3" t="s">
        <v>35</v>
      </c>
      <c r="G506" s="78"/>
      <c r="H506" s="20"/>
    </row>
    <row r="507" spans="1:8" ht="20.100000000000001" hidden="1" customHeight="1" outlineLevel="1" x14ac:dyDescent="0.25">
      <c r="A507" s="59" t="s">
        <v>700</v>
      </c>
      <c r="B507" s="3" t="s">
        <v>17</v>
      </c>
      <c r="C507" s="43" t="s">
        <v>1237</v>
      </c>
      <c r="D507" s="43" t="s">
        <v>1236</v>
      </c>
      <c r="E507" s="78">
        <v>534.28</v>
      </c>
      <c r="F507" s="3" t="s">
        <v>35</v>
      </c>
      <c r="G507" s="78"/>
      <c r="H507" s="20"/>
    </row>
    <row r="508" spans="1:8" ht="20.100000000000001" hidden="1" customHeight="1" outlineLevel="1" x14ac:dyDescent="0.25">
      <c r="A508" s="59" t="s">
        <v>701</v>
      </c>
      <c r="B508" s="3" t="s">
        <v>17</v>
      </c>
      <c r="C508" s="43" t="s">
        <v>466</v>
      </c>
      <c r="D508" s="91" t="s">
        <v>1228</v>
      </c>
      <c r="E508" s="78">
        <v>76.59</v>
      </c>
      <c r="F508" s="3" t="s">
        <v>277</v>
      </c>
      <c r="G508" s="78"/>
      <c r="H508" s="20"/>
    </row>
    <row r="509" spans="1:8" ht="20.100000000000001" hidden="1" customHeight="1" outlineLevel="1" x14ac:dyDescent="0.25">
      <c r="A509" s="59" t="s">
        <v>702</v>
      </c>
      <c r="B509" s="3" t="s">
        <v>17</v>
      </c>
      <c r="C509" s="43" t="s">
        <v>469</v>
      </c>
      <c r="D509" s="43" t="s">
        <v>1227</v>
      </c>
      <c r="E509" s="78">
        <v>505.09</v>
      </c>
      <c r="F509" s="3" t="s">
        <v>468</v>
      </c>
      <c r="G509" s="78"/>
      <c r="H509" s="20"/>
    </row>
    <row r="510" spans="1:8" ht="20.100000000000001" hidden="1" customHeight="1" outlineLevel="1" x14ac:dyDescent="0.25">
      <c r="A510" s="52"/>
      <c r="B510" s="9"/>
      <c r="C510" s="44" t="s">
        <v>1319</v>
      </c>
      <c r="D510" s="44" t="s">
        <v>1319</v>
      </c>
      <c r="E510" s="78">
        <v>1</v>
      </c>
      <c r="F510" s="9"/>
      <c r="G510" s="79">
        <f>SUM(H506:H509)</f>
        <v>0</v>
      </c>
      <c r="H510" s="29">
        <f>ROUND(E510*G510,2)</f>
        <v>0</v>
      </c>
    </row>
    <row r="511" spans="1:8" ht="20.100000000000001" hidden="1" customHeight="1" outlineLevel="1" x14ac:dyDescent="0.25">
      <c r="A511" s="60"/>
      <c r="B511" s="12"/>
      <c r="C511" s="45"/>
      <c r="D511" s="45"/>
      <c r="E511" s="34"/>
      <c r="F511" s="12"/>
      <c r="G511" s="34"/>
      <c r="H511" s="30"/>
    </row>
    <row r="512" spans="1:8" ht="20.100000000000001" hidden="1" customHeight="1" outlineLevel="1" x14ac:dyDescent="0.25">
      <c r="A512" s="52"/>
      <c r="B512" s="9"/>
      <c r="C512" s="44" t="s">
        <v>703</v>
      </c>
      <c r="D512" s="44" t="s">
        <v>703</v>
      </c>
      <c r="E512" s="78">
        <v>1</v>
      </c>
      <c r="F512" s="9"/>
      <c r="G512" s="79">
        <f>H496+H505</f>
        <v>0</v>
      </c>
      <c r="H512" s="29">
        <f>ROUND(E512*G512,2)</f>
        <v>0</v>
      </c>
    </row>
    <row r="513" spans="1:8" ht="20.100000000000001" hidden="1" customHeight="1" outlineLevel="1" x14ac:dyDescent="0.25">
      <c r="A513" s="60"/>
      <c r="B513" s="12"/>
      <c r="C513" s="45"/>
      <c r="D513" s="45"/>
      <c r="E513" s="34"/>
      <c r="F513" s="12"/>
      <c r="G513" s="34"/>
      <c r="H513" s="30"/>
    </row>
    <row r="514" spans="1:8" ht="20.100000000000001" hidden="1" customHeight="1" outlineLevel="1" x14ac:dyDescent="0.25">
      <c r="A514" s="62" t="s">
        <v>704</v>
      </c>
      <c r="B514" s="7" t="s">
        <v>9</v>
      </c>
      <c r="C514" s="47" t="s">
        <v>472</v>
      </c>
      <c r="D514" s="47" t="s">
        <v>1229</v>
      </c>
      <c r="E514" s="81">
        <f>E540</f>
        <v>1</v>
      </c>
      <c r="F514" s="7" t="s">
        <v>10</v>
      </c>
      <c r="G514" s="81">
        <f>G540</f>
        <v>0</v>
      </c>
      <c r="H514" s="21">
        <f>H540</f>
        <v>0</v>
      </c>
    </row>
    <row r="515" spans="1:8" ht="20.100000000000001" hidden="1" customHeight="1" outlineLevel="1" x14ac:dyDescent="0.25">
      <c r="A515" s="63"/>
      <c r="B515" s="18" t="s">
        <v>9</v>
      </c>
      <c r="C515" s="48" t="s">
        <v>705</v>
      </c>
      <c r="D515" s="48" t="s">
        <v>1230</v>
      </c>
      <c r="E515" s="82">
        <f>E528</f>
        <v>1</v>
      </c>
      <c r="F515" s="18" t="s">
        <v>65</v>
      </c>
      <c r="G515" s="82">
        <f>G528</f>
        <v>0</v>
      </c>
      <c r="H515" s="32">
        <f>H528</f>
        <v>0</v>
      </c>
    </row>
    <row r="516" spans="1:8" ht="20.100000000000001" hidden="1" customHeight="1" outlineLevel="1" x14ac:dyDescent="0.25">
      <c r="A516" s="59" t="s">
        <v>706</v>
      </c>
      <c r="B516" s="3" t="s">
        <v>17</v>
      </c>
      <c r="C516" s="43" t="s">
        <v>686</v>
      </c>
      <c r="D516" s="43" t="s">
        <v>686</v>
      </c>
      <c r="E516" s="78">
        <v>27.83</v>
      </c>
      <c r="F516" s="3" t="s">
        <v>35</v>
      </c>
      <c r="G516" s="78"/>
      <c r="H516" s="20"/>
    </row>
    <row r="517" spans="1:8" ht="20.100000000000001" hidden="1" customHeight="1" outlineLevel="1" x14ac:dyDescent="0.25">
      <c r="A517" s="59" t="s">
        <v>707</v>
      </c>
      <c r="B517" s="3" t="s">
        <v>17</v>
      </c>
      <c r="C517" s="43" t="s">
        <v>708</v>
      </c>
      <c r="D517" s="43" t="s">
        <v>708</v>
      </c>
      <c r="E517" s="78">
        <v>7.66</v>
      </c>
      <c r="F517" s="3" t="s">
        <v>35</v>
      </c>
      <c r="G517" s="78"/>
      <c r="H517" s="20"/>
    </row>
    <row r="518" spans="1:8" ht="20.100000000000001" hidden="1" customHeight="1" outlineLevel="1" x14ac:dyDescent="0.25">
      <c r="A518" s="59" t="s">
        <v>709</v>
      </c>
      <c r="B518" s="3" t="s">
        <v>17</v>
      </c>
      <c r="C518" s="43" t="s">
        <v>710</v>
      </c>
      <c r="D518" s="43" t="s">
        <v>710</v>
      </c>
      <c r="E518" s="78">
        <v>15.64</v>
      </c>
      <c r="F518" s="3" t="s">
        <v>35</v>
      </c>
      <c r="G518" s="78"/>
      <c r="H518" s="20"/>
    </row>
    <row r="519" spans="1:8" ht="20.100000000000001" hidden="1" customHeight="1" outlineLevel="1" x14ac:dyDescent="0.25">
      <c r="A519" s="59" t="s">
        <v>711</v>
      </c>
      <c r="B519" s="3" t="s">
        <v>17</v>
      </c>
      <c r="C519" s="43" t="s">
        <v>712</v>
      </c>
      <c r="D519" s="43" t="s">
        <v>712</v>
      </c>
      <c r="E519" s="78">
        <v>34.36</v>
      </c>
      <c r="F519" s="3" t="s">
        <v>35</v>
      </c>
      <c r="G519" s="78"/>
      <c r="H519" s="20"/>
    </row>
    <row r="520" spans="1:8" ht="20.100000000000001" hidden="1" customHeight="1" outlineLevel="1" x14ac:dyDescent="0.25">
      <c r="A520" s="59" t="s">
        <v>713</v>
      </c>
      <c r="B520" s="3" t="s">
        <v>17</v>
      </c>
      <c r="C520" s="43" t="s">
        <v>714</v>
      </c>
      <c r="D520" s="43" t="s">
        <v>714</v>
      </c>
      <c r="E520" s="78">
        <v>9.9499999999999993</v>
      </c>
      <c r="F520" s="3" t="s">
        <v>35</v>
      </c>
      <c r="G520" s="78"/>
      <c r="H520" s="20"/>
    </row>
    <row r="521" spans="1:8" ht="20.100000000000001" hidden="1" customHeight="1" outlineLevel="1" x14ac:dyDescent="0.25">
      <c r="A521" s="59" t="s">
        <v>715</v>
      </c>
      <c r="B521" s="3" t="s">
        <v>17</v>
      </c>
      <c r="C521" s="43" t="s">
        <v>689</v>
      </c>
      <c r="D521" s="43" t="s">
        <v>1317</v>
      </c>
      <c r="E521" s="78">
        <v>63.32</v>
      </c>
      <c r="F521" s="3" t="s">
        <v>35</v>
      </c>
      <c r="G521" s="78"/>
      <c r="H521" s="20"/>
    </row>
    <row r="522" spans="1:8" ht="20.100000000000001" hidden="1" customHeight="1" outlineLevel="1" x14ac:dyDescent="0.25">
      <c r="A522" s="59" t="s">
        <v>716</v>
      </c>
      <c r="B522" s="3" t="s">
        <v>17</v>
      </c>
      <c r="C522" s="43" t="s">
        <v>717</v>
      </c>
      <c r="D522" s="97" t="s">
        <v>1313</v>
      </c>
      <c r="E522" s="78">
        <v>27.72</v>
      </c>
      <c r="F522" s="3" t="s">
        <v>35</v>
      </c>
      <c r="G522" s="78"/>
      <c r="H522" s="20"/>
    </row>
    <row r="523" spans="1:8" ht="20.100000000000001" hidden="1" customHeight="1" outlineLevel="1" x14ac:dyDescent="0.25">
      <c r="A523" s="59" t="s">
        <v>718</v>
      </c>
      <c r="B523" s="3" t="s">
        <v>17</v>
      </c>
      <c r="C523" s="43" t="s">
        <v>680</v>
      </c>
      <c r="D523" s="43" t="s">
        <v>680</v>
      </c>
      <c r="E523" s="78">
        <v>21.18</v>
      </c>
      <c r="F523" s="3" t="s">
        <v>35</v>
      </c>
      <c r="G523" s="78"/>
      <c r="H523" s="20"/>
    </row>
    <row r="524" spans="1:8" ht="20.100000000000001" hidden="1" customHeight="1" outlineLevel="1" x14ac:dyDescent="0.25">
      <c r="A524" s="59" t="s">
        <v>719</v>
      </c>
      <c r="B524" s="3" t="s">
        <v>17</v>
      </c>
      <c r="C524" s="43" t="s">
        <v>720</v>
      </c>
      <c r="D524" s="43" t="s">
        <v>720</v>
      </c>
      <c r="E524" s="78">
        <v>5.9</v>
      </c>
      <c r="F524" s="3" t="s">
        <v>35</v>
      </c>
      <c r="G524" s="78"/>
      <c r="H524" s="20"/>
    </row>
    <row r="525" spans="1:8" ht="20.100000000000001" hidden="1" customHeight="1" outlineLevel="1" x14ac:dyDescent="0.25">
      <c r="A525" s="59" t="s">
        <v>721</v>
      </c>
      <c r="B525" s="3" t="s">
        <v>17</v>
      </c>
      <c r="C525" s="43" t="s">
        <v>684</v>
      </c>
      <c r="D525" s="43" t="s">
        <v>684</v>
      </c>
      <c r="E525" s="78">
        <v>33.68</v>
      </c>
      <c r="F525" s="3" t="s">
        <v>35</v>
      </c>
      <c r="G525" s="78"/>
      <c r="H525" s="20"/>
    </row>
    <row r="526" spans="1:8" ht="20.100000000000001" hidden="1" customHeight="1" outlineLevel="1" x14ac:dyDescent="0.25">
      <c r="A526" s="59" t="s">
        <v>722</v>
      </c>
      <c r="B526" s="3" t="s">
        <v>17</v>
      </c>
      <c r="C526" s="43" t="s">
        <v>723</v>
      </c>
      <c r="D526" s="43" t="s">
        <v>723</v>
      </c>
      <c r="E526" s="78">
        <v>6.72</v>
      </c>
      <c r="F526" s="3" t="s">
        <v>35</v>
      </c>
      <c r="G526" s="78"/>
      <c r="H526" s="20"/>
    </row>
    <row r="527" spans="1:8" ht="20.100000000000001" hidden="1" customHeight="1" outlineLevel="1" x14ac:dyDescent="0.25">
      <c r="A527" s="59" t="s">
        <v>724</v>
      </c>
      <c r="B527" s="3" t="s">
        <v>17</v>
      </c>
      <c r="C527" s="43" t="s">
        <v>493</v>
      </c>
      <c r="D527" s="43" t="s">
        <v>493</v>
      </c>
      <c r="E527" s="78">
        <v>102.28</v>
      </c>
      <c r="F527" s="3" t="s">
        <v>35</v>
      </c>
      <c r="G527" s="78"/>
      <c r="H527" s="20"/>
    </row>
    <row r="528" spans="1:8" ht="20.100000000000001" hidden="1" customHeight="1" outlineLevel="1" x14ac:dyDescent="0.25">
      <c r="A528" s="52"/>
      <c r="B528" s="9"/>
      <c r="C528" s="44" t="s">
        <v>1320</v>
      </c>
      <c r="D528" s="44" t="s">
        <v>1320</v>
      </c>
      <c r="E528" s="78">
        <v>1</v>
      </c>
      <c r="F528" s="9"/>
      <c r="G528" s="79">
        <f>SUM(H516:H527)</f>
        <v>0</v>
      </c>
      <c r="H528" s="29">
        <f>ROUND(E528*G528,2)</f>
        <v>0</v>
      </c>
    </row>
    <row r="529" spans="1:8" ht="20.100000000000001" hidden="1" customHeight="1" outlineLevel="1" x14ac:dyDescent="0.25">
      <c r="A529" s="60"/>
      <c r="B529" s="12"/>
      <c r="C529" s="45"/>
      <c r="D529" s="45"/>
      <c r="E529" s="34"/>
      <c r="F529" s="12"/>
      <c r="G529" s="34"/>
      <c r="H529" s="30"/>
    </row>
    <row r="530" spans="1:8" ht="20.100000000000001" hidden="1" customHeight="1" outlineLevel="1" x14ac:dyDescent="0.25">
      <c r="A530" s="63"/>
      <c r="B530" s="18" t="s">
        <v>9</v>
      </c>
      <c r="C530" s="48" t="s">
        <v>526</v>
      </c>
      <c r="D530" s="48" t="s">
        <v>1247</v>
      </c>
      <c r="E530" s="82">
        <f>E533</f>
        <v>1</v>
      </c>
      <c r="F530" s="18" t="s">
        <v>65</v>
      </c>
      <c r="G530" s="82">
        <f>G533</f>
        <v>0</v>
      </c>
      <c r="H530" s="32">
        <f>H533</f>
        <v>0</v>
      </c>
    </row>
    <row r="531" spans="1:8" ht="20.100000000000001" hidden="1" customHeight="1" outlineLevel="1" x14ac:dyDescent="0.25">
      <c r="A531" s="59" t="s">
        <v>529</v>
      </c>
      <c r="B531" s="3" t="s">
        <v>17</v>
      </c>
      <c r="C531" s="43" t="s">
        <v>530</v>
      </c>
      <c r="D531" s="43" t="s">
        <v>1268</v>
      </c>
      <c r="E531" s="78">
        <v>160.49</v>
      </c>
      <c r="F531" s="3" t="s">
        <v>277</v>
      </c>
      <c r="G531" s="78"/>
      <c r="H531" s="20"/>
    </row>
    <row r="532" spans="1:8" ht="20.100000000000001" hidden="1" customHeight="1" outlineLevel="1" x14ac:dyDescent="0.25">
      <c r="A532" s="59" t="s">
        <v>531</v>
      </c>
      <c r="B532" s="3" t="s">
        <v>17</v>
      </c>
      <c r="C532" s="43" t="s">
        <v>532</v>
      </c>
      <c r="D532" s="43" t="s">
        <v>1269</v>
      </c>
      <c r="E532" s="78">
        <v>12.93</v>
      </c>
      <c r="F532" s="3" t="s">
        <v>277</v>
      </c>
      <c r="G532" s="78"/>
      <c r="H532" s="20"/>
    </row>
    <row r="533" spans="1:8" ht="20.100000000000001" hidden="1" customHeight="1" outlineLevel="1" x14ac:dyDescent="0.25">
      <c r="A533" s="52"/>
      <c r="B533" s="9"/>
      <c r="C533" s="44" t="s">
        <v>1321</v>
      </c>
      <c r="D533" s="44" t="s">
        <v>1321</v>
      </c>
      <c r="E533" s="78">
        <v>1</v>
      </c>
      <c r="F533" s="9"/>
      <c r="G533" s="79">
        <f>SUM(H531:H532)</f>
        <v>0</v>
      </c>
      <c r="H533" s="29">
        <f>ROUND(E533*G533,2)</f>
        <v>0</v>
      </c>
    </row>
    <row r="534" spans="1:8" ht="20.100000000000001" hidden="1" customHeight="1" outlineLevel="1" x14ac:dyDescent="0.25">
      <c r="A534" s="60"/>
      <c r="B534" s="12"/>
      <c r="C534" s="45"/>
      <c r="D534" s="45"/>
      <c r="E534" s="34"/>
      <c r="F534" s="12"/>
      <c r="G534" s="34"/>
      <c r="H534" s="30"/>
    </row>
    <row r="535" spans="1:8" ht="20.100000000000001" hidden="1" customHeight="1" outlineLevel="1" x14ac:dyDescent="0.25">
      <c r="A535" s="63"/>
      <c r="B535" s="18" t="s">
        <v>9</v>
      </c>
      <c r="C535" s="48" t="s">
        <v>538</v>
      </c>
      <c r="D535" s="48" t="s">
        <v>1249</v>
      </c>
      <c r="E535" s="82">
        <f>E538</f>
        <v>1</v>
      </c>
      <c r="F535" s="18" t="s">
        <v>65</v>
      </c>
      <c r="G535" s="82">
        <f>G538</f>
        <v>0</v>
      </c>
      <c r="H535" s="32">
        <f>H538</f>
        <v>0</v>
      </c>
    </row>
    <row r="536" spans="1:8" ht="20.100000000000001" hidden="1" customHeight="1" outlineLevel="1" x14ac:dyDescent="0.25">
      <c r="A536" s="59" t="s">
        <v>725</v>
      </c>
      <c r="B536" s="3" t="s">
        <v>17</v>
      </c>
      <c r="C536" s="43" t="s">
        <v>538</v>
      </c>
      <c r="D536" s="43" t="s">
        <v>1250</v>
      </c>
      <c r="E536" s="78">
        <v>27.15</v>
      </c>
      <c r="F536" s="3" t="s">
        <v>277</v>
      </c>
      <c r="G536" s="78"/>
      <c r="H536" s="20"/>
    </row>
    <row r="537" spans="1:8" ht="20.100000000000001" hidden="1" customHeight="1" outlineLevel="1" x14ac:dyDescent="0.25">
      <c r="A537" s="59" t="s">
        <v>726</v>
      </c>
      <c r="B537" s="3" t="s">
        <v>17</v>
      </c>
      <c r="C537" s="43" t="s">
        <v>544</v>
      </c>
      <c r="D537" s="43" t="s">
        <v>1253</v>
      </c>
      <c r="E537" s="78">
        <v>53.1</v>
      </c>
      <c r="F537" s="3" t="s">
        <v>277</v>
      </c>
      <c r="G537" s="78"/>
      <c r="H537" s="20"/>
    </row>
    <row r="538" spans="1:8" ht="20.100000000000001" hidden="1" customHeight="1" outlineLevel="1" x14ac:dyDescent="0.25">
      <c r="A538" s="52"/>
      <c r="B538" s="9"/>
      <c r="C538" s="44" t="s">
        <v>1322</v>
      </c>
      <c r="D538" s="44" t="s">
        <v>1322</v>
      </c>
      <c r="E538" s="78">
        <v>1</v>
      </c>
      <c r="F538" s="9"/>
      <c r="G538" s="79">
        <f>SUM(H536:H537)</f>
        <v>0</v>
      </c>
      <c r="H538" s="29">
        <f>ROUND(E538*G538,2)</f>
        <v>0</v>
      </c>
    </row>
    <row r="539" spans="1:8" ht="20.100000000000001" hidden="1" customHeight="1" outlineLevel="1" x14ac:dyDescent="0.25">
      <c r="A539" s="60"/>
      <c r="B539" s="12"/>
      <c r="C539" s="45"/>
      <c r="D539" s="45"/>
      <c r="E539" s="34"/>
      <c r="F539" s="12"/>
      <c r="G539" s="34"/>
      <c r="H539" s="30"/>
    </row>
    <row r="540" spans="1:8" ht="20.100000000000001" hidden="1" customHeight="1" outlineLevel="1" x14ac:dyDescent="0.25">
      <c r="A540" s="52"/>
      <c r="B540" s="9"/>
      <c r="C540" s="44" t="s">
        <v>727</v>
      </c>
      <c r="D540" s="44" t="s">
        <v>727</v>
      </c>
      <c r="E540" s="78">
        <v>1</v>
      </c>
      <c r="F540" s="9"/>
      <c r="G540" s="79">
        <f>H515+H530+H535</f>
        <v>0</v>
      </c>
      <c r="H540" s="29">
        <f>ROUND(E540*G540,2)</f>
        <v>0</v>
      </c>
    </row>
    <row r="541" spans="1:8" ht="20.100000000000001" hidden="1" customHeight="1" outlineLevel="1" x14ac:dyDescent="0.25">
      <c r="A541" s="60"/>
      <c r="B541" s="12"/>
      <c r="C541" s="45"/>
      <c r="D541" s="45"/>
      <c r="E541" s="34"/>
      <c r="F541" s="12"/>
      <c r="G541" s="34"/>
      <c r="H541" s="30"/>
    </row>
    <row r="542" spans="1:8" ht="39.950000000000003" hidden="1" customHeight="1" outlineLevel="1" x14ac:dyDescent="0.25">
      <c r="A542" s="62" t="s">
        <v>728</v>
      </c>
      <c r="B542" s="7" t="s">
        <v>9</v>
      </c>
      <c r="C542" s="47" t="s">
        <v>729</v>
      </c>
      <c r="D542" s="47" t="s">
        <v>1260</v>
      </c>
      <c r="E542" s="81">
        <f>E546</f>
        <v>1</v>
      </c>
      <c r="F542" s="7" t="s">
        <v>10</v>
      </c>
      <c r="G542" s="81">
        <f>G546</f>
        <v>0</v>
      </c>
      <c r="H542" s="21">
        <f>H546</f>
        <v>0</v>
      </c>
    </row>
    <row r="543" spans="1:8" ht="20.100000000000001" hidden="1" customHeight="1" outlineLevel="1" x14ac:dyDescent="0.25">
      <c r="A543" s="59" t="s">
        <v>730</v>
      </c>
      <c r="B543" s="3" t="s">
        <v>17</v>
      </c>
      <c r="C543" s="43" t="s">
        <v>731</v>
      </c>
      <c r="D543" s="91" t="s">
        <v>1262</v>
      </c>
      <c r="E543" s="78">
        <v>111.38</v>
      </c>
      <c r="F543" s="3" t="s">
        <v>35</v>
      </c>
      <c r="G543" s="78"/>
      <c r="H543" s="20"/>
    </row>
    <row r="544" spans="1:8" ht="20.100000000000001" hidden="1" customHeight="1" outlineLevel="1" x14ac:dyDescent="0.25">
      <c r="A544" s="59" t="s">
        <v>732</v>
      </c>
      <c r="B544" s="3" t="s">
        <v>17</v>
      </c>
      <c r="C544" s="43" t="s">
        <v>733</v>
      </c>
      <c r="D544" s="91" t="s">
        <v>1263</v>
      </c>
      <c r="E544" s="78">
        <v>84.52</v>
      </c>
      <c r="F544" s="3" t="s">
        <v>35</v>
      </c>
      <c r="G544" s="78"/>
      <c r="H544" s="20"/>
    </row>
    <row r="545" spans="1:8" ht="20.100000000000001" hidden="1" customHeight="1" outlineLevel="1" x14ac:dyDescent="0.25">
      <c r="A545" s="59" t="s">
        <v>734</v>
      </c>
      <c r="B545" s="3" t="s">
        <v>17</v>
      </c>
      <c r="C545" s="43" t="s">
        <v>735</v>
      </c>
      <c r="D545" s="91" t="s">
        <v>1264</v>
      </c>
      <c r="E545" s="78">
        <v>19</v>
      </c>
      <c r="F545" s="3" t="s">
        <v>35</v>
      </c>
      <c r="G545" s="78"/>
      <c r="H545" s="20"/>
    </row>
    <row r="546" spans="1:8" ht="20.100000000000001" hidden="1" customHeight="1" outlineLevel="1" x14ac:dyDescent="0.25">
      <c r="A546" s="52"/>
      <c r="B546" s="9"/>
      <c r="C546" s="44" t="s">
        <v>736</v>
      </c>
      <c r="D546" s="44"/>
      <c r="E546" s="78">
        <v>1</v>
      </c>
      <c r="F546" s="9"/>
      <c r="G546" s="79">
        <f>SUM(H543:H545)</f>
        <v>0</v>
      </c>
      <c r="H546" s="29">
        <f>ROUND(E546*G546,2)</f>
        <v>0</v>
      </c>
    </row>
    <row r="547" spans="1:8" ht="20.100000000000001" hidden="1" customHeight="1" outlineLevel="1" x14ac:dyDescent="0.25">
      <c r="A547" s="60"/>
      <c r="B547" s="12"/>
      <c r="C547" s="45"/>
      <c r="D547" s="45"/>
      <c r="E547" s="34"/>
      <c r="F547" s="12"/>
      <c r="G547" s="34"/>
      <c r="H547" s="30"/>
    </row>
    <row r="548" spans="1:8" ht="20.100000000000001" hidden="1" customHeight="1" outlineLevel="1" x14ac:dyDescent="0.25">
      <c r="A548" s="62" t="s">
        <v>737</v>
      </c>
      <c r="B548" s="7" t="s">
        <v>9</v>
      </c>
      <c r="C548" s="47" t="s">
        <v>567</v>
      </c>
      <c r="D548" s="47" t="s">
        <v>1270</v>
      </c>
      <c r="E548" s="81">
        <f>E561</f>
        <v>1</v>
      </c>
      <c r="F548" s="7" t="s">
        <v>10</v>
      </c>
      <c r="G548" s="81">
        <f>G561</f>
        <v>0</v>
      </c>
      <c r="H548" s="21">
        <f>H561</f>
        <v>0</v>
      </c>
    </row>
    <row r="549" spans="1:8" ht="20.100000000000001" hidden="1" customHeight="1" outlineLevel="1" x14ac:dyDescent="0.25">
      <c r="A549" s="63"/>
      <c r="B549" s="18" t="s">
        <v>9</v>
      </c>
      <c r="C549" s="48" t="s">
        <v>568</v>
      </c>
      <c r="D549" s="48" t="s">
        <v>1271</v>
      </c>
      <c r="E549" s="82">
        <f>E551</f>
        <v>1</v>
      </c>
      <c r="F549" s="18" t="s">
        <v>65</v>
      </c>
      <c r="G549" s="82">
        <f>G551</f>
        <v>0</v>
      </c>
      <c r="H549" s="32">
        <f>H551</f>
        <v>0</v>
      </c>
    </row>
    <row r="550" spans="1:8" ht="20.100000000000001" hidden="1" customHeight="1" outlineLevel="1" x14ac:dyDescent="0.25">
      <c r="A550" s="59" t="s">
        <v>738</v>
      </c>
      <c r="B550" s="3" t="s">
        <v>17</v>
      </c>
      <c r="C550" s="43" t="s">
        <v>570</v>
      </c>
      <c r="D550" s="43" t="s">
        <v>1272</v>
      </c>
      <c r="E550" s="78">
        <v>24.23</v>
      </c>
      <c r="F550" s="3" t="s">
        <v>18</v>
      </c>
      <c r="G550" s="78"/>
      <c r="H550" s="20"/>
    </row>
    <row r="551" spans="1:8" ht="20.100000000000001" hidden="1" customHeight="1" outlineLevel="1" x14ac:dyDescent="0.25">
      <c r="A551" s="52"/>
      <c r="B551" s="9"/>
      <c r="C551" s="44" t="s">
        <v>1323</v>
      </c>
      <c r="D551" s="44" t="s">
        <v>1323</v>
      </c>
      <c r="E551" s="78">
        <v>1</v>
      </c>
      <c r="F551" s="9"/>
      <c r="G551" s="79">
        <f>H550</f>
        <v>0</v>
      </c>
      <c r="H551" s="29">
        <f>ROUND(E551*G551,2)</f>
        <v>0</v>
      </c>
    </row>
    <row r="552" spans="1:8" ht="20.100000000000001" hidden="1" customHeight="1" outlineLevel="1" x14ac:dyDescent="0.25">
      <c r="A552" s="60"/>
      <c r="B552" s="12"/>
      <c r="C552" s="45"/>
      <c r="D552" s="45"/>
      <c r="E552" s="34"/>
      <c r="F552" s="12"/>
      <c r="G552" s="34"/>
      <c r="H552" s="30"/>
    </row>
    <row r="553" spans="1:8" ht="20.100000000000001" hidden="1" customHeight="1" outlineLevel="1" x14ac:dyDescent="0.25">
      <c r="A553" s="63"/>
      <c r="B553" s="18" t="s">
        <v>9</v>
      </c>
      <c r="C553" s="48" t="s">
        <v>739</v>
      </c>
      <c r="D553" s="48" t="s">
        <v>1273</v>
      </c>
      <c r="E553" s="82">
        <f>E559</f>
        <v>1</v>
      </c>
      <c r="F553" s="18" t="s">
        <v>65</v>
      </c>
      <c r="G553" s="82">
        <f>G559</f>
        <v>0</v>
      </c>
      <c r="H553" s="32">
        <f>H559</f>
        <v>0</v>
      </c>
    </row>
    <row r="554" spans="1:8" ht="20.100000000000001" hidden="1" customHeight="1" outlineLevel="1" x14ac:dyDescent="0.25">
      <c r="A554" s="59" t="s">
        <v>740</v>
      </c>
      <c r="B554" s="3" t="s">
        <v>17</v>
      </c>
      <c r="C554" s="43" t="s">
        <v>579</v>
      </c>
      <c r="D554" s="43" t="s">
        <v>1324</v>
      </c>
      <c r="E554" s="78">
        <v>51.53</v>
      </c>
      <c r="F554" s="3" t="s">
        <v>18</v>
      </c>
      <c r="G554" s="78"/>
      <c r="H554" s="20"/>
    </row>
    <row r="555" spans="1:8" ht="20.100000000000001" hidden="1" customHeight="1" outlineLevel="1" x14ac:dyDescent="0.25">
      <c r="A555" s="59" t="s">
        <v>741</v>
      </c>
      <c r="B555" s="3" t="s">
        <v>17</v>
      </c>
      <c r="C555" s="43" t="s">
        <v>575</v>
      </c>
      <c r="D555" s="43" t="s">
        <v>1277</v>
      </c>
      <c r="E555" s="78">
        <v>102.54</v>
      </c>
      <c r="F555" s="3" t="s">
        <v>18</v>
      </c>
      <c r="G555" s="78"/>
      <c r="H555" s="20"/>
    </row>
    <row r="556" spans="1:8" ht="20.100000000000001" hidden="1" customHeight="1" outlineLevel="1" x14ac:dyDescent="0.25">
      <c r="A556" s="59" t="s">
        <v>742</v>
      </c>
      <c r="B556" s="3" t="s">
        <v>17</v>
      </c>
      <c r="C556" s="43" t="s">
        <v>573</v>
      </c>
      <c r="D556" s="43" t="s">
        <v>1275</v>
      </c>
      <c r="E556" s="78">
        <v>19</v>
      </c>
      <c r="F556" s="3" t="s">
        <v>18</v>
      </c>
      <c r="G556" s="78"/>
      <c r="H556" s="20"/>
    </row>
    <row r="557" spans="1:8" ht="20.100000000000001" hidden="1" customHeight="1" outlineLevel="1" x14ac:dyDescent="0.25">
      <c r="A557" s="59" t="s">
        <v>743</v>
      </c>
      <c r="B557" s="3" t="s">
        <v>17</v>
      </c>
      <c r="C557" s="43" t="s">
        <v>744</v>
      </c>
      <c r="D557" s="91" t="s">
        <v>1274</v>
      </c>
      <c r="E557" s="78">
        <v>4</v>
      </c>
      <c r="F557" s="3" t="s">
        <v>10</v>
      </c>
      <c r="G557" s="78"/>
      <c r="H557" s="20"/>
    </row>
    <row r="558" spans="1:8" ht="20.100000000000001" hidden="1" customHeight="1" outlineLevel="1" x14ac:dyDescent="0.25">
      <c r="A558" s="59" t="s">
        <v>745</v>
      </c>
      <c r="B558" s="3" t="s">
        <v>17</v>
      </c>
      <c r="C558" s="43" t="s">
        <v>746</v>
      </c>
      <c r="D558" s="43" t="s">
        <v>1325</v>
      </c>
      <c r="E558" s="78">
        <v>1</v>
      </c>
      <c r="F558" s="3" t="s">
        <v>10</v>
      </c>
      <c r="G558" s="78"/>
      <c r="H558" s="20"/>
    </row>
    <row r="559" spans="1:8" ht="20.100000000000001" hidden="1" customHeight="1" outlineLevel="1" x14ac:dyDescent="0.25">
      <c r="A559" s="52"/>
      <c r="B559" s="9"/>
      <c r="C559" s="44" t="s">
        <v>1326</v>
      </c>
      <c r="D559" s="44" t="s">
        <v>1326</v>
      </c>
      <c r="E559" s="78">
        <v>1</v>
      </c>
      <c r="F559" s="9"/>
      <c r="G559" s="79">
        <f>SUM(H554:H558)</f>
        <v>0</v>
      </c>
      <c r="H559" s="29">
        <f>ROUND(E559*G559,2)</f>
        <v>0</v>
      </c>
    </row>
    <row r="560" spans="1:8" ht="20.100000000000001" hidden="1" customHeight="1" outlineLevel="1" x14ac:dyDescent="0.25">
      <c r="A560" s="60"/>
      <c r="B560" s="12"/>
      <c r="C560" s="45"/>
      <c r="D560" s="45"/>
      <c r="E560" s="34"/>
      <c r="F560" s="12"/>
      <c r="G560" s="34"/>
      <c r="H560" s="30"/>
    </row>
    <row r="561" spans="1:9" ht="20.100000000000001" hidden="1" customHeight="1" outlineLevel="1" x14ac:dyDescent="0.25">
      <c r="A561" s="52"/>
      <c r="B561" s="9"/>
      <c r="C561" s="44" t="s">
        <v>747</v>
      </c>
      <c r="D561" s="44"/>
      <c r="E561" s="78">
        <v>1</v>
      </c>
      <c r="F561" s="9"/>
      <c r="G561" s="79">
        <f>H549+H553</f>
        <v>0</v>
      </c>
      <c r="H561" s="29">
        <f>ROUND(E561*G561,2)</f>
        <v>0</v>
      </c>
      <c r="I561" s="8"/>
    </row>
    <row r="562" spans="1:9" ht="20.100000000000001" hidden="1" customHeight="1" outlineLevel="1" x14ac:dyDescent="0.25">
      <c r="A562" s="60"/>
      <c r="B562" s="12"/>
      <c r="C562" s="45"/>
      <c r="D562" s="45"/>
      <c r="E562" s="34"/>
      <c r="F562" s="12"/>
      <c r="G562" s="34"/>
      <c r="H562" s="30"/>
    </row>
    <row r="563" spans="1:9" ht="20.100000000000001" hidden="1" customHeight="1" outlineLevel="1" x14ac:dyDescent="0.25">
      <c r="A563" s="62" t="s">
        <v>748</v>
      </c>
      <c r="B563" s="7" t="s">
        <v>9</v>
      </c>
      <c r="C563" s="47" t="s">
        <v>749</v>
      </c>
      <c r="D563" s="47" t="s">
        <v>1278</v>
      </c>
      <c r="E563" s="81">
        <f>E582</f>
        <v>1</v>
      </c>
      <c r="F563" s="7" t="s">
        <v>10</v>
      </c>
      <c r="G563" s="81">
        <f>G582</f>
        <v>0</v>
      </c>
      <c r="H563" s="21">
        <f>H582</f>
        <v>0</v>
      </c>
    </row>
    <row r="564" spans="1:9" ht="20.100000000000001" hidden="1" customHeight="1" outlineLevel="1" x14ac:dyDescent="0.25">
      <c r="A564" s="65"/>
      <c r="B564" s="19" t="s">
        <v>9</v>
      </c>
      <c r="C564" s="44" t="s">
        <v>750</v>
      </c>
      <c r="D564" s="44" t="s">
        <v>1280</v>
      </c>
      <c r="E564" s="79">
        <f>E573</f>
        <v>1</v>
      </c>
      <c r="F564" s="19" t="s">
        <v>433</v>
      </c>
      <c r="G564" s="79">
        <f>G573</f>
        <v>0</v>
      </c>
      <c r="H564" s="29">
        <f>H573</f>
        <v>0</v>
      </c>
    </row>
    <row r="565" spans="1:9" ht="20.100000000000001" hidden="1" customHeight="1" outlineLevel="1" x14ac:dyDescent="0.25">
      <c r="A565" s="59" t="s">
        <v>751</v>
      </c>
      <c r="B565" s="3" t="s">
        <v>17</v>
      </c>
      <c r="C565" s="43" t="s">
        <v>586</v>
      </c>
      <c r="D565" s="43" t="s">
        <v>1281</v>
      </c>
      <c r="E565" s="78">
        <v>4</v>
      </c>
      <c r="F565" s="3" t="s">
        <v>10</v>
      </c>
      <c r="G565" s="78"/>
      <c r="H565" s="20"/>
    </row>
    <row r="566" spans="1:9" ht="20.100000000000001" hidden="1" customHeight="1" outlineLevel="1" x14ac:dyDescent="0.25">
      <c r="A566" s="59" t="s">
        <v>752</v>
      </c>
      <c r="B566" s="3" t="s">
        <v>17</v>
      </c>
      <c r="C566" s="43" t="s">
        <v>588</v>
      </c>
      <c r="D566" s="43" t="s">
        <v>1282</v>
      </c>
      <c r="E566" s="78">
        <v>6</v>
      </c>
      <c r="F566" s="3" t="s">
        <v>10</v>
      </c>
      <c r="G566" s="78"/>
      <c r="H566" s="20"/>
    </row>
    <row r="567" spans="1:9" ht="20.100000000000001" hidden="1" customHeight="1" outlineLevel="1" x14ac:dyDescent="0.25">
      <c r="A567" s="59" t="s">
        <v>753</v>
      </c>
      <c r="B567" s="3" t="s">
        <v>17</v>
      </c>
      <c r="C567" s="43" t="s">
        <v>590</v>
      </c>
      <c r="D567" s="43" t="s">
        <v>1283</v>
      </c>
      <c r="E567" s="78">
        <v>6</v>
      </c>
      <c r="F567" s="3" t="s">
        <v>10</v>
      </c>
      <c r="G567" s="78"/>
      <c r="H567" s="20"/>
    </row>
    <row r="568" spans="1:9" ht="20.100000000000001" hidden="1" customHeight="1" outlineLevel="1" x14ac:dyDescent="0.25">
      <c r="A568" s="59" t="s">
        <v>754</v>
      </c>
      <c r="B568" s="3" t="s">
        <v>17</v>
      </c>
      <c r="C568" s="43" t="s">
        <v>592</v>
      </c>
      <c r="D568" s="43" t="s">
        <v>1284</v>
      </c>
      <c r="E568" s="78">
        <v>6</v>
      </c>
      <c r="F568" s="3" t="s">
        <v>10</v>
      </c>
      <c r="G568" s="78"/>
      <c r="H568" s="20"/>
    </row>
    <row r="569" spans="1:9" ht="20.100000000000001" hidden="1" customHeight="1" outlineLevel="1" x14ac:dyDescent="0.25">
      <c r="A569" s="59" t="s">
        <v>755</v>
      </c>
      <c r="B569" s="3" t="s">
        <v>17</v>
      </c>
      <c r="C569" s="43" t="s">
        <v>756</v>
      </c>
      <c r="D569" s="43" t="s">
        <v>1285</v>
      </c>
      <c r="E569" s="78">
        <v>4</v>
      </c>
      <c r="F569" s="3" t="s">
        <v>10</v>
      </c>
      <c r="G569" s="78"/>
      <c r="H569" s="20"/>
    </row>
    <row r="570" spans="1:9" ht="20.100000000000001" hidden="1" customHeight="1" outlineLevel="1" x14ac:dyDescent="0.25">
      <c r="A570" s="59" t="s">
        <v>757</v>
      </c>
      <c r="B570" s="3" t="s">
        <v>17</v>
      </c>
      <c r="C570" s="43" t="s">
        <v>596</v>
      </c>
      <c r="D570" s="43" t="s">
        <v>1291</v>
      </c>
      <c r="E570" s="78">
        <v>6</v>
      </c>
      <c r="F570" s="3" t="s">
        <v>10</v>
      </c>
      <c r="G570" s="78"/>
      <c r="H570" s="20"/>
    </row>
    <row r="571" spans="1:9" ht="20.100000000000001" hidden="1" customHeight="1" outlineLevel="1" x14ac:dyDescent="0.25">
      <c r="A571" s="59" t="s">
        <v>758</v>
      </c>
      <c r="B571" s="3" t="s">
        <v>17</v>
      </c>
      <c r="C571" s="43" t="s">
        <v>598</v>
      </c>
      <c r="D571" s="43" t="s">
        <v>1292</v>
      </c>
      <c r="E571" s="78">
        <v>4</v>
      </c>
      <c r="F571" s="3" t="s">
        <v>10</v>
      </c>
      <c r="G571" s="78"/>
      <c r="H571" s="20"/>
    </row>
    <row r="572" spans="1:9" ht="20.100000000000001" hidden="1" customHeight="1" outlineLevel="1" x14ac:dyDescent="0.25">
      <c r="A572" s="59" t="s">
        <v>759</v>
      </c>
      <c r="B572" s="3" t="s">
        <v>17</v>
      </c>
      <c r="C572" s="43" t="s">
        <v>621</v>
      </c>
      <c r="D572" s="43" t="s">
        <v>1302</v>
      </c>
      <c r="E572" s="78">
        <v>1</v>
      </c>
      <c r="F572" s="3" t="s">
        <v>154</v>
      </c>
      <c r="G572" s="78"/>
      <c r="H572" s="20"/>
    </row>
    <row r="573" spans="1:9" ht="20.100000000000001" hidden="1" customHeight="1" outlineLevel="1" x14ac:dyDescent="0.25">
      <c r="A573" s="52"/>
      <c r="B573" s="9"/>
      <c r="C573" s="44" t="s">
        <v>1327</v>
      </c>
      <c r="D573" s="44" t="s">
        <v>1327</v>
      </c>
      <c r="E573" s="78">
        <v>1</v>
      </c>
      <c r="F573" s="9"/>
      <c r="G573" s="79">
        <f>SUM(H565:H572)</f>
        <v>0</v>
      </c>
      <c r="H573" s="29">
        <f>ROUND(E573*G573,2)</f>
        <v>0</v>
      </c>
    </row>
    <row r="574" spans="1:9" ht="20.100000000000001" hidden="1" customHeight="1" outlineLevel="1" x14ac:dyDescent="0.25">
      <c r="A574" s="60"/>
      <c r="B574" s="12"/>
      <c r="C574" s="45"/>
      <c r="D574" s="45"/>
      <c r="E574" s="34"/>
      <c r="F574" s="12"/>
      <c r="G574" s="34"/>
      <c r="H574" s="30"/>
    </row>
    <row r="575" spans="1:9" ht="20.100000000000001" hidden="1" customHeight="1" outlineLevel="1" x14ac:dyDescent="0.25">
      <c r="A575" s="63"/>
      <c r="B575" s="18" t="s">
        <v>9</v>
      </c>
      <c r="C575" s="48" t="s">
        <v>760</v>
      </c>
      <c r="D575" s="48" t="s">
        <v>1308</v>
      </c>
      <c r="E575" s="82">
        <f>E580</f>
        <v>1</v>
      </c>
      <c r="F575" s="18" t="s">
        <v>433</v>
      </c>
      <c r="G575" s="82">
        <f>G580</f>
        <v>0</v>
      </c>
      <c r="H575" s="32">
        <f>H580</f>
        <v>0</v>
      </c>
    </row>
    <row r="576" spans="1:9" ht="20.100000000000001" hidden="1" customHeight="1" outlineLevel="1" x14ac:dyDescent="0.25">
      <c r="A576" s="59" t="s">
        <v>761</v>
      </c>
      <c r="B576" s="3" t="s">
        <v>17</v>
      </c>
      <c r="C576" s="43" t="s">
        <v>762</v>
      </c>
      <c r="D576" s="43" t="s">
        <v>1330</v>
      </c>
      <c r="E576" s="78">
        <v>1</v>
      </c>
      <c r="F576" s="3" t="s">
        <v>154</v>
      </c>
      <c r="G576" s="78"/>
      <c r="H576" s="20"/>
    </row>
    <row r="577" spans="1:8" ht="20.100000000000001" hidden="1" customHeight="1" outlineLevel="1" x14ac:dyDescent="0.25">
      <c r="A577" s="59" t="s">
        <v>763</v>
      </c>
      <c r="B577" s="3" t="s">
        <v>17</v>
      </c>
      <c r="C577" s="43" t="s">
        <v>764</v>
      </c>
      <c r="D577" s="43" t="s">
        <v>1331</v>
      </c>
      <c r="E577" s="78">
        <v>2</v>
      </c>
      <c r="F577" s="3" t="s">
        <v>154</v>
      </c>
      <c r="G577" s="78"/>
      <c r="H577" s="20"/>
    </row>
    <row r="578" spans="1:8" ht="39.950000000000003" hidden="1" customHeight="1" outlineLevel="1" x14ac:dyDescent="0.25">
      <c r="A578" s="59" t="s">
        <v>765</v>
      </c>
      <c r="B578" s="3" t="s">
        <v>17</v>
      </c>
      <c r="C578" s="43" t="s">
        <v>766</v>
      </c>
      <c r="D578" s="43" t="s">
        <v>1328</v>
      </c>
      <c r="E578" s="78">
        <v>1</v>
      </c>
      <c r="F578" s="3" t="s">
        <v>154</v>
      </c>
      <c r="G578" s="78"/>
      <c r="H578" s="20"/>
    </row>
    <row r="579" spans="1:8" ht="20.100000000000001" hidden="1" customHeight="1" outlineLevel="1" x14ac:dyDescent="0.25">
      <c r="A579" s="59" t="s">
        <v>767</v>
      </c>
      <c r="B579" s="3" t="s">
        <v>17</v>
      </c>
      <c r="C579" s="43" t="s">
        <v>768</v>
      </c>
      <c r="D579" s="43" t="s">
        <v>1329</v>
      </c>
      <c r="E579" s="78">
        <v>1</v>
      </c>
      <c r="F579" s="3" t="s">
        <v>154</v>
      </c>
      <c r="G579" s="78"/>
      <c r="H579" s="20"/>
    </row>
    <row r="580" spans="1:8" ht="20.100000000000001" hidden="1" customHeight="1" outlineLevel="1" x14ac:dyDescent="0.25">
      <c r="A580" s="52"/>
      <c r="B580" s="9"/>
      <c r="C580" s="44" t="s">
        <v>1332</v>
      </c>
      <c r="D580" s="44" t="s">
        <v>1332</v>
      </c>
      <c r="E580" s="78">
        <v>1</v>
      </c>
      <c r="F580" s="9"/>
      <c r="G580" s="79">
        <f>SUM(H576:H579)</f>
        <v>0</v>
      </c>
      <c r="H580" s="29">
        <f>ROUND(E580*G580,2)</f>
        <v>0</v>
      </c>
    </row>
    <row r="581" spans="1:8" ht="20.100000000000001" hidden="1" customHeight="1" outlineLevel="1" x14ac:dyDescent="0.25">
      <c r="A581" s="60"/>
      <c r="B581" s="12"/>
      <c r="C581" s="45"/>
      <c r="D581" s="45"/>
      <c r="E581" s="34"/>
      <c r="F581" s="12"/>
      <c r="G581" s="34"/>
      <c r="H581" s="30"/>
    </row>
    <row r="582" spans="1:8" ht="20.100000000000001" hidden="1" customHeight="1" outlineLevel="1" x14ac:dyDescent="0.25">
      <c r="A582" s="52"/>
      <c r="B582" s="9"/>
      <c r="C582" s="44" t="s">
        <v>769</v>
      </c>
      <c r="D582" s="44" t="s">
        <v>769</v>
      </c>
      <c r="E582" s="78">
        <v>1</v>
      </c>
      <c r="F582" s="9"/>
      <c r="G582" s="79">
        <f>H564+H575</f>
        <v>0</v>
      </c>
      <c r="H582" s="29">
        <f>ROUND(E582*G582,2)</f>
        <v>0</v>
      </c>
    </row>
    <row r="583" spans="1:8" ht="20.100000000000001" hidden="1" customHeight="1" outlineLevel="1" x14ac:dyDescent="0.25">
      <c r="A583" s="60"/>
      <c r="B583" s="12"/>
      <c r="C583" s="45"/>
      <c r="D583" s="45"/>
      <c r="E583" s="34"/>
      <c r="F583" s="12"/>
      <c r="G583" s="34"/>
      <c r="H583" s="30"/>
    </row>
    <row r="584" spans="1:8" ht="20.100000000000001" hidden="1" customHeight="1" outlineLevel="1" x14ac:dyDescent="0.25">
      <c r="A584" s="62" t="s">
        <v>770</v>
      </c>
      <c r="B584" s="7" t="s">
        <v>9</v>
      </c>
      <c r="C584" s="47" t="s">
        <v>771</v>
      </c>
      <c r="D584" s="47"/>
      <c r="E584" s="81">
        <f>E599</f>
        <v>1</v>
      </c>
      <c r="F584" s="7" t="s">
        <v>10</v>
      </c>
      <c r="G584" s="81">
        <f>G599</f>
        <v>0</v>
      </c>
      <c r="H584" s="21">
        <f>H599</f>
        <v>0</v>
      </c>
    </row>
    <row r="585" spans="1:8" ht="20.100000000000001" hidden="1" customHeight="1" outlineLevel="1" x14ac:dyDescent="0.25">
      <c r="A585" s="65"/>
      <c r="B585" s="19" t="s">
        <v>9</v>
      </c>
      <c r="C585" s="44" t="s">
        <v>772</v>
      </c>
      <c r="D585" s="44" t="s">
        <v>1333</v>
      </c>
      <c r="E585" s="79">
        <f>E587</f>
        <v>1</v>
      </c>
      <c r="F585" s="19" t="s">
        <v>10</v>
      </c>
      <c r="G585" s="79">
        <f>G587</f>
        <v>0</v>
      </c>
      <c r="H585" s="29">
        <f>H587</f>
        <v>0</v>
      </c>
    </row>
    <row r="586" spans="1:8" ht="20.100000000000001" hidden="1" customHeight="1" outlineLevel="1" x14ac:dyDescent="0.25">
      <c r="A586" s="59" t="s">
        <v>773</v>
      </c>
      <c r="B586" s="3" t="s">
        <v>17</v>
      </c>
      <c r="C586" s="43" t="s">
        <v>774</v>
      </c>
      <c r="D586" s="43" t="s">
        <v>1335</v>
      </c>
      <c r="E586" s="78">
        <v>1</v>
      </c>
      <c r="F586" s="3" t="s">
        <v>10</v>
      </c>
      <c r="G586" s="78"/>
      <c r="H586" s="20"/>
    </row>
    <row r="587" spans="1:8" ht="20.100000000000001" hidden="1" customHeight="1" outlineLevel="1" x14ac:dyDescent="0.25">
      <c r="A587" s="52"/>
      <c r="B587" s="9"/>
      <c r="C587" s="44" t="s">
        <v>1334</v>
      </c>
      <c r="D587" s="44" t="s">
        <v>1334</v>
      </c>
      <c r="E587" s="78">
        <v>1</v>
      </c>
      <c r="F587" s="9"/>
      <c r="G587" s="79">
        <f>H586</f>
        <v>0</v>
      </c>
      <c r="H587" s="29">
        <f>ROUND(E587*G587,2)</f>
        <v>0</v>
      </c>
    </row>
    <row r="588" spans="1:8" ht="20.100000000000001" hidden="1" customHeight="1" outlineLevel="1" x14ac:dyDescent="0.25">
      <c r="A588" s="60"/>
      <c r="B588" s="12"/>
      <c r="C588" s="45"/>
      <c r="D588" s="45"/>
      <c r="E588" s="34"/>
      <c r="F588" s="12"/>
      <c r="G588" s="34"/>
      <c r="H588" s="30"/>
    </row>
    <row r="589" spans="1:8" ht="20.100000000000001" hidden="1" customHeight="1" outlineLevel="1" x14ac:dyDescent="0.25">
      <c r="A589" s="63"/>
      <c r="B589" s="18" t="s">
        <v>9</v>
      </c>
      <c r="C589" s="48" t="s">
        <v>775</v>
      </c>
      <c r="D589" s="48" t="s">
        <v>1336</v>
      </c>
      <c r="E589" s="82">
        <f>E592</f>
        <v>1</v>
      </c>
      <c r="F589" s="18" t="s">
        <v>10</v>
      </c>
      <c r="G589" s="82">
        <f>G592</f>
        <v>0</v>
      </c>
      <c r="H589" s="32">
        <f>H592</f>
        <v>0</v>
      </c>
    </row>
    <row r="590" spans="1:8" ht="20.100000000000001" hidden="1" customHeight="1" outlineLevel="1" x14ac:dyDescent="0.25">
      <c r="A590" s="59" t="s">
        <v>776</v>
      </c>
      <c r="B590" s="3" t="s">
        <v>17</v>
      </c>
      <c r="C590" s="43" t="s">
        <v>525</v>
      </c>
      <c r="D590" s="43" t="s">
        <v>1246</v>
      </c>
      <c r="E590" s="78">
        <v>18.5</v>
      </c>
      <c r="F590" s="3" t="s">
        <v>277</v>
      </c>
      <c r="G590" s="78"/>
      <c r="H590" s="20"/>
    </row>
    <row r="591" spans="1:8" ht="20.100000000000001" hidden="1" customHeight="1" outlineLevel="1" x14ac:dyDescent="0.25">
      <c r="A591" s="59" t="s">
        <v>777</v>
      </c>
      <c r="B591" s="3" t="s">
        <v>17</v>
      </c>
      <c r="C591" s="43" t="s">
        <v>778</v>
      </c>
      <c r="D591" s="43" t="s">
        <v>493</v>
      </c>
      <c r="E591" s="78">
        <v>27.78</v>
      </c>
      <c r="F591" s="3" t="s">
        <v>277</v>
      </c>
      <c r="G591" s="78"/>
      <c r="H591" s="20"/>
    </row>
    <row r="592" spans="1:8" ht="20.100000000000001" hidden="1" customHeight="1" outlineLevel="1" x14ac:dyDescent="0.25">
      <c r="A592" s="52"/>
      <c r="B592" s="9"/>
      <c r="C592" s="44" t="s">
        <v>1337</v>
      </c>
      <c r="D592" s="44" t="s">
        <v>1337</v>
      </c>
      <c r="E592" s="78">
        <v>1</v>
      </c>
      <c r="F592" s="9"/>
      <c r="G592" s="79">
        <f>SUM(H590:H591)</f>
        <v>0</v>
      </c>
      <c r="H592" s="29">
        <f>ROUND(E592*G592,2)</f>
        <v>0</v>
      </c>
    </row>
    <row r="593" spans="1:8" ht="20.100000000000001" hidden="1" customHeight="1" outlineLevel="1" x14ac:dyDescent="0.25">
      <c r="A593" s="60"/>
      <c r="B593" s="12"/>
      <c r="C593" s="45"/>
      <c r="D593" s="45"/>
      <c r="E593" s="34"/>
      <c r="F593" s="12"/>
      <c r="G593" s="34"/>
      <c r="H593" s="30"/>
    </row>
    <row r="594" spans="1:8" ht="39.950000000000003" hidden="1" customHeight="1" outlineLevel="1" x14ac:dyDescent="0.25">
      <c r="A594" s="63"/>
      <c r="B594" s="18" t="s">
        <v>9</v>
      </c>
      <c r="C594" s="48" t="s">
        <v>779</v>
      </c>
      <c r="D594" s="48" t="s">
        <v>1338</v>
      </c>
      <c r="E594" s="82">
        <f>E597</f>
        <v>1</v>
      </c>
      <c r="F594" s="18" t="s">
        <v>10</v>
      </c>
      <c r="G594" s="82">
        <f>G597</f>
        <v>0</v>
      </c>
      <c r="H594" s="32">
        <f>H597</f>
        <v>0</v>
      </c>
    </row>
    <row r="595" spans="1:8" ht="20.100000000000001" hidden="1" customHeight="1" outlineLevel="1" x14ac:dyDescent="0.25">
      <c r="A595" s="59" t="s">
        <v>780</v>
      </c>
      <c r="B595" s="3" t="s">
        <v>17</v>
      </c>
      <c r="C595" s="43" t="s">
        <v>781</v>
      </c>
      <c r="D595" s="43" t="s">
        <v>1340</v>
      </c>
      <c r="E595" s="78">
        <v>1</v>
      </c>
      <c r="F595" s="3" t="s">
        <v>433</v>
      </c>
      <c r="G595" s="78"/>
      <c r="H595" s="20"/>
    </row>
    <row r="596" spans="1:8" ht="20.100000000000001" hidden="1" customHeight="1" outlineLevel="1" x14ac:dyDescent="0.25">
      <c r="A596" s="59" t="s">
        <v>782</v>
      </c>
      <c r="B596" s="3" t="s">
        <v>17</v>
      </c>
      <c r="C596" s="43" t="s">
        <v>783</v>
      </c>
      <c r="D596" s="43" t="s">
        <v>1341</v>
      </c>
      <c r="E596" s="78">
        <v>1</v>
      </c>
      <c r="F596" s="3" t="s">
        <v>433</v>
      </c>
      <c r="G596" s="78"/>
      <c r="H596" s="20"/>
    </row>
    <row r="597" spans="1:8" ht="20.100000000000001" hidden="1" customHeight="1" outlineLevel="1" x14ac:dyDescent="0.25">
      <c r="A597" s="52"/>
      <c r="B597" s="9"/>
      <c r="C597" s="44" t="s">
        <v>1339</v>
      </c>
      <c r="D597" s="44" t="s">
        <v>1339</v>
      </c>
      <c r="E597" s="78">
        <v>1</v>
      </c>
      <c r="F597" s="9"/>
      <c r="G597" s="79">
        <f>SUM(H595:H596)</f>
        <v>0</v>
      </c>
      <c r="H597" s="29">
        <f>ROUND(E597*G597,2)</f>
        <v>0</v>
      </c>
    </row>
    <row r="598" spans="1:8" ht="20.100000000000001" hidden="1" customHeight="1" outlineLevel="1" x14ac:dyDescent="0.25">
      <c r="A598" s="60"/>
      <c r="B598" s="12"/>
      <c r="C598" s="45"/>
      <c r="D598" s="45"/>
      <c r="E598" s="34"/>
      <c r="F598" s="12"/>
      <c r="G598" s="34"/>
      <c r="H598" s="30"/>
    </row>
    <row r="599" spans="1:8" ht="20.100000000000001" hidden="1" customHeight="1" outlineLevel="1" x14ac:dyDescent="0.25">
      <c r="A599" s="64"/>
      <c r="C599" s="49" t="s">
        <v>784</v>
      </c>
      <c r="D599" s="49"/>
      <c r="E599" s="84">
        <v>1</v>
      </c>
      <c r="G599" s="83">
        <f>H585+H589+H594</f>
        <v>0</v>
      </c>
      <c r="H599" s="33">
        <f>ROUND(E599*G599,2)</f>
        <v>0</v>
      </c>
    </row>
    <row r="600" spans="1:8" ht="20.100000000000001" customHeight="1" collapsed="1" x14ac:dyDescent="0.25">
      <c r="A600" s="60"/>
      <c r="B600" s="12"/>
      <c r="C600" s="45"/>
      <c r="D600" s="45"/>
      <c r="E600" s="34"/>
      <c r="F600" s="12"/>
      <c r="G600" s="34"/>
      <c r="H600" s="30"/>
    </row>
    <row r="601" spans="1:8" ht="20.100000000000001" customHeight="1" x14ac:dyDescent="0.25">
      <c r="A601" s="52"/>
      <c r="B601" s="9"/>
      <c r="C601" s="44" t="s">
        <v>785</v>
      </c>
      <c r="D601" s="44"/>
      <c r="E601" s="78">
        <v>1</v>
      </c>
      <c r="F601" s="9"/>
      <c r="G601" s="79">
        <f>H433+H446+H459+H478+H495+H514+H542+H548+H563+H584</f>
        <v>79380.86</v>
      </c>
      <c r="H601" s="29">
        <f>ROUND(E601*G601,2)</f>
        <v>79380.86</v>
      </c>
    </row>
    <row r="602" spans="1:8" ht="20.100000000000001" customHeight="1" x14ac:dyDescent="0.25">
      <c r="A602" s="60"/>
      <c r="B602" s="12"/>
      <c r="C602" s="45"/>
      <c r="D602" s="45"/>
      <c r="E602" s="34"/>
      <c r="F602" s="12"/>
      <c r="G602" s="34"/>
      <c r="H602" s="30"/>
    </row>
    <row r="603" spans="1:8" ht="20.100000000000001" customHeight="1" x14ac:dyDescent="0.25">
      <c r="A603" s="52"/>
      <c r="B603" s="9"/>
      <c r="C603" s="44" t="s">
        <v>786</v>
      </c>
      <c r="D603" s="44"/>
      <c r="E603" s="78">
        <v>1</v>
      </c>
      <c r="F603" s="9"/>
      <c r="G603" s="79">
        <f>H224+H432</f>
        <v>155151.44</v>
      </c>
      <c r="H603" s="29">
        <f>ROUND(E603*G603,2)</f>
        <v>155151.44</v>
      </c>
    </row>
    <row r="604" spans="1:8" ht="20.100000000000001" customHeight="1" x14ac:dyDescent="0.25">
      <c r="A604" s="60"/>
      <c r="B604" s="12"/>
      <c r="C604" s="45"/>
      <c r="D604" s="45"/>
      <c r="E604" s="34"/>
      <c r="F604" s="12"/>
      <c r="G604" s="34"/>
      <c r="H604" s="30"/>
    </row>
    <row r="605" spans="1:8" ht="20.100000000000001" customHeight="1" x14ac:dyDescent="0.25">
      <c r="A605" s="52"/>
      <c r="B605" s="9"/>
      <c r="C605" s="44" t="s">
        <v>787</v>
      </c>
      <c r="D605" s="44"/>
      <c r="E605" s="78">
        <v>1</v>
      </c>
      <c r="F605" s="9"/>
      <c r="G605" s="79">
        <f>H38+H223</f>
        <v>579503.18000000005</v>
      </c>
      <c r="H605" s="29">
        <f>ROUND(E605*G605,2)</f>
        <v>579503.18000000005</v>
      </c>
    </row>
    <row r="606" spans="1:8" ht="20.100000000000001" customHeight="1" x14ac:dyDescent="0.25">
      <c r="A606" s="60"/>
      <c r="B606" s="12"/>
      <c r="C606" s="45"/>
      <c r="D606" s="45"/>
      <c r="E606" s="34"/>
      <c r="F606" s="12"/>
      <c r="G606" s="34"/>
      <c r="H606" s="30"/>
    </row>
    <row r="607" spans="1:8" ht="20.100000000000001" customHeight="1" x14ac:dyDescent="0.25">
      <c r="A607" s="57" t="s">
        <v>788</v>
      </c>
      <c r="B607" s="16" t="s">
        <v>9</v>
      </c>
      <c r="C607" s="41" t="s">
        <v>789</v>
      </c>
      <c r="D607" s="41" t="s">
        <v>1342</v>
      </c>
      <c r="E607" s="76">
        <f>E713</f>
        <v>1</v>
      </c>
      <c r="F607" s="16" t="s">
        <v>10</v>
      </c>
      <c r="G607" s="76">
        <f>G713</f>
        <v>79761.8</v>
      </c>
      <c r="H607" s="27">
        <f>H713</f>
        <v>79761.8</v>
      </c>
    </row>
    <row r="608" spans="1:8" ht="20.100000000000001" customHeight="1" x14ac:dyDescent="0.25">
      <c r="A608" s="58"/>
      <c r="B608" s="5" t="s">
        <v>9</v>
      </c>
      <c r="C608" s="42" t="s">
        <v>790</v>
      </c>
      <c r="D608" s="42" t="s">
        <v>1476</v>
      </c>
      <c r="E608" s="77">
        <f>E687</f>
        <v>1</v>
      </c>
      <c r="F608" s="5" t="s">
        <v>10</v>
      </c>
      <c r="G608" s="77">
        <f>G687</f>
        <v>50314.38</v>
      </c>
      <c r="H608" s="28">
        <f>H687</f>
        <v>50314.38</v>
      </c>
    </row>
    <row r="609" spans="1:8" ht="20.100000000000001" customHeight="1" x14ac:dyDescent="0.25">
      <c r="A609" s="61"/>
      <c r="B609" s="17" t="s">
        <v>9</v>
      </c>
      <c r="C609" s="46" t="s">
        <v>790</v>
      </c>
      <c r="D609" s="42" t="s">
        <v>1343</v>
      </c>
      <c r="E609" s="80">
        <f>E656</f>
        <v>1</v>
      </c>
      <c r="F609" s="17" t="s">
        <v>10</v>
      </c>
      <c r="G609" s="80">
        <f>G656</f>
        <v>49544.26</v>
      </c>
      <c r="H609" s="31">
        <f>H656</f>
        <v>49544.26</v>
      </c>
    </row>
    <row r="610" spans="1:8" ht="20.100000000000001" customHeight="1" x14ac:dyDescent="0.25">
      <c r="A610" s="62" t="s">
        <v>446</v>
      </c>
      <c r="B610" s="7" t="s">
        <v>9</v>
      </c>
      <c r="C610" s="47" t="s">
        <v>792</v>
      </c>
      <c r="D610" s="47" t="s">
        <v>1344</v>
      </c>
      <c r="E610" s="81">
        <f>E619</f>
        <v>1</v>
      </c>
      <c r="F610" s="7" t="s">
        <v>10</v>
      </c>
      <c r="G610" s="81">
        <f>G619</f>
        <v>10330.39</v>
      </c>
      <c r="H610" s="21">
        <f>H619</f>
        <v>10330.39</v>
      </c>
    </row>
    <row r="611" spans="1:8" ht="20.100000000000001" customHeight="1" x14ac:dyDescent="0.25">
      <c r="A611" s="59" t="s">
        <v>448</v>
      </c>
      <c r="B611" s="3" t="s">
        <v>17</v>
      </c>
      <c r="C611" s="43" t="s">
        <v>794</v>
      </c>
      <c r="D611" s="43" t="s">
        <v>1345</v>
      </c>
      <c r="E611" s="78">
        <v>98.56</v>
      </c>
      <c r="F611" s="3" t="s">
        <v>70</v>
      </c>
      <c r="G611" s="78">
        <v>33.47</v>
      </c>
      <c r="H611" s="20">
        <f t="shared" ref="H611:H619" si="10">ROUND(E611*G611,2)</f>
        <v>3298.8</v>
      </c>
    </row>
    <row r="612" spans="1:8" ht="20.100000000000001" customHeight="1" x14ac:dyDescent="0.25">
      <c r="A612" s="59" t="s">
        <v>450</v>
      </c>
      <c r="B612" s="3" t="s">
        <v>17</v>
      </c>
      <c r="C612" s="43" t="s">
        <v>796</v>
      </c>
      <c r="D612" s="43" t="s">
        <v>1346</v>
      </c>
      <c r="E612" s="78">
        <v>17.86</v>
      </c>
      <c r="F612" s="3" t="s">
        <v>70</v>
      </c>
      <c r="G612" s="78">
        <v>33.47</v>
      </c>
      <c r="H612" s="20">
        <f t="shared" si="10"/>
        <v>597.77</v>
      </c>
    </row>
    <row r="613" spans="1:8" ht="20.100000000000001" customHeight="1" x14ac:dyDescent="0.25">
      <c r="A613" s="59" t="s">
        <v>452</v>
      </c>
      <c r="B613" s="3" t="s">
        <v>17</v>
      </c>
      <c r="C613" s="43" t="s">
        <v>798</v>
      </c>
      <c r="D613" s="43" t="s">
        <v>1347</v>
      </c>
      <c r="E613" s="78">
        <v>85.8</v>
      </c>
      <c r="F613" s="3" t="s">
        <v>75</v>
      </c>
      <c r="G613" s="78">
        <v>17.46</v>
      </c>
      <c r="H613" s="20">
        <f t="shared" si="10"/>
        <v>1498.07</v>
      </c>
    </row>
    <row r="614" spans="1:8" ht="20.100000000000001" customHeight="1" x14ac:dyDescent="0.25">
      <c r="A614" s="59" t="s">
        <v>454</v>
      </c>
      <c r="B614" s="3" t="s">
        <v>17</v>
      </c>
      <c r="C614" s="43" t="s">
        <v>800</v>
      </c>
      <c r="D614" s="43" t="s">
        <v>1348</v>
      </c>
      <c r="E614" s="78">
        <v>48.84</v>
      </c>
      <c r="F614" s="3" t="s">
        <v>54</v>
      </c>
      <c r="G614" s="78">
        <v>22.79</v>
      </c>
      <c r="H614" s="20">
        <f t="shared" si="10"/>
        <v>1113.06</v>
      </c>
    </row>
    <row r="615" spans="1:8" ht="20.100000000000001" customHeight="1" x14ac:dyDescent="0.25">
      <c r="A615" s="59" t="s">
        <v>456</v>
      </c>
      <c r="B615" s="3" t="s">
        <v>17</v>
      </c>
      <c r="C615" s="43" t="s">
        <v>802</v>
      </c>
      <c r="D615" s="98" t="s">
        <v>1350</v>
      </c>
      <c r="E615" s="78">
        <v>80.17</v>
      </c>
      <c r="F615" s="3" t="s">
        <v>54</v>
      </c>
      <c r="G615" s="78">
        <v>22.79</v>
      </c>
      <c r="H615" s="20">
        <f t="shared" si="10"/>
        <v>1827.07</v>
      </c>
    </row>
    <row r="616" spans="1:8" ht="20.100000000000001" customHeight="1" x14ac:dyDescent="0.25">
      <c r="A616" s="59" t="s">
        <v>458</v>
      </c>
      <c r="B616" s="3" t="s">
        <v>17</v>
      </c>
      <c r="C616" s="43" t="s">
        <v>804</v>
      </c>
      <c r="D616" s="43" t="s">
        <v>1349</v>
      </c>
      <c r="E616" s="78">
        <v>275.91000000000003</v>
      </c>
      <c r="F616" s="3" t="s">
        <v>18</v>
      </c>
      <c r="G616" s="78">
        <v>2.65</v>
      </c>
      <c r="H616" s="20">
        <f t="shared" si="10"/>
        <v>731.16</v>
      </c>
    </row>
    <row r="617" spans="1:8" ht="20.100000000000001" customHeight="1" x14ac:dyDescent="0.25">
      <c r="A617" s="59" t="s">
        <v>461</v>
      </c>
      <c r="B617" s="3" t="s">
        <v>17</v>
      </c>
      <c r="C617" s="43" t="s">
        <v>81</v>
      </c>
      <c r="D617" s="43" t="s">
        <v>1060</v>
      </c>
      <c r="E617" s="78">
        <v>100.15</v>
      </c>
      <c r="F617" s="3" t="s">
        <v>80</v>
      </c>
      <c r="G617" s="78">
        <v>8.08</v>
      </c>
      <c r="H617" s="20">
        <f t="shared" si="10"/>
        <v>809.21</v>
      </c>
    </row>
    <row r="618" spans="1:8" ht="20.100000000000001" customHeight="1" x14ac:dyDescent="0.25">
      <c r="A618" s="59" t="s">
        <v>463</v>
      </c>
      <c r="B618" s="3" t="s">
        <v>17</v>
      </c>
      <c r="C618" s="43" t="s">
        <v>19</v>
      </c>
      <c r="D618" s="43" t="s">
        <v>1039</v>
      </c>
      <c r="E618" s="78">
        <v>275.91000000000003</v>
      </c>
      <c r="F618" s="3" t="s">
        <v>18</v>
      </c>
      <c r="G618" s="78">
        <v>1.65</v>
      </c>
      <c r="H618" s="20">
        <f t="shared" si="10"/>
        <v>455.25</v>
      </c>
    </row>
    <row r="619" spans="1:8" ht="20.100000000000001" customHeight="1" x14ac:dyDescent="0.25">
      <c r="A619" s="52"/>
      <c r="B619" s="9"/>
      <c r="C619" s="44" t="s">
        <v>470</v>
      </c>
      <c r="D619" s="44" t="s">
        <v>470</v>
      </c>
      <c r="E619" s="78">
        <v>1</v>
      </c>
      <c r="F619" s="9"/>
      <c r="G619" s="79">
        <f>SUM(H611:H618)</f>
        <v>10330.39</v>
      </c>
      <c r="H619" s="29">
        <f t="shared" si="10"/>
        <v>10330.39</v>
      </c>
    </row>
    <row r="620" spans="1:8" ht="20.100000000000001" customHeight="1" x14ac:dyDescent="0.25">
      <c r="A620" s="60"/>
      <c r="B620" s="12"/>
      <c r="C620" s="45"/>
      <c r="D620" s="45"/>
      <c r="E620" s="34"/>
      <c r="F620" s="12"/>
      <c r="G620" s="34"/>
      <c r="H620" s="30"/>
    </row>
    <row r="621" spans="1:8" ht="20.100000000000001" customHeight="1" x14ac:dyDescent="0.25">
      <c r="A621" s="62" t="s">
        <v>471</v>
      </c>
      <c r="B621" s="7" t="s">
        <v>9</v>
      </c>
      <c r="C621" s="47" t="s">
        <v>809</v>
      </c>
      <c r="D621" s="93" t="s">
        <v>1354</v>
      </c>
      <c r="E621" s="81">
        <f>E627</f>
        <v>1</v>
      </c>
      <c r="F621" s="7" t="s">
        <v>10</v>
      </c>
      <c r="G621" s="81">
        <f>G627</f>
        <v>23413.59</v>
      </c>
      <c r="H621" s="21">
        <f>H627</f>
        <v>23413.59</v>
      </c>
    </row>
    <row r="622" spans="1:8" ht="20.100000000000001" customHeight="1" x14ac:dyDescent="0.25">
      <c r="A622" s="59" t="s">
        <v>474</v>
      </c>
      <c r="B622" s="3" t="s">
        <v>17</v>
      </c>
      <c r="C622" s="43" t="s">
        <v>811</v>
      </c>
      <c r="D622" s="43" t="s">
        <v>1351</v>
      </c>
      <c r="E622" s="78">
        <v>19.36</v>
      </c>
      <c r="F622" s="3" t="s">
        <v>54</v>
      </c>
      <c r="G622" s="78">
        <v>357.47</v>
      </c>
      <c r="H622" s="20">
        <f t="shared" ref="H622:H627" si="11">ROUND(E622*G622,2)</f>
        <v>6920.62</v>
      </c>
    </row>
    <row r="623" spans="1:8" ht="20.100000000000001" customHeight="1" x14ac:dyDescent="0.25">
      <c r="A623" s="59" t="s">
        <v>475</v>
      </c>
      <c r="B623" s="3" t="s">
        <v>17</v>
      </c>
      <c r="C623" s="43" t="s">
        <v>813</v>
      </c>
      <c r="D623" s="43" t="s">
        <v>1352</v>
      </c>
      <c r="E623" s="78">
        <v>25.27</v>
      </c>
      <c r="F623" s="3" t="s">
        <v>54</v>
      </c>
      <c r="G623" s="78">
        <v>529.51</v>
      </c>
      <c r="H623" s="20">
        <f t="shared" si="11"/>
        <v>13380.72</v>
      </c>
    </row>
    <row r="624" spans="1:8" ht="20.100000000000001" customHeight="1" x14ac:dyDescent="0.25">
      <c r="A624" s="59" t="s">
        <v>477</v>
      </c>
      <c r="B624" s="3" t="s">
        <v>17</v>
      </c>
      <c r="C624" s="43" t="s">
        <v>815</v>
      </c>
      <c r="D624" s="43" t="s">
        <v>1353</v>
      </c>
      <c r="E624" s="78">
        <v>6.06</v>
      </c>
      <c r="F624" s="3" t="s">
        <v>54</v>
      </c>
      <c r="G624" s="78">
        <v>316.66000000000003</v>
      </c>
      <c r="H624" s="20">
        <f t="shared" si="11"/>
        <v>1918.96</v>
      </c>
    </row>
    <row r="625" spans="1:8" ht="20.100000000000001" customHeight="1" x14ac:dyDescent="0.25">
      <c r="A625" s="59" t="s">
        <v>478</v>
      </c>
      <c r="B625" s="3" t="s">
        <v>17</v>
      </c>
      <c r="C625" s="43" t="s">
        <v>157</v>
      </c>
      <c r="D625" s="43" t="s">
        <v>1101</v>
      </c>
      <c r="E625" s="78">
        <v>0.56000000000000005</v>
      </c>
      <c r="F625" s="3" t="s">
        <v>54</v>
      </c>
      <c r="G625" s="78">
        <v>762.71</v>
      </c>
      <c r="H625" s="20">
        <f t="shared" si="11"/>
        <v>427.12</v>
      </c>
    </row>
    <row r="626" spans="1:8" ht="20.100000000000001" customHeight="1" x14ac:dyDescent="0.25">
      <c r="A626" s="59" t="s">
        <v>480</v>
      </c>
      <c r="B626" s="3" t="s">
        <v>17</v>
      </c>
      <c r="C626" s="43" t="s">
        <v>124</v>
      </c>
      <c r="D626" s="43" t="s">
        <v>1085</v>
      </c>
      <c r="E626" s="78">
        <v>3.37</v>
      </c>
      <c r="F626" s="3" t="s">
        <v>54</v>
      </c>
      <c r="G626" s="78">
        <v>227.35</v>
      </c>
      <c r="H626" s="20">
        <f t="shared" si="11"/>
        <v>766.17</v>
      </c>
    </row>
    <row r="627" spans="1:8" ht="20.100000000000001" customHeight="1" x14ac:dyDescent="0.25">
      <c r="A627" s="52"/>
      <c r="B627" s="9"/>
      <c r="C627" s="44" t="s">
        <v>545</v>
      </c>
      <c r="D627" s="44" t="s">
        <v>545</v>
      </c>
      <c r="E627" s="78">
        <v>1</v>
      </c>
      <c r="F627" s="9"/>
      <c r="G627" s="79">
        <f>SUM(H622:H626)</f>
        <v>23413.59</v>
      </c>
      <c r="H627" s="29">
        <f t="shared" si="11"/>
        <v>23413.59</v>
      </c>
    </row>
    <row r="628" spans="1:8" ht="20.100000000000001" customHeight="1" x14ac:dyDescent="0.25">
      <c r="A628" s="60"/>
      <c r="B628" s="12"/>
      <c r="C628" s="45"/>
      <c r="D628" s="45"/>
      <c r="E628" s="34"/>
      <c r="F628" s="12"/>
      <c r="G628" s="34"/>
      <c r="H628" s="30"/>
    </row>
    <row r="629" spans="1:8" ht="20.100000000000001" customHeight="1" x14ac:dyDescent="0.25">
      <c r="A629" s="62" t="s">
        <v>546</v>
      </c>
      <c r="B629" s="7" t="s">
        <v>9</v>
      </c>
      <c r="C629" s="47" t="s">
        <v>164</v>
      </c>
      <c r="D629" s="93" t="s">
        <v>1151</v>
      </c>
      <c r="E629" s="81">
        <f>E632</f>
        <v>1</v>
      </c>
      <c r="F629" s="7" t="s">
        <v>10</v>
      </c>
      <c r="G629" s="81">
        <f>G632</f>
        <v>2479.14</v>
      </c>
      <c r="H629" s="21">
        <f>H632</f>
        <v>2479.14</v>
      </c>
    </row>
    <row r="630" spans="1:8" ht="20.100000000000001" customHeight="1" x14ac:dyDescent="0.25">
      <c r="A630" s="59" t="s">
        <v>549</v>
      </c>
      <c r="B630" s="3" t="s">
        <v>17</v>
      </c>
      <c r="C630" s="43" t="s">
        <v>821</v>
      </c>
      <c r="D630" s="43" t="s">
        <v>1356</v>
      </c>
      <c r="E630" s="78">
        <v>7.48</v>
      </c>
      <c r="F630" s="3" t="s">
        <v>18</v>
      </c>
      <c r="G630" s="78">
        <v>40.200000000000003</v>
      </c>
      <c r="H630" s="20">
        <f>ROUND(E630*G630,2)</f>
        <v>300.7</v>
      </c>
    </row>
    <row r="631" spans="1:8" ht="20.100000000000001" customHeight="1" x14ac:dyDescent="0.25">
      <c r="A631" s="59" t="s">
        <v>552</v>
      </c>
      <c r="B631" s="3" t="s">
        <v>17</v>
      </c>
      <c r="C631" s="43" t="s">
        <v>823</v>
      </c>
      <c r="D631" s="43" t="s">
        <v>1355</v>
      </c>
      <c r="E631" s="78">
        <v>54.19</v>
      </c>
      <c r="F631" s="3" t="s">
        <v>18</v>
      </c>
      <c r="G631" s="78">
        <v>40.200000000000003</v>
      </c>
      <c r="H631" s="20">
        <f>ROUND(E631*G631,2)</f>
        <v>2178.44</v>
      </c>
    </row>
    <row r="632" spans="1:8" ht="20.100000000000001" customHeight="1" x14ac:dyDescent="0.25">
      <c r="A632" s="52"/>
      <c r="B632" s="9"/>
      <c r="C632" s="44" t="s">
        <v>554</v>
      </c>
      <c r="D632" s="44" t="s">
        <v>554</v>
      </c>
      <c r="E632" s="78">
        <v>1</v>
      </c>
      <c r="F632" s="9"/>
      <c r="G632" s="79">
        <f>SUM(H630:H631)</f>
        <v>2479.14</v>
      </c>
      <c r="H632" s="29">
        <f>ROUND(E632*G632,2)</f>
        <v>2479.14</v>
      </c>
    </row>
    <row r="633" spans="1:8" ht="20.100000000000001" customHeight="1" x14ac:dyDescent="0.25">
      <c r="A633" s="60"/>
      <c r="B633" s="12"/>
      <c r="C633" s="45"/>
      <c r="D633" s="45"/>
      <c r="E633" s="34"/>
      <c r="F633" s="12"/>
      <c r="G633" s="34"/>
      <c r="H633" s="30"/>
    </row>
    <row r="634" spans="1:8" ht="20.100000000000001" customHeight="1" x14ac:dyDescent="0.25">
      <c r="A634" s="62" t="s">
        <v>555</v>
      </c>
      <c r="B634" s="7" t="s">
        <v>9</v>
      </c>
      <c r="C634" s="47" t="s">
        <v>826</v>
      </c>
      <c r="D634" s="93" t="s">
        <v>1357</v>
      </c>
      <c r="E634" s="81">
        <f>E643</f>
        <v>1</v>
      </c>
      <c r="F634" s="7" t="s">
        <v>10</v>
      </c>
      <c r="G634" s="81">
        <f>G643</f>
        <v>9091.2900000000009</v>
      </c>
      <c r="H634" s="21">
        <f>H643</f>
        <v>9091.2900000000009</v>
      </c>
    </row>
    <row r="635" spans="1:8" ht="20.100000000000001" customHeight="1" x14ac:dyDescent="0.25">
      <c r="A635" s="59" t="s">
        <v>557</v>
      </c>
      <c r="B635" s="3" t="s">
        <v>17</v>
      </c>
      <c r="C635" s="43" t="s">
        <v>828</v>
      </c>
      <c r="D635" s="43" t="s">
        <v>1358</v>
      </c>
      <c r="E635" s="78">
        <v>239.14</v>
      </c>
      <c r="F635" s="3" t="s">
        <v>35</v>
      </c>
      <c r="G635" s="78">
        <v>4.1900000000000004</v>
      </c>
      <c r="H635" s="20">
        <f t="shared" ref="H635:H643" si="12">ROUND(E635*G635,2)</f>
        <v>1002</v>
      </c>
    </row>
    <row r="636" spans="1:8" ht="20.100000000000001" customHeight="1" x14ac:dyDescent="0.25">
      <c r="A636" s="59" t="s">
        <v>559</v>
      </c>
      <c r="B636" s="3" t="s">
        <v>17</v>
      </c>
      <c r="C636" s="43" t="s">
        <v>830</v>
      </c>
      <c r="D636" s="43" t="s">
        <v>1174</v>
      </c>
      <c r="E636" s="78">
        <v>119.57</v>
      </c>
      <c r="F636" s="3" t="s">
        <v>35</v>
      </c>
      <c r="G636" s="78">
        <v>13.33</v>
      </c>
      <c r="H636" s="20">
        <f t="shared" si="12"/>
        <v>1593.87</v>
      </c>
    </row>
    <row r="637" spans="1:8" ht="20.100000000000001" customHeight="1" x14ac:dyDescent="0.25">
      <c r="A637" s="59" t="s">
        <v>561</v>
      </c>
      <c r="B637" s="3" t="s">
        <v>17</v>
      </c>
      <c r="C637" s="43" t="s">
        <v>832</v>
      </c>
      <c r="D637" s="43" t="s">
        <v>1359</v>
      </c>
      <c r="E637" s="78">
        <v>194.26</v>
      </c>
      <c r="F637" s="3" t="s">
        <v>277</v>
      </c>
      <c r="G637" s="78">
        <v>4.41</v>
      </c>
      <c r="H637" s="20">
        <f t="shared" si="12"/>
        <v>856.69</v>
      </c>
    </row>
    <row r="638" spans="1:8" ht="20.100000000000001" customHeight="1" x14ac:dyDescent="0.25">
      <c r="A638" s="59" t="s">
        <v>563</v>
      </c>
      <c r="B638" s="3" t="s">
        <v>17</v>
      </c>
      <c r="C638" s="43" t="s">
        <v>834</v>
      </c>
      <c r="D638" s="43" t="s">
        <v>1360</v>
      </c>
      <c r="E638" s="78">
        <v>61.38</v>
      </c>
      <c r="F638" s="3" t="s">
        <v>277</v>
      </c>
      <c r="G638" s="78">
        <v>6.54</v>
      </c>
      <c r="H638" s="20">
        <f t="shared" si="12"/>
        <v>401.43</v>
      </c>
    </row>
    <row r="639" spans="1:8" ht="20.100000000000001" customHeight="1" x14ac:dyDescent="0.25">
      <c r="A639" s="59" t="s">
        <v>1470</v>
      </c>
      <c r="B639" s="3" t="s">
        <v>17</v>
      </c>
      <c r="C639" s="43" t="s">
        <v>836</v>
      </c>
      <c r="D639" s="43" t="s">
        <v>1187</v>
      </c>
      <c r="E639" s="78">
        <v>115.92</v>
      </c>
      <c r="F639" s="3" t="s">
        <v>35</v>
      </c>
      <c r="G639" s="78">
        <v>17.93</v>
      </c>
      <c r="H639" s="20">
        <f t="shared" si="12"/>
        <v>2078.4499999999998</v>
      </c>
    </row>
    <row r="640" spans="1:8" ht="20.100000000000001" customHeight="1" x14ac:dyDescent="0.25">
      <c r="A640" s="59" t="s">
        <v>1471</v>
      </c>
      <c r="B640" s="3" t="s">
        <v>17</v>
      </c>
      <c r="C640" s="43" t="s">
        <v>838</v>
      </c>
      <c r="D640" s="43" t="s">
        <v>1361</v>
      </c>
      <c r="E640" s="78">
        <v>139.5</v>
      </c>
      <c r="F640" s="3" t="s">
        <v>277</v>
      </c>
      <c r="G640" s="78">
        <v>3.84</v>
      </c>
      <c r="H640" s="20">
        <f t="shared" si="12"/>
        <v>535.67999999999995</v>
      </c>
    </row>
    <row r="641" spans="1:8" ht="20.100000000000001" customHeight="1" x14ac:dyDescent="0.25">
      <c r="A641" s="59" t="s">
        <v>1472</v>
      </c>
      <c r="B641" s="3" t="s">
        <v>17</v>
      </c>
      <c r="C641" s="43" t="s">
        <v>840</v>
      </c>
      <c r="D641" s="43" t="s">
        <v>1362</v>
      </c>
      <c r="E641" s="78">
        <v>56.3</v>
      </c>
      <c r="F641" s="3" t="s">
        <v>277</v>
      </c>
      <c r="G641" s="78">
        <v>22.64</v>
      </c>
      <c r="H641" s="20">
        <f t="shared" si="12"/>
        <v>1274.6300000000001</v>
      </c>
    </row>
    <row r="642" spans="1:8" ht="20.100000000000001" customHeight="1" x14ac:dyDescent="0.25">
      <c r="A642" s="59" t="s">
        <v>1473</v>
      </c>
      <c r="B642" s="3" t="s">
        <v>17</v>
      </c>
      <c r="C642" s="43" t="s">
        <v>842</v>
      </c>
      <c r="D642" s="43" t="s">
        <v>1363</v>
      </c>
      <c r="E642" s="78">
        <v>15.2</v>
      </c>
      <c r="F642" s="3" t="s">
        <v>277</v>
      </c>
      <c r="G642" s="78">
        <v>88.72</v>
      </c>
      <c r="H642" s="20">
        <f t="shared" si="12"/>
        <v>1348.54</v>
      </c>
    </row>
    <row r="643" spans="1:8" ht="20.100000000000001" customHeight="1" x14ac:dyDescent="0.25">
      <c r="A643" s="52"/>
      <c r="B643" s="9"/>
      <c r="C643" s="44" t="s">
        <v>565</v>
      </c>
      <c r="D643" s="44" t="s">
        <v>565</v>
      </c>
      <c r="E643" s="78">
        <v>1</v>
      </c>
      <c r="F643" s="9"/>
      <c r="G643" s="79">
        <f>SUM(H635:H642)</f>
        <v>9091.2900000000009</v>
      </c>
      <c r="H643" s="29">
        <f t="shared" si="12"/>
        <v>9091.2900000000009</v>
      </c>
    </row>
    <row r="644" spans="1:8" ht="20.100000000000001" customHeight="1" x14ac:dyDescent="0.25">
      <c r="A644" s="60"/>
      <c r="B644" s="12"/>
      <c r="C644" s="45"/>
      <c r="D644" s="45"/>
      <c r="E644" s="34"/>
      <c r="F644" s="12"/>
      <c r="G644" s="34"/>
      <c r="H644" s="30"/>
    </row>
    <row r="645" spans="1:8" ht="20.100000000000001" hidden="1" customHeight="1" outlineLevel="1" x14ac:dyDescent="0.25">
      <c r="A645" s="62" t="s">
        <v>844</v>
      </c>
      <c r="B645" s="7" t="s">
        <v>9</v>
      </c>
      <c r="C645" s="47" t="s">
        <v>845</v>
      </c>
      <c r="D645" s="47" t="s">
        <v>1364</v>
      </c>
      <c r="E645" s="81">
        <f>E649</f>
        <v>1</v>
      </c>
      <c r="F645" s="7" t="s">
        <v>10</v>
      </c>
      <c r="G645" s="81">
        <f>G649</f>
        <v>0</v>
      </c>
      <c r="H645" s="21">
        <f>H649</f>
        <v>0</v>
      </c>
    </row>
    <row r="646" spans="1:8" ht="20.100000000000001" hidden="1" customHeight="1" outlineLevel="1" x14ac:dyDescent="0.25">
      <c r="A646" s="59" t="s">
        <v>846</v>
      </c>
      <c r="B646" s="3" t="s">
        <v>17</v>
      </c>
      <c r="C646" s="43" t="s">
        <v>847</v>
      </c>
      <c r="D646" s="91" t="s">
        <v>1365</v>
      </c>
      <c r="E646" s="78">
        <v>58.2</v>
      </c>
      <c r="F646" s="3" t="s">
        <v>277</v>
      </c>
      <c r="G646" s="78"/>
      <c r="H646" s="20"/>
    </row>
    <row r="647" spans="1:8" ht="20.100000000000001" hidden="1" customHeight="1" outlineLevel="1" x14ac:dyDescent="0.25">
      <c r="A647" s="59" t="s">
        <v>848</v>
      </c>
      <c r="B647" s="3" t="s">
        <v>17</v>
      </c>
      <c r="C647" s="43" t="s">
        <v>849</v>
      </c>
      <c r="D647" s="91" t="s">
        <v>1366</v>
      </c>
      <c r="E647" s="78">
        <v>61.8</v>
      </c>
      <c r="F647" s="3" t="s">
        <v>277</v>
      </c>
      <c r="G647" s="78"/>
      <c r="H647" s="20"/>
    </row>
    <row r="648" spans="1:8" ht="20.100000000000001" hidden="1" customHeight="1" outlineLevel="1" x14ac:dyDescent="0.25">
      <c r="A648" s="59" t="s">
        <v>850</v>
      </c>
      <c r="B648" s="3" t="s">
        <v>17</v>
      </c>
      <c r="C648" s="43" t="s">
        <v>851</v>
      </c>
      <c r="D648" s="91" t="s">
        <v>1367</v>
      </c>
      <c r="E648" s="78">
        <v>246.75</v>
      </c>
      <c r="F648" s="3" t="s">
        <v>35</v>
      </c>
      <c r="G648" s="78"/>
      <c r="H648" s="20"/>
    </row>
    <row r="649" spans="1:8" ht="20.100000000000001" hidden="1" customHeight="1" outlineLevel="1" x14ac:dyDescent="0.25">
      <c r="A649" s="52"/>
      <c r="B649" s="9"/>
      <c r="C649" s="44" t="s">
        <v>852</v>
      </c>
      <c r="D649" s="44" t="s">
        <v>852</v>
      </c>
      <c r="E649" s="78">
        <v>1</v>
      </c>
      <c r="F649" s="9"/>
      <c r="G649" s="79">
        <f>SUM(H646:H648)</f>
        <v>0</v>
      </c>
      <c r="H649" s="29">
        <f>ROUND(E649*G649,2)</f>
        <v>0</v>
      </c>
    </row>
    <row r="650" spans="1:8" ht="20.100000000000001" hidden="1" customHeight="1" outlineLevel="1" x14ac:dyDescent="0.25">
      <c r="A650" s="60"/>
      <c r="B650" s="12"/>
      <c r="C650" s="45"/>
      <c r="D650" s="45"/>
      <c r="E650" s="34"/>
      <c r="F650" s="12"/>
      <c r="G650" s="34"/>
      <c r="H650" s="30"/>
    </row>
    <row r="651" spans="1:8" ht="20.100000000000001" customHeight="1" collapsed="1" x14ac:dyDescent="0.25">
      <c r="A651" s="62" t="s">
        <v>1474</v>
      </c>
      <c r="B651" s="7" t="s">
        <v>9</v>
      </c>
      <c r="C651" s="47" t="s">
        <v>44</v>
      </c>
      <c r="D651" s="93" t="s">
        <v>1049</v>
      </c>
      <c r="E651" s="81">
        <f>E654</f>
        <v>1</v>
      </c>
      <c r="F651" s="7" t="s">
        <v>10</v>
      </c>
      <c r="G651" s="81">
        <f>G654</f>
        <v>4229.8500000000004</v>
      </c>
      <c r="H651" s="21">
        <f>H654</f>
        <v>4229.8500000000004</v>
      </c>
    </row>
    <row r="652" spans="1:8" ht="20.100000000000001" customHeight="1" x14ac:dyDescent="0.25">
      <c r="A652" s="59" t="s">
        <v>569</v>
      </c>
      <c r="B652" s="3" t="s">
        <v>17</v>
      </c>
      <c r="C652" s="43" t="s">
        <v>855</v>
      </c>
      <c r="D652" s="43" t="s">
        <v>1368</v>
      </c>
      <c r="E652" s="78">
        <v>235.46</v>
      </c>
      <c r="F652" s="3" t="s">
        <v>18</v>
      </c>
      <c r="G652" s="78">
        <v>14.65</v>
      </c>
      <c r="H652" s="20">
        <f>ROUND(E652*G652,2)</f>
        <v>3449.49</v>
      </c>
    </row>
    <row r="653" spans="1:8" ht="20.100000000000001" customHeight="1" x14ac:dyDescent="0.25">
      <c r="A653" s="59" t="s">
        <v>572</v>
      </c>
      <c r="B653" s="3" t="s">
        <v>17</v>
      </c>
      <c r="C653" s="43" t="s">
        <v>857</v>
      </c>
      <c r="D653" s="43" t="s">
        <v>1369</v>
      </c>
      <c r="E653" s="78">
        <v>1</v>
      </c>
      <c r="F653" s="3" t="s">
        <v>26</v>
      </c>
      <c r="G653" s="78">
        <v>780.36</v>
      </c>
      <c r="H653" s="20">
        <f>ROUND(E653*G653,2)</f>
        <v>780.36</v>
      </c>
    </row>
    <row r="654" spans="1:8" ht="20.100000000000001" customHeight="1" x14ac:dyDescent="0.25">
      <c r="A654" s="52"/>
      <c r="B654" s="9"/>
      <c r="C654" s="44" t="s">
        <v>582</v>
      </c>
      <c r="D654" s="44" t="s">
        <v>582</v>
      </c>
      <c r="E654" s="78">
        <v>1</v>
      </c>
      <c r="F654" s="9"/>
      <c r="G654" s="79">
        <f>SUM(H652:H653)</f>
        <v>4229.8500000000004</v>
      </c>
      <c r="H654" s="29">
        <f>ROUND(E654*G654,2)</f>
        <v>4229.8500000000004</v>
      </c>
    </row>
    <row r="655" spans="1:8" ht="20.100000000000001" customHeight="1" x14ac:dyDescent="0.25">
      <c r="A655" s="60"/>
      <c r="B655" s="12"/>
      <c r="C655" s="45"/>
      <c r="D655" s="45"/>
      <c r="E655" s="34"/>
      <c r="F655" s="12"/>
      <c r="G655" s="34"/>
      <c r="H655" s="30"/>
    </row>
    <row r="656" spans="1:8" s="8" customFormat="1" ht="20.100000000000001" customHeight="1" x14ac:dyDescent="0.25">
      <c r="A656" s="52"/>
      <c r="B656" s="9"/>
      <c r="C656" s="44" t="s">
        <v>859</v>
      </c>
      <c r="D656" s="44"/>
      <c r="E656" s="78">
        <v>1</v>
      </c>
      <c r="F656" s="9"/>
      <c r="G656" s="79">
        <f>H610+H621+H629+H634+H645+H651</f>
        <v>49544.26</v>
      </c>
      <c r="H656" s="29">
        <f>ROUND(E656*G656,2)</f>
        <v>49544.26</v>
      </c>
    </row>
    <row r="657" spans="1:8" ht="20.100000000000001" customHeight="1" x14ac:dyDescent="0.25">
      <c r="A657" s="60"/>
      <c r="B657" s="12"/>
      <c r="C657" s="45"/>
      <c r="D657" s="45"/>
      <c r="E657" s="34"/>
      <c r="F657" s="12"/>
      <c r="G657" s="34"/>
      <c r="H657" s="30"/>
    </row>
    <row r="658" spans="1:8" ht="20.100000000000001" customHeight="1" x14ac:dyDescent="0.25">
      <c r="A658" s="61"/>
      <c r="B658" s="17" t="s">
        <v>9</v>
      </c>
      <c r="C658" s="46" t="s">
        <v>860</v>
      </c>
      <c r="D658" s="46" t="s">
        <v>1370</v>
      </c>
      <c r="E658" s="80">
        <f>E685</f>
        <v>1</v>
      </c>
      <c r="F658" s="17" t="s">
        <v>10</v>
      </c>
      <c r="G658" s="80">
        <f>G685</f>
        <v>770.12</v>
      </c>
      <c r="H658" s="31">
        <f>H685</f>
        <v>770.12</v>
      </c>
    </row>
    <row r="659" spans="1:8" ht="20.100000000000001" customHeight="1" x14ac:dyDescent="0.25">
      <c r="A659" s="62" t="s">
        <v>583</v>
      </c>
      <c r="B659" s="7" t="s">
        <v>9</v>
      </c>
      <c r="C659" s="47" t="s">
        <v>88</v>
      </c>
      <c r="D659" s="47" t="s">
        <v>1371</v>
      </c>
      <c r="E659" s="81">
        <f>E662</f>
        <v>1</v>
      </c>
      <c r="F659" s="7" t="s">
        <v>10</v>
      </c>
      <c r="G659" s="81">
        <f>G662</f>
        <v>420.08</v>
      </c>
      <c r="H659" s="21">
        <f>H662</f>
        <v>420.08</v>
      </c>
    </row>
    <row r="660" spans="1:8" ht="20.100000000000001" customHeight="1" x14ac:dyDescent="0.25">
      <c r="A660" s="59" t="s">
        <v>585</v>
      </c>
      <c r="B660" s="3" t="s">
        <v>17</v>
      </c>
      <c r="C660" s="43" t="s">
        <v>811</v>
      </c>
      <c r="D660" s="43" t="s">
        <v>1372</v>
      </c>
      <c r="E660" s="78">
        <v>0.13</v>
      </c>
      <c r="F660" s="3" t="s">
        <v>54</v>
      </c>
      <c r="G660" s="78">
        <v>359.2</v>
      </c>
      <c r="H660" s="20">
        <f>ROUND(E660*G660,2)</f>
        <v>46.7</v>
      </c>
    </row>
    <row r="661" spans="1:8" ht="20.100000000000001" customHeight="1" x14ac:dyDescent="0.25">
      <c r="A661" s="59" t="s">
        <v>587</v>
      </c>
      <c r="B661" s="3" t="s">
        <v>17</v>
      </c>
      <c r="C661" s="43" t="s">
        <v>813</v>
      </c>
      <c r="D661" s="43" t="s">
        <v>1352</v>
      </c>
      <c r="E661" s="78">
        <v>0.63</v>
      </c>
      <c r="F661" s="3" t="s">
        <v>54</v>
      </c>
      <c r="G661" s="78">
        <v>592.66999999999996</v>
      </c>
      <c r="H661" s="20">
        <f>ROUND(E661*G661,2)</f>
        <v>373.38</v>
      </c>
    </row>
    <row r="662" spans="1:8" ht="20.100000000000001" customHeight="1" x14ac:dyDescent="0.25">
      <c r="A662" s="52"/>
      <c r="B662" s="9"/>
      <c r="C662" s="44" t="s">
        <v>629</v>
      </c>
      <c r="D662" s="44" t="s">
        <v>629</v>
      </c>
      <c r="E662" s="78">
        <v>1</v>
      </c>
      <c r="F662" s="9"/>
      <c r="G662" s="79">
        <f>SUM(H660:H661)</f>
        <v>420.08</v>
      </c>
      <c r="H662" s="29">
        <f>ROUND(E662*G662,2)</f>
        <v>420.08</v>
      </c>
    </row>
    <row r="663" spans="1:8" ht="20.100000000000001" customHeight="1" x14ac:dyDescent="0.25">
      <c r="A663" s="60"/>
      <c r="B663" s="12"/>
      <c r="C663" s="45"/>
      <c r="D663" s="45"/>
      <c r="E663" s="34"/>
      <c r="F663" s="12"/>
      <c r="G663" s="34"/>
      <c r="H663" s="30"/>
    </row>
    <row r="664" spans="1:8" ht="20.100000000000001" customHeight="1" x14ac:dyDescent="0.25">
      <c r="A664" s="62" t="s">
        <v>632</v>
      </c>
      <c r="B664" s="7" t="s">
        <v>9</v>
      </c>
      <c r="C664" s="47" t="s">
        <v>866</v>
      </c>
      <c r="D664" s="47" t="s">
        <v>1357</v>
      </c>
      <c r="E664" s="81">
        <f>E671</f>
        <v>1</v>
      </c>
      <c r="F664" s="7" t="s">
        <v>10</v>
      </c>
      <c r="G664" s="81">
        <f>G671</f>
        <v>143.19</v>
      </c>
      <c r="H664" s="21">
        <f>H671</f>
        <v>143.19</v>
      </c>
    </row>
    <row r="665" spans="1:8" ht="20.100000000000001" customHeight="1" x14ac:dyDescent="0.25">
      <c r="A665" s="59" t="s">
        <v>633</v>
      </c>
      <c r="B665" s="3" t="s">
        <v>17</v>
      </c>
      <c r="C665" s="43" t="s">
        <v>828</v>
      </c>
      <c r="D665" s="43" t="s">
        <v>1358</v>
      </c>
      <c r="E665" s="78">
        <v>3.64</v>
      </c>
      <c r="F665" s="3" t="s">
        <v>35</v>
      </c>
      <c r="G665" s="78">
        <v>4.1900000000000004</v>
      </c>
      <c r="H665" s="20">
        <f t="shared" ref="H665:H671" si="13">ROUND(E665*G665,2)</f>
        <v>15.25</v>
      </c>
    </row>
    <row r="666" spans="1:8" ht="20.100000000000001" customHeight="1" x14ac:dyDescent="0.25">
      <c r="A666" s="59" t="s">
        <v>634</v>
      </c>
      <c r="B666" s="3" t="s">
        <v>17</v>
      </c>
      <c r="C666" s="43" t="s">
        <v>830</v>
      </c>
      <c r="D666" s="43" t="s">
        <v>1174</v>
      </c>
      <c r="E666" s="78">
        <v>3.64</v>
      </c>
      <c r="F666" s="3" t="s">
        <v>35</v>
      </c>
      <c r="G666" s="78">
        <v>13.33</v>
      </c>
      <c r="H666" s="20">
        <f t="shared" si="13"/>
        <v>48.52</v>
      </c>
    </row>
    <row r="667" spans="1:8" ht="20.100000000000001" customHeight="1" x14ac:dyDescent="0.25">
      <c r="A667" s="59" t="s">
        <v>635</v>
      </c>
      <c r="B667" s="3" t="s">
        <v>17</v>
      </c>
      <c r="C667" s="43" t="s">
        <v>870</v>
      </c>
      <c r="D667" s="43" t="s">
        <v>1359</v>
      </c>
      <c r="E667" s="78">
        <v>6.2</v>
      </c>
      <c r="F667" s="3" t="s">
        <v>277</v>
      </c>
      <c r="G667" s="78">
        <v>4.41</v>
      </c>
      <c r="H667" s="20">
        <f t="shared" si="13"/>
        <v>27.34</v>
      </c>
    </row>
    <row r="668" spans="1:8" ht="20.100000000000001" customHeight="1" x14ac:dyDescent="0.25">
      <c r="A668" s="59" t="s">
        <v>636</v>
      </c>
      <c r="B668" s="3" t="s">
        <v>17</v>
      </c>
      <c r="C668" s="43" t="s">
        <v>872</v>
      </c>
      <c r="D668" s="43" t="s">
        <v>1360</v>
      </c>
      <c r="E668" s="78">
        <v>2.6</v>
      </c>
      <c r="F668" s="3" t="s">
        <v>277</v>
      </c>
      <c r="G668" s="78">
        <v>6.54</v>
      </c>
      <c r="H668" s="20">
        <f t="shared" si="13"/>
        <v>17</v>
      </c>
    </row>
    <row r="669" spans="1:8" ht="20.100000000000001" customHeight="1" x14ac:dyDescent="0.25">
      <c r="A669" s="59" t="s">
        <v>637</v>
      </c>
      <c r="B669" s="3" t="s">
        <v>17</v>
      </c>
      <c r="C669" s="43" t="s">
        <v>874</v>
      </c>
      <c r="D669" s="43" t="s">
        <v>1187</v>
      </c>
      <c r="E669" s="78">
        <v>1.4</v>
      </c>
      <c r="F669" s="3" t="s">
        <v>35</v>
      </c>
      <c r="G669" s="78">
        <v>17.93</v>
      </c>
      <c r="H669" s="20">
        <f t="shared" si="13"/>
        <v>25.1</v>
      </c>
    </row>
    <row r="670" spans="1:8" ht="20.100000000000001" customHeight="1" x14ac:dyDescent="0.25">
      <c r="A670" s="59" t="s">
        <v>638</v>
      </c>
      <c r="B670" s="3" t="s">
        <v>17</v>
      </c>
      <c r="C670" s="43" t="s">
        <v>838</v>
      </c>
      <c r="D670" s="43" t="s">
        <v>1361</v>
      </c>
      <c r="E670" s="78">
        <v>2.6</v>
      </c>
      <c r="F670" s="3" t="s">
        <v>277</v>
      </c>
      <c r="G670" s="78">
        <v>3.84</v>
      </c>
      <c r="H670" s="20">
        <f t="shared" si="13"/>
        <v>9.98</v>
      </c>
    </row>
    <row r="671" spans="1:8" ht="20.100000000000001" customHeight="1" x14ac:dyDescent="0.25">
      <c r="A671" s="52"/>
      <c r="B671" s="9"/>
      <c r="C671" s="44" t="s">
        <v>643</v>
      </c>
      <c r="D671" s="44" t="s">
        <v>643</v>
      </c>
      <c r="E671" s="78">
        <v>1</v>
      </c>
      <c r="F671" s="9"/>
      <c r="G671" s="79">
        <f>SUM(H665:H670)</f>
        <v>143.19</v>
      </c>
      <c r="H671" s="29">
        <f t="shared" si="13"/>
        <v>143.19</v>
      </c>
    </row>
    <row r="672" spans="1:8" ht="20.100000000000001" hidden="1" customHeight="1" outlineLevel="1" x14ac:dyDescent="0.25">
      <c r="A672" s="60"/>
      <c r="B672" s="12"/>
      <c r="C672" s="45"/>
      <c r="D672" s="45"/>
      <c r="E672" s="34"/>
      <c r="F672" s="12"/>
      <c r="G672" s="34"/>
      <c r="H672" s="30"/>
    </row>
    <row r="673" spans="1:8" ht="20.100000000000001" hidden="1" customHeight="1" outlineLevel="1" x14ac:dyDescent="0.25">
      <c r="A673" s="62" t="s">
        <v>877</v>
      </c>
      <c r="B673" s="7" t="s">
        <v>9</v>
      </c>
      <c r="C673" s="47" t="s">
        <v>878</v>
      </c>
      <c r="D673" s="47" t="s">
        <v>1373</v>
      </c>
      <c r="E673" s="81">
        <f>E677</f>
        <v>1</v>
      </c>
      <c r="F673" s="7" t="s">
        <v>10</v>
      </c>
      <c r="G673" s="81">
        <f>G677</f>
        <v>0</v>
      </c>
      <c r="H673" s="21">
        <f>H677</f>
        <v>0</v>
      </c>
    </row>
    <row r="674" spans="1:8" ht="20.100000000000001" hidden="1" customHeight="1" outlineLevel="1" x14ac:dyDescent="0.25">
      <c r="A674" s="59" t="s">
        <v>879</v>
      </c>
      <c r="B674" s="3" t="s">
        <v>17</v>
      </c>
      <c r="C674" s="43" t="s">
        <v>880</v>
      </c>
      <c r="D674" s="43" t="s">
        <v>1374</v>
      </c>
      <c r="E674" s="78">
        <v>9.6</v>
      </c>
      <c r="F674" s="3" t="s">
        <v>18</v>
      </c>
      <c r="G674" s="78"/>
      <c r="H674" s="20"/>
    </row>
    <row r="675" spans="1:8" ht="20.100000000000001" hidden="1" customHeight="1" outlineLevel="1" x14ac:dyDescent="0.25">
      <c r="A675" s="59" t="s">
        <v>881</v>
      </c>
      <c r="B675" s="3" t="s">
        <v>17</v>
      </c>
      <c r="C675" s="43" t="s">
        <v>882</v>
      </c>
      <c r="D675" s="43" t="s">
        <v>1375</v>
      </c>
      <c r="E675" s="78">
        <v>3.4</v>
      </c>
      <c r="F675" s="3" t="s">
        <v>277</v>
      </c>
      <c r="G675" s="78"/>
      <c r="H675" s="20"/>
    </row>
    <row r="676" spans="1:8" ht="20.100000000000001" hidden="1" customHeight="1" outlineLevel="1" x14ac:dyDescent="0.25">
      <c r="A676" s="59" t="s">
        <v>883</v>
      </c>
      <c r="B676" s="3" t="s">
        <v>17</v>
      </c>
      <c r="C676" s="43" t="s">
        <v>884</v>
      </c>
      <c r="D676" s="43" t="s">
        <v>1376</v>
      </c>
      <c r="E676" s="78">
        <v>1</v>
      </c>
      <c r="F676" s="3" t="s">
        <v>433</v>
      </c>
      <c r="G676" s="78"/>
      <c r="H676" s="20"/>
    </row>
    <row r="677" spans="1:8" ht="20.100000000000001" hidden="1" customHeight="1" outlineLevel="1" x14ac:dyDescent="0.25">
      <c r="A677" s="52"/>
      <c r="B677" s="9"/>
      <c r="C677" s="44" t="s">
        <v>885</v>
      </c>
      <c r="D677" s="44" t="s">
        <v>885</v>
      </c>
      <c r="E677" s="78">
        <v>1</v>
      </c>
      <c r="F677" s="9"/>
      <c r="G677" s="79">
        <f>SUM(H674:H676)</f>
        <v>0</v>
      </c>
      <c r="H677" s="29">
        <f>ROUND(E677*G677,2)</f>
        <v>0</v>
      </c>
    </row>
    <row r="678" spans="1:8" ht="20.100000000000001" customHeight="1" collapsed="1" x14ac:dyDescent="0.25">
      <c r="A678" s="60"/>
      <c r="B678" s="12"/>
      <c r="C678" s="45"/>
      <c r="D678" s="45"/>
      <c r="E678" s="34"/>
      <c r="F678" s="12"/>
      <c r="G678" s="34"/>
      <c r="H678" s="30"/>
    </row>
    <row r="679" spans="1:8" ht="20.100000000000001" customHeight="1" x14ac:dyDescent="0.25">
      <c r="A679" s="62" t="s">
        <v>644</v>
      </c>
      <c r="B679" s="7" t="s">
        <v>9</v>
      </c>
      <c r="C679" s="47" t="s">
        <v>771</v>
      </c>
      <c r="D679" s="93" t="s">
        <v>1049</v>
      </c>
      <c r="E679" s="81">
        <f>E683</f>
        <v>1</v>
      </c>
      <c r="F679" s="7" t="s">
        <v>433</v>
      </c>
      <c r="G679" s="81">
        <f>G683</f>
        <v>206.85</v>
      </c>
      <c r="H679" s="21">
        <f>H683</f>
        <v>206.85</v>
      </c>
    </row>
    <row r="680" spans="1:8" ht="20.100000000000001" customHeight="1" x14ac:dyDescent="0.25">
      <c r="A680" s="59" t="s">
        <v>645</v>
      </c>
      <c r="B680" s="3" t="s">
        <v>17</v>
      </c>
      <c r="C680" s="43" t="s">
        <v>888</v>
      </c>
      <c r="D680" s="43" t="s">
        <v>1368</v>
      </c>
      <c r="E680" s="78">
        <v>6.51</v>
      </c>
      <c r="F680" s="3" t="s">
        <v>18</v>
      </c>
      <c r="G680" s="78">
        <v>14.65</v>
      </c>
      <c r="H680" s="20">
        <f>ROUND(E680*G680,2)</f>
        <v>95.37</v>
      </c>
    </row>
    <row r="681" spans="1:8" ht="20.100000000000001" customHeight="1" x14ac:dyDescent="0.25">
      <c r="A681" s="59" t="s">
        <v>646</v>
      </c>
      <c r="B681" s="3" t="s">
        <v>17</v>
      </c>
      <c r="C681" s="43" t="s">
        <v>857</v>
      </c>
      <c r="D681" s="43" t="s">
        <v>1369</v>
      </c>
      <c r="E681" s="78">
        <v>1</v>
      </c>
      <c r="F681" s="3" t="s">
        <v>26</v>
      </c>
      <c r="G681" s="78">
        <v>111.48</v>
      </c>
      <c r="H681" s="20">
        <f>ROUND(E681*G681,2)</f>
        <v>111.48</v>
      </c>
    </row>
    <row r="682" spans="1:8" ht="20.100000000000001" hidden="1" customHeight="1" outlineLevel="1" x14ac:dyDescent="0.25">
      <c r="A682" s="59" t="s">
        <v>1379</v>
      </c>
      <c r="B682" s="3" t="s">
        <v>17</v>
      </c>
      <c r="C682" s="43" t="s">
        <v>891</v>
      </c>
      <c r="D682" s="97" t="s">
        <v>1380</v>
      </c>
      <c r="E682" s="78">
        <v>3</v>
      </c>
      <c r="F682" s="3" t="s">
        <v>10</v>
      </c>
      <c r="G682" s="78"/>
      <c r="H682" s="20"/>
    </row>
    <row r="683" spans="1:8" ht="20.100000000000001" customHeight="1" collapsed="1" x14ac:dyDescent="0.25">
      <c r="A683" s="52"/>
      <c r="B683" s="9"/>
      <c r="C683" s="44" t="s">
        <v>655</v>
      </c>
      <c r="D683" s="44" t="s">
        <v>655</v>
      </c>
      <c r="E683" s="78">
        <v>1</v>
      </c>
      <c r="F683" s="9"/>
      <c r="G683" s="79">
        <f>SUM(H680:H682)</f>
        <v>206.85</v>
      </c>
      <c r="H683" s="29">
        <f>ROUND(E683*G683,2)</f>
        <v>206.85</v>
      </c>
    </row>
    <row r="684" spans="1:8" ht="20.100000000000001" customHeight="1" x14ac:dyDescent="0.25">
      <c r="A684" s="60"/>
      <c r="B684" s="12"/>
      <c r="C684" s="45"/>
      <c r="D684" s="45"/>
      <c r="E684" s="34"/>
      <c r="F684" s="12"/>
      <c r="G684" s="34"/>
      <c r="H684" s="30"/>
    </row>
    <row r="685" spans="1:8" s="8" customFormat="1" ht="20.100000000000001" customHeight="1" x14ac:dyDescent="0.25">
      <c r="A685" s="52"/>
      <c r="B685" s="9"/>
      <c r="C685" s="44" t="s">
        <v>893</v>
      </c>
      <c r="D685" s="44"/>
      <c r="E685" s="78">
        <v>1</v>
      </c>
      <c r="F685" s="9"/>
      <c r="G685" s="79">
        <f>H659+H664+H673+H679</f>
        <v>770.12</v>
      </c>
      <c r="H685" s="29">
        <f>ROUND(E685*G685,2)</f>
        <v>770.12</v>
      </c>
    </row>
    <row r="686" spans="1:8" ht="20.100000000000001" customHeight="1" x14ac:dyDescent="0.25">
      <c r="A686" s="60"/>
      <c r="B686" s="12"/>
      <c r="C686" s="45"/>
      <c r="D686" s="45"/>
      <c r="E686" s="34"/>
      <c r="F686" s="12"/>
      <c r="G686" s="34"/>
      <c r="H686" s="30"/>
    </row>
    <row r="687" spans="1:8" s="8" customFormat="1" ht="20.100000000000001" customHeight="1" x14ac:dyDescent="0.25">
      <c r="A687" s="52"/>
      <c r="B687" s="9"/>
      <c r="C687" s="44" t="s">
        <v>894</v>
      </c>
      <c r="D687" s="44"/>
      <c r="E687" s="78">
        <v>1</v>
      </c>
      <c r="F687" s="9"/>
      <c r="G687" s="79">
        <f>H609+H658</f>
        <v>50314.38</v>
      </c>
      <c r="H687" s="29">
        <f>ROUND(E687*G687,2)</f>
        <v>50314.38</v>
      </c>
    </row>
    <row r="688" spans="1:8" ht="20.100000000000001" customHeight="1" x14ac:dyDescent="0.25">
      <c r="A688" s="60"/>
      <c r="B688" s="12"/>
      <c r="C688" s="45"/>
      <c r="D688" s="45"/>
      <c r="E688" s="34"/>
      <c r="F688" s="12"/>
      <c r="G688" s="34"/>
      <c r="H688" s="30"/>
    </row>
    <row r="689" spans="1:8" ht="20.100000000000001" hidden="1" customHeight="1" outlineLevel="1" x14ac:dyDescent="0.25">
      <c r="A689" s="58"/>
      <c r="B689" s="5" t="s">
        <v>9</v>
      </c>
      <c r="C689" s="42" t="s">
        <v>895</v>
      </c>
      <c r="D689" s="42" t="s">
        <v>1381</v>
      </c>
      <c r="E689" s="77">
        <f>E695</f>
        <v>1</v>
      </c>
      <c r="F689" s="5" t="s">
        <v>10</v>
      </c>
      <c r="G689" s="77">
        <f>G695</f>
        <v>0</v>
      </c>
      <c r="H689" s="28">
        <f>H695</f>
        <v>0</v>
      </c>
    </row>
    <row r="690" spans="1:8" ht="20.100000000000001" hidden="1" customHeight="1" outlineLevel="1" x14ac:dyDescent="0.25">
      <c r="A690" s="61" t="s">
        <v>896</v>
      </c>
      <c r="B690" s="17" t="s">
        <v>9</v>
      </c>
      <c r="C690" s="46" t="s">
        <v>897</v>
      </c>
      <c r="D690" s="94" t="s">
        <v>897</v>
      </c>
      <c r="E690" s="80">
        <f>E693</f>
        <v>1</v>
      </c>
      <c r="F690" s="17" t="s">
        <v>10</v>
      </c>
      <c r="G690" s="80">
        <f>G693</f>
        <v>0</v>
      </c>
      <c r="H690" s="31">
        <f>H693</f>
        <v>0</v>
      </c>
    </row>
    <row r="691" spans="1:8" ht="20.100000000000001" hidden="1" customHeight="1" outlineLevel="1" x14ac:dyDescent="0.25">
      <c r="A691" s="59" t="s">
        <v>898</v>
      </c>
      <c r="B691" s="3" t="s">
        <v>17</v>
      </c>
      <c r="C691" s="43" t="s">
        <v>899</v>
      </c>
      <c r="D691" s="91" t="s">
        <v>899</v>
      </c>
      <c r="E691" s="78">
        <v>19.3</v>
      </c>
      <c r="F691" s="3" t="s">
        <v>54</v>
      </c>
      <c r="G691" s="78"/>
      <c r="H691" s="20"/>
    </row>
    <row r="692" spans="1:8" ht="20.100000000000001" hidden="1" customHeight="1" outlineLevel="1" x14ac:dyDescent="0.25">
      <c r="A692" s="59" t="s">
        <v>900</v>
      </c>
      <c r="B692" s="3" t="s">
        <v>17</v>
      </c>
      <c r="C692" s="43" t="s">
        <v>901</v>
      </c>
      <c r="D692" s="91" t="s">
        <v>1457</v>
      </c>
      <c r="E692" s="78">
        <v>192.95</v>
      </c>
      <c r="F692" s="3" t="s">
        <v>35</v>
      </c>
      <c r="G692" s="78"/>
      <c r="H692" s="20"/>
    </row>
    <row r="693" spans="1:8" ht="20.100000000000001" hidden="1" customHeight="1" outlineLevel="1" x14ac:dyDescent="0.25">
      <c r="A693" s="52"/>
      <c r="B693" s="9"/>
      <c r="C693" s="44" t="s">
        <v>902</v>
      </c>
      <c r="D693" s="44" t="s">
        <v>902</v>
      </c>
      <c r="E693" s="78">
        <v>1</v>
      </c>
      <c r="F693" s="9"/>
      <c r="G693" s="79">
        <f>SUM(H691:H692)</f>
        <v>0</v>
      </c>
      <c r="H693" s="29">
        <f>ROUND(E693*G693,2)</f>
        <v>0</v>
      </c>
    </row>
    <row r="694" spans="1:8" ht="20.100000000000001" hidden="1" customHeight="1" outlineLevel="1" x14ac:dyDescent="0.25">
      <c r="A694" s="60"/>
      <c r="B694" s="12"/>
      <c r="C694" s="45"/>
      <c r="D694" s="45"/>
      <c r="E694" s="34"/>
      <c r="F694" s="12"/>
      <c r="G694" s="34"/>
      <c r="H694" s="30"/>
    </row>
    <row r="695" spans="1:8" s="8" customFormat="1" ht="20.100000000000001" customHeight="1" collapsed="1" x14ac:dyDescent="0.25">
      <c r="A695" s="52"/>
      <c r="B695" s="9"/>
      <c r="C695" s="44" t="s">
        <v>903</v>
      </c>
      <c r="D695" s="44"/>
      <c r="E695" s="78">
        <v>1</v>
      </c>
      <c r="F695" s="9"/>
      <c r="G695" s="79">
        <f>H690</f>
        <v>0</v>
      </c>
      <c r="H695" s="29">
        <f>ROUND(E695*G695,2)</f>
        <v>0</v>
      </c>
    </row>
    <row r="696" spans="1:8" ht="20.100000000000001" customHeight="1" x14ac:dyDescent="0.25">
      <c r="A696" s="60"/>
      <c r="B696" s="12"/>
      <c r="C696" s="45"/>
      <c r="D696" s="45"/>
      <c r="E696" s="34"/>
      <c r="F696" s="12"/>
      <c r="G696" s="34"/>
      <c r="H696" s="30"/>
    </row>
    <row r="697" spans="1:8" ht="20.100000000000001" customHeight="1" x14ac:dyDescent="0.25">
      <c r="A697" s="58"/>
      <c r="B697" s="5" t="s">
        <v>9</v>
      </c>
      <c r="C697" s="42" t="s">
        <v>904</v>
      </c>
      <c r="D697" s="42" t="s">
        <v>1382</v>
      </c>
      <c r="E697" s="77">
        <f>E711</f>
        <v>1</v>
      </c>
      <c r="F697" s="5" t="s">
        <v>10</v>
      </c>
      <c r="G697" s="77">
        <f>G711</f>
        <v>29447.42</v>
      </c>
      <c r="H697" s="28">
        <f>H711</f>
        <v>29447.42</v>
      </c>
    </row>
    <row r="698" spans="1:8" ht="20.100000000000001" customHeight="1" x14ac:dyDescent="0.25">
      <c r="A698" s="61" t="s">
        <v>656</v>
      </c>
      <c r="B698" s="17" t="s">
        <v>9</v>
      </c>
      <c r="C698" s="46" t="s">
        <v>906</v>
      </c>
      <c r="D698" s="46" t="s">
        <v>1383</v>
      </c>
      <c r="E698" s="80">
        <f>E709</f>
        <v>1</v>
      </c>
      <c r="F698" s="17" t="s">
        <v>65</v>
      </c>
      <c r="G698" s="80">
        <f>G709</f>
        <v>29447.42</v>
      </c>
      <c r="H698" s="31">
        <f>H709</f>
        <v>29447.42</v>
      </c>
    </row>
    <row r="699" spans="1:8" ht="20.100000000000001" customHeight="1" x14ac:dyDescent="0.25">
      <c r="A699" s="59" t="s">
        <v>657</v>
      </c>
      <c r="B699" s="3" t="s">
        <v>17</v>
      </c>
      <c r="C699" s="43" t="s">
        <v>908</v>
      </c>
      <c r="D699" s="91" t="s">
        <v>1384</v>
      </c>
      <c r="E699" s="78">
        <v>10</v>
      </c>
      <c r="F699" s="3" t="s">
        <v>10</v>
      </c>
      <c r="G699" s="78">
        <v>358.42</v>
      </c>
      <c r="H699" s="20">
        <f t="shared" ref="H699:H709" si="14">ROUND(E699*G699,2)</f>
        <v>3584.2</v>
      </c>
    </row>
    <row r="700" spans="1:8" ht="20.100000000000001" customHeight="1" x14ac:dyDescent="0.25">
      <c r="A700" s="59" t="s">
        <v>659</v>
      </c>
      <c r="B700" s="3" t="s">
        <v>17</v>
      </c>
      <c r="C700" s="43" t="s">
        <v>910</v>
      </c>
      <c r="D700" s="91" t="s">
        <v>1385</v>
      </c>
      <c r="E700" s="78">
        <v>18</v>
      </c>
      <c r="F700" s="3" t="s">
        <v>10</v>
      </c>
      <c r="G700" s="78">
        <v>358.42</v>
      </c>
      <c r="H700" s="20">
        <f t="shared" si="14"/>
        <v>6451.56</v>
      </c>
    </row>
    <row r="701" spans="1:8" ht="20.100000000000001" customHeight="1" x14ac:dyDescent="0.25">
      <c r="A701" s="59" t="s">
        <v>661</v>
      </c>
      <c r="B701" s="3" t="s">
        <v>17</v>
      </c>
      <c r="C701" s="43" t="s">
        <v>912</v>
      </c>
      <c r="D701" s="91" t="s">
        <v>1386</v>
      </c>
      <c r="E701" s="78">
        <v>2</v>
      </c>
      <c r="F701" s="3" t="s">
        <v>10</v>
      </c>
      <c r="G701" s="78">
        <v>885.24</v>
      </c>
      <c r="H701" s="20">
        <f t="shared" si="14"/>
        <v>1770.48</v>
      </c>
    </row>
    <row r="702" spans="1:8" ht="20.100000000000001" customHeight="1" x14ac:dyDescent="0.25">
      <c r="A702" s="59" t="s">
        <v>662</v>
      </c>
      <c r="B702" s="3" t="s">
        <v>17</v>
      </c>
      <c r="C702" s="43" t="s">
        <v>914</v>
      </c>
      <c r="D702" s="91" t="s">
        <v>1387</v>
      </c>
      <c r="E702" s="78">
        <v>2</v>
      </c>
      <c r="F702" s="3" t="s">
        <v>10</v>
      </c>
      <c r="G702" s="78">
        <v>863.92</v>
      </c>
      <c r="H702" s="20">
        <f t="shared" si="14"/>
        <v>1727.84</v>
      </c>
    </row>
    <row r="703" spans="1:8" ht="20.100000000000001" customHeight="1" x14ac:dyDescent="0.25">
      <c r="A703" s="59" t="s">
        <v>664</v>
      </c>
      <c r="B703" s="3" t="s">
        <v>17</v>
      </c>
      <c r="C703" s="43" t="s">
        <v>916</v>
      </c>
      <c r="D703" s="91" t="s">
        <v>1388</v>
      </c>
      <c r="E703" s="78">
        <v>1</v>
      </c>
      <c r="F703" s="3" t="s">
        <v>10</v>
      </c>
      <c r="G703" s="78">
        <v>1191.99</v>
      </c>
      <c r="H703" s="20">
        <f t="shared" si="14"/>
        <v>1191.99</v>
      </c>
    </row>
    <row r="704" spans="1:8" ht="20.100000000000001" customHeight="1" x14ac:dyDescent="0.25">
      <c r="A704" s="59" t="s">
        <v>666</v>
      </c>
      <c r="B704" s="3" t="s">
        <v>17</v>
      </c>
      <c r="C704" s="43" t="s">
        <v>918</v>
      </c>
      <c r="D704" s="91" t="s">
        <v>1389</v>
      </c>
      <c r="E704" s="78">
        <v>1</v>
      </c>
      <c r="F704" s="3" t="s">
        <v>10</v>
      </c>
      <c r="G704" s="78">
        <v>935.24</v>
      </c>
      <c r="H704" s="20">
        <f t="shared" si="14"/>
        <v>935.24</v>
      </c>
    </row>
    <row r="705" spans="1:8" ht="20.100000000000001" customHeight="1" x14ac:dyDescent="0.25">
      <c r="A705" s="59" t="s">
        <v>668</v>
      </c>
      <c r="B705" s="3" t="s">
        <v>17</v>
      </c>
      <c r="C705" s="43" t="s">
        <v>920</v>
      </c>
      <c r="D705" s="91" t="s">
        <v>1390</v>
      </c>
      <c r="E705" s="78">
        <v>2</v>
      </c>
      <c r="F705" s="3" t="s">
        <v>10</v>
      </c>
      <c r="G705" s="78">
        <v>1371.74</v>
      </c>
      <c r="H705" s="20">
        <f t="shared" si="14"/>
        <v>2743.48</v>
      </c>
    </row>
    <row r="706" spans="1:8" ht="39.950000000000003" customHeight="1" x14ac:dyDescent="0.25">
      <c r="A706" s="59" t="s">
        <v>670</v>
      </c>
      <c r="B706" s="3" t="s">
        <v>17</v>
      </c>
      <c r="C706" s="43" t="s">
        <v>922</v>
      </c>
      <c r="D706" s="43" t="s">
        <v>1391</v>
      </c>
      <c r="E706" s="78">
        <v>103.14</v>
      </c>
      <c r="F706" s="3" t="s">
        <v>48</v>
      </c>
      <c r="G706" s="78">
        <v>23.47</v>
      </c>
      <c r="H706" s="20">
        <f t="shared" si="14"/>
        <v>2420.6999999999998</v>
      </c>
    </row>
    <row r="707" spans="1:8" ht="20.100000000000001" customHeight="1" x14ac:dyDescent="0.25">
      <c r="A707" s="59" t="s">
        <v>671</v>
      </c>
      <c r="B707" s="3" t="s">
        <v>17</v>
      </c>
      <c r="C707" s="43" t="s">
        <v>924</v>
      </c>
      <c r="D707" s="43" t="s">
        <v>1392</v>
      </c>
      <c r="E707" s="78">
        <v>1</v>
      </c>
      <c r="F707" s="3" t="s">
        <v>10</v>
      </c>
      <c r="G707" s="78">
        <v>7790</v>
      </c>
      <c r="H707" s="20">
        <f t="shared" si="14"/>
        <v>7790</v>
      </c>
    </row>
    <row r="708" spans="1:8" ht="20.100000000000001" customHeight="1" x14ac:dyDescent="0.25">
      <c r="A708" s="59" t="s">
        <v>672</v>
      </c>
      <c r="B708" s="3" t="s">
        <v>17</v>
      </c>
      <c r="C708" s="43" t="s">
        <v>926</v>
      </c>
      <c r="D708" s="43" t="s">
        <v>1393</v>
      </c>
      <c r="E708" s="78">
        <v>1</v>
      </c>
      <c r="F708" s="3" t="s">
        <v>10</v>
      </c>
      <c r="G708" s="78">
        <v>831.93</v>
      </c>
      <c r="H708" s="20">
        <f t="shared" si="14"/>
        <v>831.93</v>
      </c>
    </row>
    <row r="709" spans="1:8" ht="20.100000000000001" customHeight="1" x14ac:dyDescent="0.25">
      <c r="A709" s="52"/>
      <c r="B709" s="9"/>
      <c r="C709" s="44" t="s">
        <v>673</v>
      </c>
      <c r="D709" s="44" t="s">
        <v>673</v>
      </c>
      <c r="E709" s="78">
        <v>1</v>
      </c>
      <c r="F709" s="9"/>
      <c r="G709" s="79">
        <f>SUM(H699:H708)</f>
        <v>29447.42</v>
      </c>
      <c r="H709" s="29">
        <f t="shared" si="14"/>
        <v>29447.42</v>
      </c>
    </row>
    <row r="710" spans="1:8" ht="20.100000000000001" customHeight="1" x14ac:dyDescent="0.25">
      <c r="A710" s="60"/>
      <c r="B710" s="12"/>
      <c r="C710" s="45"/>
      <c r="D710" s="45"/>
      <c r="E710" s="34"/>
      <c r="F710" s="12"/>
      <c r="G710" s="34"/>
      <c r="H710" s="30"/>
    </row>
    <row r="711" spans="1:8" s="8" customFormat="1" ht="20.100000000000001" customHeight="1" x14ac:dyDescent="0.25">
      <c r="A711" s="52"/>
      <c r="B711" s="9"/>
      <c r="C711" s="44" t="s">
        <v>928</v>
      </c>
      <c r="D711" s="44"/>
      <c r="E711" s="78">
        <v>1</v>
      </c>
      <c r="F711" s="9"/>
      <c r="G711" s="79">
        <f>H698</f>
        <v>29447.42</v>
      </c>
      <c r="H711" s="29">
        <f>ROUND(E711*G711,2)</f>
        <v>29447.42</v>
      </c>
    </row>
    <row r="712" spans="1:8" ht="20.100000000000001" customHeight="1" x14ac:dyDescent="0.25">
      <c r="A712" s="60"/>
      <c r="B712" s="12"/>
      <c r="C712" s="45"/>
      <c r="D712" s="45"/>
      <c r="E712" s="34"/>
      <c r="F712" s="12"/>
      <c r="G712" s="34"/>
      <c r="H712" s="30"/>
    </row>
    <row r="713" spans="1:8" s="8" customFormat="1" ht="20.100000000000001" customHeight="1" x14ac:dyDescent="0.25">
      <c r="A713" s="52"/>
      <c r="B713" s="9"/>
      <c r="C713" s="44" t="s">
        <v>929</v>
      </c>
      <c r="D713" s="44"/>
      <c r="E713" s="78">
        <v>1</v>
      </c>
      <c r="F713" s="9"/>
      <c r="G713" s="79">
        <f>H608+H689+H697</f>
        <v>79761.8</v>
      </c>
      <c r="H713" s="29">
        <f>ROUND(E713*G713,2)</f>
        <v>79761.8</v>
      </c>
    </row>
    <row r="714" spans="1:8" ht="20.100000000000001" customHeight="1" x14ac:dyDescent="0.25">
      <c r="A714" s="60"/>
      <c r="B714" s="12"/>
      <c r="C714" s="45"/>
      <c r="D714" s="45"/>
      <c r="E714" s="34"/>
      <c r="F714" s="12"/>
      <c r="G714" s="34"/>
      <c r="H714" s="30"/>
    </row>
    <row r="715" spans="1:8" ht="20.100000000000001" customHeight="1" x14ac:dyDescent="0.25">
      <c r="A715" s="57"/>
      <c r="B715" s="16" t="s">
        <v>9</v>
      </c>
      <c r="C715" s="41" t="s">
        <v>930</v>
      </c>
      <c r="D715" s="41" t="s">
        <v>1394</v>
      </c>
      <c r="E715" s="76">
        <f>E779</f>
        <v>1</v>
      </c>
      <c r="F715" s="16" t="s">
        <v>10</v>
      </c>
      <c r="G715" s="76">
        <f>G779</f>
        <v>166308.85999999999</v>
      </c>
      <c r="H715" s="27">
        <f>H779</f>
        <v>166308.85999999999</v>
      </c>
    </row>
    <row r="716" spans="1:8" ht="20.100000000000001" customHeight="1" x14ac:dyDescent="0.25">
      <c r="A716" s="58"/>
      <c r="B716" s="5" t="s">
        <v>9</v>
      </c>
      <c r="C716" s="42" t="s">
        <v>931</v>
      </c>
      <c r="D716" s="42" t="s">
        <v>1395</v>
      </c>
      <c r="E716" s="77">
        <f>E727</f>
        <v>1</v>
      </c>
      <c r="F716" s="5" t="s">
        <v>10</v>
      </c>
      <c r="G716" s="77">
        <f>G727</f>
        <v>166308.85999999999</v>
      </c>
      <c r="H716" s="28">
        <f>H727</f>
        <v>166308.85999999999</v>
      </c>
    </row>
    <row r="717" spans="1:8" ht="20.100000000000001" hidden="1" customHeight="1" outlineLevel="1" x14ac:dyDescent="0.25">
      <c r="A717" s="59" t="s">
        <v>932</v>
      </c>
      <c r="B717" s="3" t="s">
        <v>17</v>
      </c>
      <c r="C717" s="43" t="s">
        <v>933</v>
      </c>
      <c r="D717" s="43" t="s">
        <v>1396</v>
      </c>
      <c r="E717" s="78">
        <v>0</v>
      </c>
      <c r="F717" s="3" t="s">
        <v>10</v>
      </c>
      <c r="G717" s="78"/>
      <c r="H717" s="20"/>
    </row>
    <row r="718" spans="1:8" ht="20.100000000000001" customHeight="1" collapsed="1" x14ac:dyDescent="0.25">
      <c r="A718" s="65" t="s">
        <v>674</v>
      </c>
      <c r="B718" s="19" t="s">
        <v>17</v>
      </c>
      <c r="C718" s="44" t="s">
        <v>935</v>
      </c>
      <c r="D718" s="44" t="s">
        <v>1447</v>
      </c>
      <c r="E718" s="79">
        <v>1</v>
      </c>
      <c r="F718" s="19" t="s">
        <v>10</v>
      </c>
      <c r="G718" s="79">
        <v>55341.63</v>
      </c>
      <c r="H718" s="29">
        <f>ROUND(E718*G718,2)</f>
        <v>55341.63</v>
      </c>
    </row>
    <row r="719" spans="1:8" ht="20.100000000000001" hidden="1" customHeight="1" outlineLevel="1" x14ac:dyDescent="0.25">
      <c r="A719" s="65" t="s">
        <v>936</v>
      </c>
      <c r="B719" s="19" t="s">
        <v>17</v>
      </c>
      <c r="C719" s="44" t="s">
        <v>937</v>
      </c>
      <c r="D719" s="44" t="s">
        <v>1448</v>
      </c>
      <c r="E719" s="79">
        <v>1</v>
      </c>
      <c r="F719" s="19" t="s">
        <v>10</v>
      </c>
      <c r="G719" s="79"/>
      <c r="H719" s="29"/>
    </row>
    <row r="720" spans="1:8" ht="20.100000000000001" hidden="1" customHeight="1" outlineLevel="1" x14ac:dyDescent="0.25">
      <c r="A720" s="65" t="s">
        <v>938</v>
      </c>
      <c r="B720" s="19" t="s">
        <v>17</v>
      </c>
      <c r="C720" s="44" t="s">
        <v>939</v>
      </c>
      <c r="D720" s="100" t="s">
        <v>1397</v>
      </c>
      <c r="E720" s="79">
        <v>0</v>
      </c>
      <c r="F720" s="19" t="s">
        <v>10</v>
      </c>
      <c r="G720" s="79"/>
      <c r="H720" s="29"/>
    </row>
    <row r="721" spans="1:9" ht="20.100000000000001" customHeight="1" collapsed="1" x14ac:dyDescent="0.25">
      <c r="A721" s="65" t="s">
        <v>691</v>
      </c>
      <c r="B721" s="19" t="s">
        <v>17</v>
      </c>
      <c r="C721" s="44" t="s">
        <v>941</v>
      </c>
      <c r="D721" s="100" t="s">
        <v>1449</v>
      </c>
      <c r="E721" s="79">
        <v>1</v>
      </c>
      <c r="F721" s="19" t="s">
        <v>10</v>
      </c>
      <c r="G721" s="79">
        <v>66814.05</v>
      </c>
      <c r="H721" s="29">
        <f>ROUND(E721*G721,2)</f>
        <v>66814.05</v>
      </c>
    </row>
    <row r="722" spans="1:9" ht="20.100000000000001" hidden="1" customHeight="1" outlineLevel="1" x14ac:dyDescent="0.25">
      <c r="A722" s="65" t="s">
        <v>942</v>
      </c>
      <c r="B722" s="19" t="s">
        <v>17</v>
      </c>
      <c r="C722" s="44" t="s">
        <v>943</v>
      </c>
      <c r="D722" s="100" t="s">
        <v>1450</v>
      </c>
      <c r="E722" s="79">
        <v>1</v>
      </c>
      <c r="F722" s="19" t="s">
        <v>10</v>
      </c>
      <c r="G722" s="79"/>
      <c r="H722" s="29"/>
    </row>
    <row r="723" spans="1:9" ht="20.100000000000001" customHeight="1" collapsed="1" x14ac:dyDescent="0.25">
      <c r="A723" s="65" t="s">
        <v>704</v>
      </c>
      <c r="B723" s="19" t="s">
        <v>17</v>
      </c>
      <c r="C723" s="44" t="s">
        <v>945</v>
      </c>
      <c r="D723" s="100" t="s">
        <v>1398</v>
      </c>
      <c r="E723" s="79">
        <v>1</v>
      </c>
      <c r="F723" s="19" t="s">
        <v>10</v>
      </c>
      <c r="G723" s="79">
        <v>12381.95</v>
      </c>
      <c r="H723" s="29">
        <f>ROUND(E723*G723,2)</f>
        <v>12381.95</v>
      </c>
    </row>
    <row r="724" spans="1:9" ht="20.100000000000001" hidden="1" customHeight="1" outlineLevel="1" x14ac:dyDescent="0.25">
      <c r="A724" s="65" t="s">
        <v>946</v>
      </c>
      <c r="B724" s="19" t="s">
        <v>17</v>
      </c>
      <c r="C724" s="44" t="s">
        <v>947</v>
      </c>
      <c r="D724" s="100" t="s">
        <v>1399</v>
      </c>
      <c r="E724" s="79">
        <v>0</v>
      </c>
      <c r="F724" s="19" t="s">
        <v>10</v>
      </c>
      <c r="G724" s="79"/>
      <c r="H724" s="29"/>
    </row>
    <row r="725" spans="1:9" ht="20.100000000000001" customHeight="1" collapsed="1" x14ac:dyDescent="0.25">
      <c r="A725" s="65" t="s">
        <v>728</v>
      </c>
      <c r="B725" s="19" t="s">
        <v>17</v>
      </c>
      <c r="C725" s="44" t="s">
        <v>949</v>
      </c>
      <c r="D725" s="100" t="s">
        <v>1451</v>
      </c>
      <c r="E725" s="79">
        <v>1</v>
      </c>
      <c r="F725" s="19" t="s">
        <v>10</v>
      </c>
      <c r="G725" s="79">
        <v>31771.23</v>
      </c>
      <c r="H725" s="29">
        <f>ROUND(E725*G725,2)</f>
        <v>31771.23</v>
      </c>
    </row>
    <row r="726" spans="1:9" ht="20.100000000000001" hidden="1" customHeight="1" outlineLevel="1" x14ac:dyDescent="0.25">
      <c r="A726" s="59" t="s">
        <v>950</v>
      </c>
      <c r="B726" s="3" t="s">
        <v>17</v>
      </c>
      <c r="C726" s="43" t="s">
        <v>949</v>
      </c>
      <c r="D726" s="6" t="s">
        <v>1452</v>
      </c>
      <c r="E726" s="78">
        <v>1</v>
      </c>
      <c r="F726" s="3" t="s">
        <v>10</v>
      </c>
      <c r="G726" s="78"/>
      <c r="H726" s="20"/>
    </row>
    <row r="727" spans="1:9" ht="20.100000000000001" customHeight="1" collapsed="1" x14ac:dyDescent="0.25">
      <c r="A727" s="52"/>
      <c r="B727" s="9"/>
      <c r="C727" s="44" t="s">
        <v>1400</v>
      </c>
      <c r="D727" s="44"/>
      <c r="E727" s="78">
        <v>1</v>
      </c>
      <c r="F727" s="9"/>
      <c r="G727" s="79">
        <f>SUM(H717:H726)</f>
        <v>166308.85999999999</v>
      </c>
      <c r="H727" s="29">
        <f>ROUND(E727*G727,2)</f>
        <v>166308.85999999999</v>
      </c>
      <c r="I727" s="99"/>
    </row>
    <row r="728" spans="1:9" ht="20.100000000000001" hidden="1" customHeight="1" outlineLevel="1" x14ac:dyDescent="0.25">
      <c r="A728" s="60"/>
      <c r="B728" s="12"/>
      <c r="C728" s="45"/>
      <c r="D728" s="45"/>
      <c r="E728" s="34"/>
      <c r="F728" s="12"/>
      <c r="G728" s="34"/>
      <c r="H728" s="30"/>
    </row>
    <row r="729" spans="1:9" ht="20.100000000000001" hidden="1" customHeight="1" outlineLevel="1" x14ac:dyDescent="0.25">
      <c r="A729" s="58"/>
      <c r="B729" s="5" t="s">
        <v>9</v>
      </c>
      <c r="C729" s="42" t="s">
        <v>951</v>
      </c>
      <c r="D729" s="42" t="s">
        <v>1401</v>
      </c>
      <c r="E729" s="77">
        <f>E741</f>
        <v>1</v>
      </c>
      <c r="F729" s="5" t="s">
        <v>65</v>
      </c>
      <c r="G729" s="77">
        <f>G741</f>
        <v>0</v>
      </c>
      <c r="H729" s="28">
        <f>H741</f>
        <v>0</v>
      </c>
    </row>
    <row r="730" spans="1:9" ht="20.100000000000001" hidden="1" customHeight="1" outlineLevel="1" x14ac:dyDescent="0.25">
      <c r="A730" s="61" t="s">
        <v>952</v>
      </c>
      <c r="B730" s="17" t="s">
        <v>9</v>
      </c>
      <c r="C730" s="46" t="s">
        <v>953</v>
      </c>
      <c r="D730" s="46" t="s">
        <v>1402</v>
      </c>
      <c r="E730" s="80">
        <f>E734</f>
        <v>1</v>
      </c>
      <c r="F730" s="17" t="s">
        <v>65</v>
      </c>
      <c r="G730" s="80">
        <f>G734</f>
        <v>0</v>
      </c>
      <c r="H730" s="31">
        <f>H734</f>
        <v>0</v>
      </c>
    </row>
    <row r="731" spans="1:9" ht="20.100000000000001" hidden="1" customHeight="1" outlineLevel="1" x14ac:dyDescent="0.25">
      <c r="A731" s="59" t="s">
        <v>954</v>
      </c>
      <c r="B731" s="3" t="s">
        <v>17</v>
      </c>
      <c r="C731" s="43" t="s">
        <v>955</v>
      </c>
      <c r="D731" s="43" t="s">
        <v>1403</v>
      </c>
      <c r="E731" s="78">
        <v>1</v>
      </c>
      <c r="F731" s="3" t="s">
        <v>433</v>
      </c>
      <c r="G731" s="78"/>
      <c r="H731" s="20"/>
    </row>
    <row r="732" spans="1:9" ht="20.100000000000001" hidden="1" customHeight="1" outlineLevel="1" x14ac:dyDescent="0.25">
      <c r="A732" s="59" t="s">
        <v>956</v>
      </c>
      <c r="B732" s="3" t="s">
        <v>17</v>
      </c>
      <c r="C732" s="43" t="s">
        <v>957</v>
      </c>
      <c r="D732" s="43" t="s">
        <v>1404</v>
      </c>
      <c r="E732" s="78">
        <v>1</v>
      </c>
      <c r="F732" s="3" t="s">
        <v>433</v>
      </c>
      <c r="G732" s="78"/>
      <c r="H732" s="20"/>
    </row>
    <row r="733" spans="1:9" ht="20.100000000000001" hidden="1" customHeight="1" outlineLevel="1" x14ac:dyDescent="0.25">
      <c r="A733" s="59" t="s">
        <v>958</v>
      </c>
      <c r="B733" s="3" t="s">
        <v>17</v>
      </c>
      <c r="C733" s="43" t="s">
        <v>959</v>
      </c>
      <c r="D733" s="43" t="s">
        <v>1405</v>
      </c>
      <c r="E733" s="78">
        <v>1</v>
      </c>
      <c r="F733" s="3" t="s">
        <v>433</v>
      </c>
      <c r="G733" s="78"/>
      <c r="H733" s="20"/>
    </row>
    <row r="734" spans="1:9" ht="20.100000000000001" hidden="1" customHeight="1" outlineLevel="1" x14ac:dyDescent="0.25">
      <c r="A734" s="52"/>
      <c r="B734" s="9"/>
      <c r="C734" s="44" t="s">
        <v>960</v>
      </c>
      <c r="D734" s="44" t="s">
        <v>960</v>
      </c>
      <c r="E734" s="78">
        <v>1</v>
      </c>
      <c r="F734" s="9"/>
      <c r="G734" s="79">
        <f>SUM(H731:H733)</f>
        <v>0</v>
      </c>
      <c r="H734" s="29">
        <f>ROUND(E734*G734,2)</f>
        <v>0</v>
      </c>
    </row>
    <row r="735" spans="1:9" ht="20.100000000000001" hidden="1" customHeight="1" outlineLevel="1" x14ac:dyDescent="0.25">
      <c r="A735" s="60"/>
      <c r="B735" s="12"/>
      <c r="C735" s="45"/>
      <c r="D735" s="45"/>
      <c r="E735" s="34"/>
      <c r="F735" s="12"/>
      <c r="G735" s="34"/>
      <c r="H735" s="30"/>
    </row>
    <row r="736" spans="1:9" ht="20.100000000000001" hidden="1" customHeight="1" outlineLevel="1" x14ac:dyDescent="0.25">
      <c r="A736" s="61" t="s">
        <v>961</v>
      </c>
      <c r="B736" s="17" t="s">
        <v>9</v>
      </c>
      <c r="C736" s="46" t="s">
        <v>962</v>
      </c>
      <c r="D736" s="46" t="s">
        <v>1410</v>
      </c>
      <c r="E736" s="80">
        <v>1</v>
      </c>
      <c r="F736" s="17" t="s">
        <v>65</v>
      </c>
      <c r="G736" s="80">
        <f>+G739</f>
        <v>0</v>
      </c>
      <c r="H736" s="31">
        <f>ROUND(E736*G736,2)</f>
        <v>0</v>
      </c>
    </row>
    <row r="737" spans="1:8" s="8" customFormat="1" ht="20.100000000000001" hidden="1" customHeight="1" outlineLevel="1" x14ac:dyDescent="0.25">
      <c r="A737" s="65" t="s">
        <v>1406</v>
      </c>
      <c r="B737" s="19"/>
      <c r="C737" s="43" t="s">
        <v>1407</v>
      </c>
      <c r="D737" s="43" t="s">
        <v>1411</v>
      </c>
      <c r="E737" s="78">
        <v>1</v>
      </c>
      <c r="F737" s="3" t="s">
        <v>10</v>
      </c>
      <c r="G737" s="78"/>
      <c r="H737" s="20"/>
    </row>
    <row r="738" spans="1:8" s="8" customFormat="1" ht="20.100000000000001" hidden="1" customHeight="1" outlineLevel="1" x14ac:dyDescent="0.25">
      <c r="A738" s="65" t="s">
        <v>1406</v>
      </c>
      <c r="B738" s="19"/>
      <c r="C738" s="43" t="s">
        <v>1408</v>
      </c>
      <c r="D738" s="43" t="s">
        <v>1412</v>
      </c>
      <c r="E738" s="78">
        <v>1</v>
      </c>
      <c r="F738" s="3" t="s">
        <v>10</v>
      </c>
      <c r="G738" s="78"/>
      <c r="H738" s="20"/>
    </row>
    <row r="739" spans="1:8" s="8" customFormat="1" ht="20.100000000000001" hidden="1" customHeight="1" outlineLevel="1" x14ac:dyDescent="0.25">
      <c r="A739" s="65"/>
      <c r="B739" s="19"/>
      <c r="C739" s="44" t="s">
        <v>1409</v>
      </c>
      <c r="D739" s="44" t="s">
        <v>1409</v>
      </c>
      <c r="E739" s="79">
        <v>1</v>
      </c>
      <c r="F739" s="19"/>
      <c r="G739" s="79">
        <f>SUM(H737:H738)</f>
        <v>0</v>
      </c>
      <c r="H739" s="29">
        <f>ROUND(E739*G739,2)</f>
        <v>0</v>
      </c>
    </row>
    <row r="740" spans="1:8" s="8" customFormat="1" ht="20.100000000000001" hidden="1" customHeight="1" outlineLevel="1" x14ac:dyDescent="0.25">
      <c r="A740" s="65"/>
      <c r="B740" s="19"/>
      <c r="C740" s="44"/>
      <c r="D740" s="44"/>
      <c r="E740" s="79"/>
      <c r="F740" s="19"/>
      <c r="G740" s="79"/>
      <c r="H740" s="29"/>
    </row>
    <row r="741" spans="1:8" ht="20.100000000000001" hidden="1" customHeight="1" outlineLevel="1" x14ac:dyDescent="0.25">
      <c r="A741" s="52"/>
      <c r="B741" s="9"/>
      <c r="C741" s="44" t="s">
        <v>963</v>
      </c>
      <c r="D741" s="44" t="s">
        <v>963</v>
      </c>
      <c r="E741" s="78">
        <v>1</v>
      </c>
      <c r="F741" s="9"/>
      <c r="G741" s="79">
        <f>H730+H736</f>
        <v>0</v>
      </c>
      <c r="H741" s="29">
        <f>ROUND(E741*G741,2)</f>
        <v>0</v>
      </c>
    </row>
    <row r="742" spans="1:8" ht="20.100000000000001" hidden="1" customHeight="1" outlineLevel="1" x14ac:dyDescent="0.25">
      <c r="A742" s="60"/>
      <c r="B742" s="12"/>
      <c r="C742" s="45"/>
      <c r="D742" s="45"/>
      <c r="E742" s="34"/>
      <c r="F742" s="12"/>
      <c r="G742" s="34"/>
      <c r="H742" s="30"/>
    </row>
    <row r="743" spans="1:8" ht="20.100000000000001" hidden="1" customHeight="1" outlineLevel="1" x14ac:dyDescent="0.25">
      <c r="A743" s="58" t="s">
        <v>964</v>
      </c>
      <c r="B743" s="5" t="s">
        <v>9</v>
      </c>
      <c r="C743" s="42" t="s">
        <v>965</v>
      </c>
      <c r="D743" s="42" t="s">
        <v>1413</v>
      </c>
      <c r="E743" s="77">
        <f>E759</f>
        <v>1</v>
      </c>
      <c r="F743" s="5" t="s">
        <v>10</v>
      </c>
      <c r="G743" s="77">
        <f>G759</f>
        <v>0</v>
      </c>
      <c r="H743" s="28">
        <f>H759</f>
        <v>0</v>
      </c>
    </row>
    <row r="744" spans="1:8" ht="20.100000000000001" hidden="1" customHeight="1" outlineLevel="1" x14ac:dyDescent="0.25">
      <c r="A744" s="61" t="s">
        <v>966</v>
      </c>
      <c r="B744" s="17" t="s">
        <v>9</v>
      </c>
      <c r="C744" s="46" t="s">
        <v>967</v>
      </c>
      <c r="D744" s="42" t="s">
        <v>1413</v>
      </c>
      <c r="E744" s="80">
        <f>E749</f>
        <v>1</v>
      </c>
      <c r="F744" s="17" t="s">
        <v>10</v>
      </c>
      <c r="G744" s="80">
        <f>G749</f>
        <v>0</v>
      </c>
      <c r="H744" s="31">
        <f>H749</f>
        <v>0</v>
      </c>
    </row>
    <row r="745" spans="1:8" ht="20.100000000000001" hidden="1" customHeight="1" outlineLevel="1" x14ac:dyDescent="0.25">
      <c r="A745" s="59" t="s">
        <v>887</v>
      </c>
      <c r="B745" s="3" t="s">
        <v>17</v>
      </c>
      <c r="C745" s="43" t="s">
        <v>1440</v>
      </c>
      <c r="D745" s="95" t="s">
        <v>1453</v>
      </c>
      <c r="E745" s="78">
        <v>1</v>
      </c>
      <c r="F745" s="3" t="s">
        <v>10</v>
      </c>
      <c r="G745" s="78"/>
      <c r="H745" s="20"/>
    </row>
    <row r="746" spans="1:8" ht="20.100000000000001" hidden="1" customHeight="1" outlineLevel="1" x14ac:dyDescent="0.25">
      <c r="A746" s="59" t="s">
        <v>889</v>
      </c>
      <c r="B746" s="3" t="s">
        <v>17</v>
      </c>
      <c r="C746" s="43" t="s">
        <v>1441</v>
      </c>
      <c r="D746" s="95" t="s">
        <v>1454</v>
      </c>
      <c r="E746" s="78">
        <v>1</v>
      </c>
      <c r="F746" s="3" t="s">
        <v>10</v>
      </c>
      <c r="G746" s="78"/>
      <c r="H746" s="20"/>
    </row>
    <row r="747" spans="1:8" ht="20.100000000000001" hidden="1" customHeight="1" outlineLevel="1" x14ac:dyDescent="0.25">
      <c r="A747" s="59" t="s">
        <v>890</v>
      </c>
      <c r="B747" s="3" t="s">
        <v>17</v>
      </c>
      <c r="C747" s="43" t="s">
        <v>1442</v>
      </c>
      <c r="D747" s="95" t="s">
        <v>1455</v>
      </c>
      <c r="E747" s="78">
        <v>1</v>
      </c>
      <c r="F747" s="3" t="s">
        <v>10</v>
      </c>
      <c r="G747" s="78"/>
      <c r="H747" s="20"/>
    </row>
    <row r="748" spans="1:8" ht="20.100000000000001" hidden="1" customHeight="1" outlineLevel="1" x14ac:dyDescent="0.25">
      <c r="A748" s="59" t="s">
        <v>968</v>
      </c>
      <c r="B748" s="3" t="s">
        <v>17</v>
      </c>
      <c r="C748" s="43" t="s">
        <v>969</v>
      </c>
      <c r="D748" s="43" t="s">
        <v>1456</v>
      </c>
      <c r="E748" s="78">
        <v>1</v>
      </c>
      <c r="F748" s="3" t="s">
        <v>10</v>
      </c>
      <c r="G748" s="78"/>
      <c r="H748" s="20"/>
    </row>
    <row r="749" spans="1:8" ht="20.100000000000001" hidden="1" customHeight="1" outlineLevel="1" x14ac:dyDescent="0.25">
      <c r="A749" s="52"/>
      <c r="B749" s="9"/>
      <c r="C749" s="44" t="s">
        <v>970</v>
      </c>
      <c r="D749" s="44" t="s">
        <v>970</v>
      </c>
      <c r="E749" s="78">
        <v>1</v>
      </c>
      <c r="F749" s="9"/>
      <c r="G749" s="79">
        <f>SUM(H745:H748)</f>
        <v>0</v>
      </c>
      <c r="H749" s="29">
        <f>ROUND(E749*G749,2)</f>
        <v>0</v>
      </c>
    </row>
    <row r="750" spans="1:8" ht="20.100000000000001" hidden="1" customHeight="1" outlineLevel="1" x14ac:dyDescent="0.25">
      <c r="A750" s="60"/>
      <c r="B750" s="12"/>
      <c r="C750" s="45"/>
      <c r="D750" s="45"/>
      <c r="E750" s="34"/>
      <c r="F750" s="12"/>
      <c r="G750" s="34"/>
      <c r="H750" s="30"/>
    </row>
    <row r="751" spans="1:8" ht="20.100000000000001" hidden="1" customHeight="1" outlineLevel="1" x14ac:dyDescent="0.25">
      <c r="A751" s="61" t="s">
        <v>971</v>
      </c>
      <c r="B751" s="17" t="s">
        <v>9</v>
      </c>
      <c r="C751" s="46" t="s">
        <v>972</v>
      </c>
      <c r="D751" s="46" t="s">
        <v>1414</v>
      </c>
      <c r="E751" s="80">
        <f>E757</f>
        <v>1</v>
      </c>
      <c r="F751" s="17" t="s">
        <v>10</v>
      </c>
      <c r="G751" s="80">
        <f>G757</f>
        <v>0</v>
      </c>
      <c r="H751" s="31">
        <f>H757</f>
        <v>0</v>
      </c>
    </row>
    <row r="752" spans="1:8" ht="20.100000000000001" hidden="1" customHeight="1" outlineLevel="1" x14ac:dyDescent="0.25">
      <c r="A752" s="59" t="s">
        <v>973</v>
      </c>
      <c r="B752" s="3" t="s">
        <v>17</v>
      </c>
      <c r="C752" s="43" t="s">
        <v>974</v>
      </c>
      <c r="D752" s="43" t="s">
        <v>1415</v>
      </c>
      <c r="E752" s="78">
        <v>1</v>
      </c>
      <c r="F752" s="3" t="s">
        <v>10</v>
      </c>
      <c r="G752" s="78"/>
      <c r="H752" s="20"/>
    </row>
    <row r="753" spans="1:8" ht="20.100000000000001" hidden="1" customHeight="1" outlineLevel="1" x14ac:dyDescent="0.25">
      <c r="A753" s="59" t="s">
        <v>975</v>
      </c>
      <c r="B753" s="3" t="s">
        <v>17</v>
      </c>
      <c r="C753" s="43" t="s">
        <v>976</v>
      </c>
      <c r="D753" s="43" t="s">
        <v>1416</v>
      </c>
      <c r="E753" s="78">
        <v>1</v>
      </c>
      <c r="F753" s="3" t="s">
        <v>10</v>
      </c>
      <c r="G753" s="78"/>
      <c r="H753" s="20"/>
    </row>
    <row r="754" spans="1:8" ht="20.100000000000001" hidden="1" customHeight="1" outlineLevel="1" x14ac:dyDescent="0.25">
      <c r="A754" s="59" t="s">
        <v>977</v>
      </c>
      <c r="B754" s="3" t="s">
        <v>17</v>
      </c>
      <c r="C754" s="43" t="s">
        <v>978</v>
      </c>
      <c r="D754" s="43" t="s">
        <v>1417</v>
      </c>
      <c r="E754" s="78">
        <v>4</v>
      </c>
      <c r="F754" s="3" t="s">
        <v>10</v>
      </c>
      <c r="G754" s="78"/>
      <c r="H754" s="20"/>
    </row>
    <row r="755" spans="1:8" ht="20.100000000000001" hidden="1" customHeight="1" outlineLevel="1" x14ac:dyDescent="0.25">
      <c r="A755" s="59" t="s">
        <v>979</v>
      </c>
      <c r="B755" s="3" t="s">
        <v>17</v>
      </c>
      <c r="C755" s="43" t="s">
        <v>980</v>
      </c>
      <c r="D755" s="43" t="s">
        <v>1418</v>
      </c>
      <c r="E755" s="78">
        <v>1</v>
      </c>
      <c r="F755" s="3" t="s">
        <v>10</v>
      </c>
      <c r="G755" s="78"/>
      <c r="H755" s="20"/>
    </row>
    <row r="756" spans="1:8" ht="20.100000000000001" hidden="1" customHeight="1" outlineLevel="1" x14ac:dyDescent="0.25">
      <c r="A756" s="59" t="s">
        <v>981</v>
      </c>
      <c r="B756" s="3" t="s">
        <v>17</v>
      </c>
      <c r="C756" s="43" t="s">
        <v>982</v>
      </c>
      <c r="D756" s="43" t="s">
        <v>1419</v>
      </c>
      <c r="E756" s="78">
        <v>1</v>
      </c>
      <c r="F756" s="3" t="s">
        <v>433</v>
      </c>
      <c r="G756" s="78"/>
      <c r="H756" s="20"/>
    </row>
    <row r="757" spans="1:8" ht="20.100000000000001" hidden="1" customHeight="1" outlineLevel="1" x14ac:dyDescent="0.25">
      <c r="A757" s="52"/>
      <c r="B757" s="9"/>
      <c r="C757" s="44" t="s">
        <v>983</v>
      </c>
      <c r="D757" s="44" t="s">
        <v>983</v>
      </c>
      <c r="E757" s="78">
        <v>1</v>
      </c>
      <c r="F757" s="9"/>
      <c r="G757" s="79">
        <f>SUM(H752:H756)</f>
        <v>0</v>
      </c>
      <c r="H757" s="29">
        <f>ROUND(E757*G757,2)</f>
        <v>0</v>
      </c>
    </row>
    <row r="758" spans="1:8" ht="20.100000000000001" hidden="1" customHeight="1" outlineLevel="1" x14ac:dyDescent="0.25">
      <c r="A758" s="60"/>
      <c r="B758" s="12"/>
      <c r="C758" s="45"/>
      <c r="D758" s="45"/>
      <c r="E758" s="34"/>
      <c r="F758" s="12"/>
      <c r="G758" s="34"/>
      <c r="H758" s="30"/>
    </row>
    <row r="759" spans="1:8" s="8" customFormat="1" ht="20.100000000000001" hidden="1" customHeight="1" outlineLevel="1" x14ac:dyDescent="0.25">
      <c r="A759" s="52"/>
      <c r="B759" s="9"/>
      <c r="C759" s="44" t="s">
        <v>984</v>
      </c>
      <c r="D759" s="44"/>
      <c r="E759" s="78">
        <v>1</v>
      </c>
      <c r="F759" s="9"/>
      <c r="G759" s="79">
        <f>H744+H751</f>
        <v>0</v>
      </c>
      <c r="H759" s="29">
        <f>ROUND(E759*G759,2)</f>
        <v>0</v>
      </c>
    </row>
    <row r="760" spans="1:8" ht="20.100000000000001" hidden="1" customHeight="1" outlineLevel="1" x14ac:dyDescent="0.25">
      <c r="A760" s="60"/>
      <c r="B760" s="12"/>
      <c r="C760" s="45"/>
      <c r="D760" s="45"/>
      <c r="E760" s="34"/>
      <c r="F760" s="12"/>
      <c r="G760" s="34"/>
      <c r="H760" s="30"/>
    </row>
    <row r="761" spans="1:8" ht="20.100000000000001" hidden="1" customHeight="1" outlineLevel="1" x14ac:dyDescent="0.25">
      <c r="A761" s="58"/>
      <c r="B761" s="5" t="s">
        <v>9</v>
      </c>
      <c r="C761" s="42" t="s">
        <v>985</v>
      </c>
      <c r="D761" s="42" t="s">
        <v>1420</v>
      </c>
      <c r="E761" s="77">
        <f>E777</f>
        <v>1</v>
      </c>
      <c r="F761" s="5" t="s">
        <v>10</v>
      </c>
      <c r="G761" s="77">
        <f>G777</f>
        <v>0</v>
      </c>
      <c r="H761" s="28">
        <f>H777</f>
        <v>0</v>
      </c>
    </row>
    <row r="762" spans="1:8" ht="20.100000000000001" hidden="1" customHeight="1" outlineLevel="1" x14ac:dyDescent="0.25">
      <c r="A762" s="61" t="s">
        <v>986</v>
      </c>
      <c r="B762" s="17" t="s">
        <v>9</v>
      </c>
      <c r="C762" s="46" t="s">
        <v>987</v>
      </c>
      <c r="D762" s="46" t="s">
        <v>1421</v>
      </c>
      <c r="E762" s="80">
        <f>E767</f>
        <v>1</v>
      </c>
      <c r="F762" s="17" t="s">
        <v>10</v>
      </c>
      <c r="G762" s="80">
        <f>G767</f>
        <v>0</v>
      </c>
      <c r="H762" s="31">
        <f>H767</f>
        <v>0</v>
      </c>
    </row>
    <row r="763" spans="1:8" ht="20.100000000000001" hidden="1" customHeight="1" outlineLevel="1" x14ac:dyDescent="0.25">
      <c r="A763" s="59" t="s">
        <v>988</v>
      </c>
      <c r="B763" s="3" t="s">
        <v>17</v>
      </c>
      <c r="C763" s="43" t="s">
        <v>989</v>
      </c>
      <c r="D763" s="43" t="s">
        <v>1422</v>
      </c>
      <c r="E763" s="78">
        <v>1</v>
      </c>
      <c r="F763" s="3" t="s">
        <v>10</v>
      </c>
      <c r="G763" s="78"/>
      <c r="H763" s="20"/>
    </row>
    <row r="764" spans="1:8" ht="20.100000000000001" hidden="1" customHeight="1" outlineLevel="1" x14ac:dyDescent="0.25">
      <c r="A764" s="59" t="s">
        <v>990</v>
      </c>
      <c r="B764" s="3" t="s">
        <v>17</v>
      </c>
      <c r="C764" s="43" t="s">
        <v>991</v>
      </c>
      <c r="D764" s="43" t="s">
        <v>1423</v>
      </c>
      <c r="E764" s="78">
        <v>1</v>
      </c>
      <c r="F764" s="3" t="s">
        <v>10</v>
      </c>
      <c r="G764" s="78"/>
      <c r="H764" s="20"/>
    </row>
    <row r="765" spans="1:8" ht="20.100000000000001" hidden="1" customHeight="1" outlineLevel="1" x14ac:dyDescent="0.25">
      <c r="A765" s="59" t="s">
        <v>992</v>
      </c>
      <c r="B765" s="3" t="s">
        <v>17</v>
      </c>
      <c r="C765" s="43" t="s">
        <v>993</v>
      </c>
      <c r="D765" s="43" t="s">
        <v>1424</v>
      </c>
      <c r="E765" s="78">
        <v>1</v>
      </c>
      <c r="F765" s="3" t="s">
        <v>10</v>
      </c>
      <c r="G765" s="78"/>
      <c r="H765" s="20"/>
    </row>
    <row r="766" spans="1:8" ht="20.100000000000001" hidden="1" customHeight="1" outlineLevel="1" x14ac:dyDescent="0.25">
      <c r="A766" s="59" t="s">
        <v>994</v>
      </c>
      <c r="B766" s="3" t="s">
        <v>17</v>
      </c>
      <c r="C766" s="43" t="s">
        <v>995</v>
      </c>
      <c r="D766" s="43" t="s">
        <v>1425</v>
      </c>
      <c r="E766" s="78">
        <v>1</v>
      </c>
      <c r="F766" s="3" t="s">
        <v>10</v>
      </c>
      <c r="G766" s="78"/>
      <c r="H766" s="20"/>
    </row>
    <row r="767" spans="1:8" ht="20.100000000000001" hidden="1" customHeight="1" outlineLevel="1" x14ac:dyDescent="0.25">
      <c r="A767" s="52"/>
      <c r="B767" s="9"/>
      <c r="C767" s="44" t="s">
        <v>996</v>
      </c>
      <c r="D767" s="44" t="s">
        <v>996</v>
      </c>
      <c r="E767" s="78">
        <v>1</v>
      </c>
      <c r="F767" s="9"/>
      <c r="G767" s="79">
        <f>SUM(H763:H766)</f>
        <v>0</v>
      </c>
      <c r="H767" s="29">
        <f>ROUND(E767*G767,2)</f>
        <v>0</v>
      </c>
    </row>
    <row r="768" spans="1:8" ht="20.100000000000001" hidden="1" customHeight="1" outlineLevel="1" x14ac:dyDescent="0.25">
      <c r="A768" s="60"/>
      <c r="B768" s="12"/>
      <c r="C768" s="45"/>
      <c r="D768" s="45"/>
      <c r="E768" s="34"/>
      <c r="F768" s="12"/>
      <c r="G768" s="34"/>
      <c r="H768" s="30"/>
    </row>
    <row r="769" spans="1:9" ht="20.100000000000001" hidden="1" customHeight="1" outlineLevel="1" x14ac:dyDescent="0.25">
      <c r="A769" s="61" t="s">
        <v>997</v>
      </c>
      <c r="B769" s="17" t="s">
        <v>9</v>
      </c>
      <c r="C769" s="46" t="s">
        <v>998</v>
      </c>
      <c r="D769" s="46" t="s">
        <v>1426</v>
      </c>
      <c r="E769" s="80">
        <f>E775</f>
        <v>1</v>
      </c>
      <c r="F769" s="17" t="s">
        <v>10</v>
      </c>
      <c r="G769" s="80">
        <f>G775</f>
        <v>0</v>
      </c>
      <c r="H769" s="31">
        <f>H775</f>
        <v>0</v>
      </c>
    </row>
    <row r="770" spans="1:9" ht="20.100000000000001" hidden="1" customHeight="1" outlineLevel="1" x14ac:dyDescent="0.25">
      <c r="A770" s="59" t="s">
        <v>999</v>
      </c>
      <c r="B770" s="3" t="s">
        <v>17</v>
      </c>
      <c r="C770" s="43" t="s">
        <v>1443</v>
      </c>
      <c r="D770" s="43" t="s">
        <v>1445</v>
      </c>
      <c r="E770" s="78">
        <v>1</v>
      </c>
      <c r="F770" s="3" t="s">
        <v>10</v>
      </c>
      <c r="G770" s="78"/>
      <c r="H770" s="20"/>
    </row>
    <row r="771" spans="1:9" ht="20.100000000000001" hidden="1" customHeight="1" outlineLevel="1" x14ac:dyDescent="0.25">
      <c r="A771" s="59" t="s">
        <v>1000</v>
      </c>
      <c r="B771" s="3" t="s">
        <v>17</v>
      </c>
      <c r="C771" s="43" t="s">
        <v>1444</v>
      </c>
      <c r="D771" s="43" t="s">
        <v>1446</v>
      </c>
      <c r="E771" s="78">
        <v>1</v>
      </c>
      <c r="F771" s="3" t="s">
        <v>10</v>
      </c>
      <c r="G771" s="78"/>
      <c r="H771" s="20"/>
    </row>
    <row r="772" spans="1:9" ht="20.100000000000001" hidden="1" customHeight="1" outlineLevel="1" x14ac:dyDescent="0.25">
      <c r="A772" s="59" t="s">
        <v>1001</v>
      </c>
      <c r="B772" s="3" t="s">
        <v>17</v>
      </c>
      <c r="C772" s="43" t="s">
        <v>1002</v>
      </c>
      <c r="D772" s="43" t="s">
        <v>1427</v>
      </c>
      <c r="E772" s="78">
        <v>1</v>
      </c>
      <c r="F772" s="3" t="s">
        <v>10</v>
      </c>
      <c r="G772" s="78"/>
      <c r="H772" s="20"/>
    </row>
    <row r="773" spans="1:9" ht="20.100000000000001" hidden="1" customHeight="1" outlineLevel="1" x14ac:dyDescent="0.25">
      <c r="A773" s="59" t="s">
        <v>1003</v>
      </c>
      <c r="B773" s="3" t="s">
        <v>17</v>
      </c>
      <c r="C773" s="43" t="s">
        <v>1004</v>
      </c>
      <c r="D773" s="43" t="s">
        <v>1428</v>
      </c>
      <c r="E773" s="78">
        <v>3</v>
      </c>
      <c r="F773" s="3" t="s">
        <v>10</v>
      </c>
      <c r="G773" s="78"/>
      <c r="H773" s="20"/>
    </row>
    <row r="774" spans="1:9" ht="20.100000000000001" hidden="1" customHeight="1" outlineLevel="1" x14ac:dyDescent="0.25">
      <c r="A774" s="59" t="s">
        <v>1005</v>
      </c>
      <c r="B774" s="3" t="s">
        <v>17</v>
      </c>
      <c r="C774" s="43" t="s">
        <v>1006</v>
      </c>
      <c r="D774" s="43" t="s">
        <v>1429</v>
      </c>
      <c r="E774" s="78">
        <v>3</v>
      </c>
      <c r="F774" s="3" t="s">
        <v>10</v>
      </c>
      <c r="G774" s="78"/>
      <c r="H774" s="20"/>
    </row>
    <row r="775" spans="1:9" ht="20.100000000000001" hidden="1" customHeight="1" outlineLevel="1" x14ac:dyDescent="0.25">
      <c r="A775" s="52"/>
      <c r="B775" s="9"/>
      <c r="C775" s="44" t="s">
        <v>1007</v>
      </c>
      <c r="D775" s="44" t="s">
        <v>1007</v>
      </c>
      <c r="E775" s="78">
        <v>1</v>
      </c>
      <c r="F775" s="9"/>
      <c r="G775" s="79">
        <f>SUM(H770:H774)</f>
        <v>0</v>
      </c>
      <c r="H775" s="29">
        <f>ROUND(E775*G775,2)</f>
        <v>0</v>
      </c>
    </row>
    <row r="776" spans="1:9" ht="20.100000000000001" hidden="1" customHeight="1" outlineLevel="1" x14ac:dyDescent="0.25">
      <c r="A776" s="60"/>
      <c r="B776" s="12"/>
      <c r="C776" s="45"/>
      <c r="D776" s="45"/>
      <c r="E776" s="34"/>
      <c r="F776" s="12"/>
      <c r="G776" s="34"/>
      <c r="H776" s="30"/>
    </row>
    <row r="777" spans="1:9" ht="20.100000000000001" hidden="1" customHeight="1" outlineLevel="1" x14ac:dyDescent="0.25">
      <c r="A777" s="52"/>
      <c r="B777" s="9"/>
      <c r="C777" s="44" t="s">
        <v>1008</v>
      </c>
      <c r="D777" s="44" t="s">
        <v>1008</v>
      </c>
      <c r="E777" s="78">
        <v>1</v>
      </c>
      <c r="F777" s="9"/>
      <c r="G777" s="79">
        <f>H762+H769</f>
        <v>0</v>
      </c>
      <c r="H777" s="29">
        <f>ROUND(E777*G777,2)</f>
        <v>0</v>
      </c>
    </row>
    <row r="778" spans="1:9" ht="20.100000000000001" customHeight="1" collapsed="1" x14ac:dyDescent="0.25">
      <c r="A778" s="60"/>
      <c r="B778" s="12"/>
      <c r="C778" s="45"/>
      <c r="D778" s="45"/>
      <c r="E778" s="34"/>
      <c r="F778" s="12"/>
      <c r="G778" s="34"/>
      <c r="H778" s="30"/>
    </row>
    <row r="779" spans="1:9" ht="20.100000000000001" customHeight="1" x14ac:dyDescent="0.25">
      <c r="A779" s="52"/>
      <c r="B779" s="9"/>
      <c r="C779" s="44" t="s">
        <v>1009</v>
      </c>
      <c r="D779" s="44" t="s">
        <v>1009</v>
      </c>
      <c r="E779" s="78">
        <v>1</v>
      </c>
      <c r="F779" s="9"/>
      <c r="G779" s="79">
        <f>H716+H729+H743+H761</f>
        <v>166308.85999999999</v>
      </c>
      <c r="H779" s="29">
        <f>ROUND(E779*G779,2)</f>
        <v>166308.85999999999</v>
      </c>
    </row>
    <row r="780" spans="1:9" ht="20.100000000000001" customHeight="1" x14ac:dyDescent="0.25">
      <c r="A780" s="60"/>
      <c r="B780" s="12"/>
      <c r="C780" s="45"/>
      <c r="D780" s="45"/>
      <c r="E780" s="34"/>
      <c r="F780" s="12"/>
      <c r="G780" s="34"/>
      <c r="H780" s="30"/>
    </row>
    <row r="781" spans="1:9" ht="20.100000000000001" customHeight="1" x14ac:dyDescent="0.25">
      <c r="A781" s="52"/>
      <c r="B781" s="9"/>
      <c r="C781" s="44" t="s">
        <v>1010</v>
      </c>
      <c r="D781" s="44" t="s">
        <v>1010</v>
      </c>
      <c r="E781" s="89">
        <v>1</v>
      </c>
      <c r="F781" s="9"/>
      <c r="G781" s="79">
        <f>H8+H37+H607+H715</f>
        <v>945009.77</v>
      </c>
      <c r="H781" s="29">
        <f>ROUND(E781*G781,2)</f>
        <v>945009.77</v>
      </c>
      <c r="I781" s="99">
        <f>+H727+H709+H683+H677+H671+H662+H654+H643+H632+H627+H619+H457+H444+H250+H237+H217+H209+H164+H157+H92+H87+H48+H33+H28+H23+H17+H12</f>
        <v>945009.77</v>
      </c>
    </row>
    <row r="782" spans="1:9" ht="20.100000000000001" customHeight="1" thickBot="1" x14ac:dyDescent="0.3">
      <c r="A782" s="60"/>
      <c r="B782" s="12"/>
      <c r="C782" s="45"/>
      <c r="D782" s="45"/>
      <c r="E782" s="34"/>
      <c r="F782" s="12"/>
      <c r="G782" s="34"/>
      <c r="H782" s="30"/>
    </row>
    <row r="783" spans="1:9" ht="20.100000000000001" customHeight="1" x14ac:dyDescent="0.25">
      <c r="A783" s="56" t="s">
        <v>1011</v>
      </c>
      <c r="B783" s="15" t="s">
        <v>9</v>
      </c>
      <c r="C783" s="40" t="s">
        <v>1012</v>
      </c>
      <c r="D783" s="40" t="s">
        <v>1430</v>
      </c>
      <c r="E783" s="88">
        <f>E795</f>
        <v>1</v>
      </c>
      <c r="F783" s="15" t="s">
        <v>10</v>
      </c>
      <c r="G783" s="75">
        <f>G795</f>
        <v>201685.62</v>
      </c>
      <c r="H783" s="26">
        <f>H795</f>
        <v>201685.62</v>
      </c>
    </row>
    <row r="784" spans="1:9" ht="20.100000000000001" customHeight="1" x14ac:dyDescent="0.25">
      <c r="A784" s="57" t="s">
        <v>1013</v>
      </c>
      <c r="B784" s="16" t="s">
        <v>9</v>
      </c>
      <c r="C784" s="41" t="s">
        <v>1012</v>
      </c>
      <c r="D784" s="41" t="s">
        <v>1430</v>
      </c>
      <c r="E784" s="76">
        <f>E793</f>
        <v>1</v>
      </c>
      <c r="F784" s="16" t="s">
        <v>10</v>
      </c>
      <c r="G784" s="76">
        <f>G793</f>
        <v>201685.62</v>
      </c>
      <c r="H784" s="27">
        <f>H793</f>
        <v>201685.62</v>
      </c>
    </row>
    <row r="785" spans="1:8" ht="20.100000000000001" customHeight="1" x14ac:dyDescent="0.25">
      <c r="A785" s="59" t="s">
        <v>1014</v>
      </c>
      <c r="B785" s="3" t="s">
        <v>17</v>
      </c>
      <c r="C785" s="43" t="s">
        <v>1015</v>
      </c>
      <c r="D785" s="95" t="s">
        <v>1431</v>
      </c>
      <c r="E785" s="78">
        <v>12</v>
      </c>
      <c r="F785" s="3" t="s">
        <v>38</v>
      </c>
      <c r="G785" s="78">
        <v>670.05</v>
      </c>
      <c r="H785" s="20">
        <f t="shared" ref="H785:H793" si="15">ROUND(E785*G785,2)</f>
        <v>8040.6</v>
      </c>
    </row>
    <row r="786" spans="1:8" ht="20.100000000000001" customHeight="1" x14ac:dyDescent="0.25">
      <c r="A786" s="59" t="s">
        <v>1016</v>
      </c>
      <c r="B786" s="3" t="s">
        <v>17</v>
      </c>
      <c r="C786" s="43" t="s">
        <v>1017</v>
      </c>
      <c r="D786" s="6" t="s">
        <v>1432</v>
      </c>
      <c r="E786" s="78">
        <v>1</v>
      </c>
      <c r="F786" s="3" t="s">
        <v>26</v>
      </c>
      <c r="G786" s="78">
        <f>9353.4*0.5</f>
        <v>4676.7</v>
      </c>
      <c r="H786" s="20">
        <f t="shared" si="15"/>
        <v>4676.7</v>
      </c>
    </row>
    <row r="787" spans="1:8" ht="20.100000000000001" customHeight="1" x14ac:dyDescent="0.25">
      <c r="A787" s="59" t="s">
        <v>1018</v>
      </c>
      <c r="B787" s="3" t="s">
        <v>17</v>
      </c>
      <c r="C787" s="43" t="s">
        <v>1019</v>
      </c>
      <c r="D787" s="6" t="s">
        <v>1433</v>
      </c>
      <c r="E787" s="78">
        <v>12</v>
      </c>
      <c r="F787" s="3" t="s">
        <v>38</v>
      </c>
      <c r="G787" s="78">
        <v>877.19</v>
      </c>
      <c r="H787" s="20">
        <f t="shared" si="15"/>
        <v>10526.28</v>
      </c>
    </row>
    <row r="788" spans="1:8" ht="20.100000000000001" customHeight="1" x14ac:dyDescent="0.25">
      <c r="A788" s="59" t="s">
        <v>1020</v>
      </c>
      <c r="B788" s="3" t="s">
        <v>17</v>
      </c>
      <c r="C788" s="43" t="s">
        <v>1021</v>
      </c>
      <c r="D788" s="6" t="s">
        <v>1434</v>
      </c>
      <c r="E788" s="78">
        <v>12</v>
      </c>
      <c r="F788" s="3" t="s">
        <v>38</v>
      </c>
      <c r="G788" s="78">
        <v>695.02</v>
      </c>
      <c r="H788" s="20">
        <f t="shared" si="15"/>
        <v>8340.24</v>
      </c>
    </row>
    <row r="789" spans="1:8" ht="20.100000000000001" customHeight="1" x14ac:dyDescent="0.25">
      <c r="A789" s="59" t="s">
        <v>1022</v>
      </c>
      <c r="B789" s="3" t="s">
        <v>17</v>
      </c>
      <c r="C789" s="43" t="s">
        <v>1024</v>
      </c>
      <c r="D789" s="95" t="s">
        <v>1435</v>
      </c>
      <c r="E789" s="78">
        <v>2</v>
      </c>
      <c r="F789" s="3" t="s">
        <v>1023</v>
      </c>
      <c r="G789" s="78">
        <f>+H781/100</f>
        <v>9450.1</v>
      </c>
      <c r="H789" s="20">
        <f t="shared" si="15"/>
        <v>18900.2</v>
      </c>
    </row>
    <row r="790" spans="1:8" ht="20.100000000000001" customHeight="1" x14ac:dyDescent="0.25">
      <c r="A790" s="59" t="s">
        <v>1025</v>
      </c>
      <c r="B790" s="3" t="s">
        <v>17</v>
      </c>
      <c r="C790" s="43" t="s">
        <v>1026</v>
      </c>
      <c r="D790" s="95" t="s">
        <v>1436</v>
      </c>
      <c r="E790" s="78">
        <v>3</v>
      </c>
      <c r="F790" s="3" t="s">
        <v>1023</v>
      </c>
      <c r="G790" s="78">
        <f>+H781/100</f>
        <v>9450.1</v>
      </c>
      <c r="H790" s="20">
        <f t="shared" si="15"/>
        <v>28350.3</v>
      </c>
    </row>
    <row r="791" spans="1:8" ht="20.100000000000001" customHeight="1" x14ac:dyDescent="0.25">
      <c r="A791" s="59" t="s">
        <v>1027</v>
      </c>
      <c r="B791" s="3" t="s">
        <v>17</v>
      </c>
      <c r="C791" s="43" t="s">
        <v>1028</v>
      </c>
      <c r="D791" s="95" t="s">
        <v>1437</v>
      </c>
      <c r="E791" s="78">
        <v>3</v>
      </c>
      <c r="F791" s="3" t="s">
        <v>1023</v>
      </c>
      <c r="G791" s="78">
        <f>+H781/100</f>
        <v>9450.1</v>
      </c>
      <c r="H791" s="20">
        <f t="shared" si="15"/>
        <v>28350.3</v>
      </c>
    </row>
    <row r="792" spans="1:8" ht="20.100000000000001" customHeight="1" x14ac:dyDescent="0.25">
      <c r="A792" s="59" t="s">
        <v>1029</v>
      </c>
      <c r="B792" s="3" t="s">
        <v>17</v>
      </c>
      <c r="C792" s="43" t="s">
        <v>1030</v>
      </c>
      <c r="D792" s="95" t="s">
        <v>1438</v>
      </c>
      <c r="E792" s="78">
        <v>10</v>
      </c>
      <c r="F792" s="3" t="s">
        <v>1023</v>
      </c>
      <c r="G792" s="78">
        <f>+H781/100</f>
        <v>9450.1</v>
      </c>
      <c r="H792" s="20">
        <f t="shared" si="15"/>
        <v>94501</v>
      </c>
    </row>
    <row r="793" spans="1:8" ht="20.100000000000001" customHeight="1" x14ac:dyDescent="0.25">
      <c r="A793" s="52"/>
      <c r="B793" s="9"/>
      <c r="C793" s="44" t="s">
        <v>1031</v>
      </c>
      <c r="D793" s="44"/>
      <c r="E793" s="78">
        <v>1</v>
      </c>
      <c r="F793" s="9"/>
      <c r="G793" s="79">
        <f>SUM(H785:H792)</f>
        <v>201685.62</v>
      </c>
      <c r="H793" s="29">
        <f t="shared" si="15"/>
        <v>201685.62</v>
      </c>
    </row>
    <row r="794" spans="1:8" ht="20.100000000000001" customHeight="1" x14ac:dyDescent="0.25">
      <c r="A794" s="60"/>
      <c r="B794" s="12"/>
      <c r="C794" s="45"/>
      <c r="D794" s="45"/>
      <c r="E794" s="34"/>
      <c r="F794" s="12"/>
      <c r="G794" s="34"/>
      <c r="H794" s="30"/>
    </row>
    <row r="795" spans="1:8" s="8" customFormat="1" ht="20.100000000000001" customHeight="1" x14ac:dyDescent="0.25">
      <c r="A795" s="52"/>
      <c r="B795" s="9"/>
      <c r="C795" s="44" t="s">
        <v>1032</v>
      </c>
      <c r="D795" s="44" t="s">
        <v>1032</v>
      </c>
      <c r="E795" s="89">
        <v>1</v>
      </c>
      <c r="F795" s="9"/>
      <c r="G795" s="79">
        <f>H784</f>
        <v>201685.62</v>
      </c>
      <c r="H795" s="29">
        <f>ROUND(E795*G795,2)</f>
        <v>201685.62</v>
      </c>
    </row>
    <row r="796" spans="1:8" ht="20.100000000000001" customHeight="1" x14ac:dyDescent="0.25">
      <c r="A796" s="60"/>
      <c r="B796" s="12"/>
      <c r="C796" s="45"/>
      <c r="D796" s="45"/>
      <c r="E796" s="34"/>
      <c r="F796" s="12"/>
      <c r="G796" s="34"/>
      <c r="H796" s="30"/>
    </row>
    <row r="797" spans="1:8" ht="20.100000000000001" customHeight="1" thickBot="1" x14ac:dyDescent="0.3">
      <c r="A797" s="59"/>
      <c r="B797" s="3"/>
      <c r="C797" s="95" t="s">
        <v>1439</v>
      </c>
      <c r="D797" s="95" t="s">
        <v>1439</v>
      </c>
      <c r="E797" s="89">
        <f>+(H781+H793)/100</f>
        <v>11467</v>
      </c>
      <c r="F797" s="3" t="s">
        <v>1023</v>
      </c>
      <c r="G797" s="78">
        <v>1.8</v>
      </c>
      <c r="H797" s="20">
        <f>ROUND(E797*G797,2)</f>
        <v>20640.599999999999</v>
      </c>
    </row>
    <row r="798" spans="1:8" s="8" customFormat="1" ht="20.100000000000001" customHeight="1" thickBot="1" x14ac:dyDescent="0.3">
      <c r="A798" s="67"/>
      <c r="B798" s="68"/>
      <c r="C798" s="69" t="s">
        <v>1033</v>
      </c>
      <c r="D798" s="69"/>
      <c r="E798" s="90">
        <v>1</v>
      </c>
      <c r="F798" s="68"/>
      <c r="G798" s="85">
        <f>H7+H783+H797</f>
        <v>1167335.99</v>
      </c>
      <c r="H798" s="70">
        <f>ROUND(E798*G798,2)</f>
        <v>1167335.99</v>
      </c>
    </row>
    <row r="799" spans="1:8" ht="20.100000000000001" customHeight="1" x14ac:dyDescent="0.25">
      <c r="A799" s="66"/>
      <c r="B799" s="12"/>
      <c r="C799" s="45"/>
      <c r="D799" s="45"/>
      <c r="E799" s="34"/>
      <c r="F799" s="12"/>
      <c r="G799" s="34"/>
      <c r="H799" s="34"/>
    </row>
    <row r="801" spans="3:7" ht="20.100000000000001" customHeight="1" x14ac:dyDescent="0.25">
      <c r="C801" s="1"/>
      <c r="D801" s="1" t="s">
        <v>1459</v>
      </c>
      <c r="E801" s="96">
        <v>972.98</v>
      </c>
      <c r="F801" s="13" t="s">
        <v>1460</v>
      </c>
      <c r="G801" s="2"/>
    </row>
    <row r="802" spans="3:7" ht="20.100000000000001" customHeight="1" x14ac:dyDescent="0.25">
      <c r="C802" s="1"/>
      <c r="D802" s="1" t="s">
        <v>1461</v>
      </c>
      <c r="E802" s="96">
        <f>+H798/E801</f>
        <v>1199.75</v>
      </c>
      <c r="F802" s="13" t="s">
        <v>1462</v>
      </c>
      <c r="G802" s="2"/>
    </row>
  </sheetData>
  <phoneticPr fontId="8" type="noConversion"/>
  <dataValidations count="1">
    <dataValidation type="list" allowBlank="1" showInputMessage="1" showErrorMessage="1" sqref="B7:B799" xr:uid="{D3F4490C-CF0B-46AD-9758-B6C09C1EB7E5}">
      <formula1>"Capítulo,Partida,Mano de obra,Maquinaria,Material,Otros,Tarea,"</formula1>
    </dataValidation>
  </dataValidations>
  <printOptions gridLines="1"/>
  <pageMargins left="0.70866141732283472" right="0.70866141732283472" top="0.74803149606299213" bottom="0.74803149606299213" header="0.31496062992125984" footer="0.31496062992125984"/>
  <pageSetup paperSize="9" scale="64" orientation="portrait" r:id="rId1"/>
  <rowBreaks count="2" manualBreakCount="2">
    <brk id="149" max="16383" man="1"/>
    <brk id="782" max="7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5F17-7B04-45B8-AAB6-77B575797E14}">
  <sheetPr>
    <tabColor rgb="FF92D050"/>
  </sheetPr>
  <dimension ref="A1:I802"/>
  <sheetViews>
    <sheetView view="pageBreakPreview" topLeftCell="A786" zoomScale="85" zoomScaleNormal="100" zoomScaleSheetLayoutView="85" workbookViewId="0">
      <selection activeCell="E804" sqref="E804"/>
    </sheetView>
  </sheetViews>
  <sheetFormatPr defaultColWidth="11.42578125" defaultRowHeight="20.100000000000001" customHeight="1" outlineLevelRow="1" outlineLevelCol="1" x14ac:dyDescent="0.25"/>
  <cols>
    <col min="1" max="1" width="10.28515625" style="50" customWidth="1"/>
    <col min="2" max="2" width="6.7109375" style="13" hidden="1" customWidth="1" outlineLevel="1"/>
    <col min="3" max="3" width="50.85546875" style="50" hidden="1" customWidth="1" outlineLevel="1"/>
    <col min="4" max="4" width="64.5703125" style="50" customWidth="1" collapsed="1"/>
    <col min="5" max="5" width="15.5703125" style="35" customWidth="1"/>
    <col min="6" max="6" width="8.7109375" style="13" customWidth="1"/>
    <col min="7" max="8" width="16.85546875" style="35" customWidth="1"/>
    <col min="9" max="16384" width="11.42578125" style="2"/>
  </cols>
  <sheetData>
    <row r="1" spans="1:8" ht="20.100000000000001" customHeight="1" x14ac:dyDescent="0.25">
      <c r="A1" s="51"/>
      <c r="B1" s="14"/>
      <c r="C1" s="36"/>
      <c r="D1" s="36"/>
      <c r="E1" s="86" t="s">
        <v>1065</v>
      </c>
      <c r="F1" s="14"/>
      <c r="G1" s="72"/>
      <c r="H1" s="22"/>
    </row>
    <row r="2" spans="1:8" ht="20.100000000000001" customHeight="1" x14ac:dyDescent="0.25">
      <c r="A2" s="52"/>
      <c r="B2" s="9"/>
      <c r="C2" s="37"/>
      <c r="D2" s="37"/>
      <c r="E2" s="87" t="s">
        <v>1066</v>
      </c>
      <c r="F2" s="9"/>
      <c r="G2" s="73"/>
      <c r="H2" s="23"/>
    </row>
    <row r="3" spans="1:8" ht="20.100000000000001" customHeight="1" x14ac:dyDescent="0.25">
      <c r="A3" s="52"/>
      <c r="B3" s="9"/>
      <c r="C3" s="37"/>
      <c r="D3" s="37"/>
      <c r="E3" s="87" t="s">
        <v>1067</v>
      </c>
      <c r="F3" s="9"/>
      <c r="G3" s="73"/>
      <c r="H3" s="23"/>
    </row>
    <row r="4" spans="1:8" ht="20.100000000000001" customHeight="1" x14ac:dyDescent="0.25">
      <c r="A4" s="53" t="s">
        <v>0</v>
      </c>
      <c r="B4" s="9"/>
      <c r="C4" s="37"/>
      <c r="D4" s="37"/>
      <c r="E4" s="73"/>
      <c r="F4" s="9"/>
      <c r="G4" s="73"/>
      <c r="H4" s="23"/>
    </row>
    <row r="5" spans="1:8" ht="20.100000000000001" customHeight="1" thickBot="1" x14ac:dyDescent="0.3">
      <c r="A5" s="54" t="s">
        <v>1034</v>
      </c>
      <c r="B5" s="10"/>
      <c r="C5" s="38"/>
      <c r="D5" s="38"/>
      <c r="E5" s="71"/>
      <c r="F5" s="10"/>
      <c r="G5" s="71"/>
      <c r="H5" s="24"/>
    </row>
    <row r="6" spans="1:8" ht="20.100000000000001" customHeight="1" thickBot="1" x14ac:dyDescent="0.3">
      <c r="A6" s="101" t="s">
        <v>1</v>
      </c>
      <c r="B6" s="102" t="s">
        <v>2</v>
      </c>
      <c r="C6" s="103" t="s">
        <v>4</v>
      </c>
      <c r="D6" s="103" t="s">
        <v>1038</v>
      </c>
      <c r="E6" s="104" t="s">
        <v>5</v>
      </c>
      <c r="F6" s="102" t="s">
        <v>3</v>
      </c>
      <c r="G6" s="104" t="s">
        <v>6</v>
      </c>
      <c r="H6" s="105" t="s">
        <v>7</v>
      </c>
    </row>
    <row r="7" spans="1:8" ht="20.100000000000001" customHeight="1" x14ac:dyDescent="0.25">
      <c r="A7" s="56" t="s">
        <v>8</v>
      </c>
      <c r="B7" s="15" t="s">
        <v>9</v>
      </c>
      <c r="C7" s="40" t="s">
        <v>11</v>
      </c>
      <c r="D7" s="40" t="s">
        <v>1035</v>
      </c>
      <c r="E7" s="88">
        <f>E781</f>
        <v>1</v>
      </c>
      <c r="F7" s="15" t="s">
        <v>10</v>
      </c>
      <c r="G7" s="75">
        <f>G781</f>
        <v>1477872.33</v>
      </c>
      <c r="H7" s="26">
        <f>H781</f>
        <v>1477872.33</v>
      </c>
    </row>
    <row r="8" spans="1:8" ht="20.100000000000001" customHeight="1" x14ac:dyDescent="0.25">
      <c r="A8" s="57" t="s">
        <v>12</v>
      </c>
      <c r="B8" s="16" t="s">
        <v>9</v>
      </c>
      <c r="C8" s="41" t="s">
        <v>13</v>
      </c>
      <c r="D8" s="41" t="s">
        <v>1036</v>
      </c>
      <c r="E8" s="76">
        <f>E35</f>
        <v>1</v>
      </c>
      <c r="F8" s="16" t="s">
        <v>10</v>
      </c>
      <c r="G8" s="76">
        <f>G35</f>
        <v>42277.8</v>
      </c>
      <c r="H8" s="27">
        <f>H35</f>
        <v>42277.8</v>
      </c>
    </row>
    <row r="9" spans="1:8" ht="20.100000000000001" hidden="1" customHeight="1" outlineLevel="1" x14ac:dyDescent="0.25">
      <c r="A9" s="58" t="s">
        <v>14</v>
      </c>
      <c r="B9" s="5" t="s">
        <v>9</v>
      </c>
      <c r="C9" s="42" t="s">
        <v>15</v>
      </c>
      <c r="D9" s="42" t="s">
        <v>1037</v>
      </c>
      <c r="E9" s="77">
        <f>E12</f>
        <v>1</v>
      </c>
      <c r="F9" s="5" t="s">
        <v>10</v>
      </c>
      <c r="G9" s="77">
        <f>G12</f>
        <v>0</v>
      </c>
      <c r="H9" s="28">
        <f>H12</f>
        <v>0</v>
      </c>
    </row>
    <row r="10" spans="1:8" ht="20.100000000000001" hidden="1" customHeight="1" outlineLevel="1" x14ac:dyDescent="0.25">
      <c r="A10" s="59" t="s">
        <v>16</v>
      </c>
      <c r="B10" s="3" t="s">
        <v>17</v>
      </c>
      <c r="C10" s="43" t="s">
        <v>19</v>
      </c>
      <c r="D10" s="43" t="s">
        <v>1039</v>
      </c>
      <c r="E10" s="78">
        <v>2868.89</v>
      </c>
      <c r="F10" s="3" t="s">
        <v>18</v>
      </c>
      <c r="G10" s="78"/>
      <c r="H10" s="20"/>
    </row>
    <row r="11" spans="1:8" ht="20.100000000000001" hidden="1" customHeight="1" outlineLevel="1" x14ac:dyDescent="0.25">
      <c r="A11" s="59" t="s">
        <v>20</v>
      </c>
      <c r="B11" s="3" t="s">
        <v>17</v>
      </c>
      <c r="C11" s="43" t="s">
        <v>21</v>
      </c>
      <c r="D11" s="43" t="s">
        <v>1040</v>
      </c>
      <c r="E11" s="78">
        <v>1794.66</v>
      </c>
      <c r="F11" s="3" t="s">
        <v>18</v>
      </c>
      <c r="G11" s="78"/>
      <c r="H11" s="20"/>
    </row>
    <row r="12" spans="1:8" ht="20.100000000000001" hidden="1" customHeight="1" outlineLevel="1" x14ac:dyDescent="0.25">
      <c r="A12" s="52"/>
      <c r="B12" s="9"/>
      <c r="C12" s="44" t="s">
        <v>22</v>
      </c>
      <c r="D12" s="44" t="s">
        <v>22</v>
      </c>
      <c r="E12" s="78">
        <v>1</v>
      </c>
      <c r="F12" s="9"/>
      <c r="G12" s="79">
        <f>SUM(H10:H11)</f>
        <v>0</v>
      </c>
      <c r="H12" s="29">
        <f>ROUND(E12*G12,2)</f>
        <v>0</v>
      </c>
    </row>
    <row r="13" spans="1:8" ht="20.100000000000001" hidden="1" customHeight="1" outlineLevel="1" x14ac:dyDescent="0.25">
      <c r="A13" s="60"/>
      <c r="B13" s="12"/>
      <c r="C13" s="45"/>
      <c r="D13" s="45"/>
      <c r="E13" s="34"/>
      <c r="F13" s="12"/>
      <c r="G13" s="34"/>
      <c r="H13" s="30"/>
    </row>
    <row r="14" spans="1:8" ht="20.100000000000001" hidden="1" customHeight="1" outlineLevel="1" x14ac:dyDescent="0.25">
      <c r="A14" s="58" t="s">
        <v>23</v>
      </c>
      <c r="B14" s="5" t="s">
        <v>9</v>
      </c>
      <c r="C14" s="42" t="s">
        <v>24</v>
      </c>
      <c r="D14" s="42" t="s">
        <v>1043</v>
      </c>
      <c r="E14" s="77">
        <f>E17</f>
        <v>1</v>
      </c>
      <c r="F14" s="5" t="s">
        <v>10</v>
      </c>
      <c r="G14" s="77">
        <f>G17</f>
        <v>0</v>
      </c>
      <c r="H14" s="28">
        <f>H17</f>
        <v>0</v>
      </c>
    </row>
    <row r="15" spans="1:8" ht="20.100000000000001" hidden="1" customHeight="1" outlineLevel="1" x14ac:dyDescent="0.25">
      <c r="A15" s="59" t="s">
        <v>25</v>
      </c>
      <c r="B15" s="3" t="s">
        <v>17</v>
      </c>
      <c r="C15" s="43" t="s">
        <v>27</v>
      </c>
      <c r="D15" s="43" t="s">
        <v>1041</v>
      </c>
      <c r="E15" s="78">
        <v>1</v>
      </c>
      <c r="F15" s="3" t="s">
        <v>26</v>
      </c>
      <c r="G15" s="78"/>
      <c r="H15" s="20"/>
    </row>
    <row r="16" spans="1:8" ht="20.100000000000001" hidden="1" customHeight="1" outlineLevel="1" x14ac:dyDescent="0.25">
      <c r="A16" s="59" t="s">
        <v>28</v>
      </c>
      <c r="B16" s="3" t="s">
        <v>17</v>
      </c>
      <c r="C16" s="43" t="s">
        <v>30</v>
      </c>
      <c r="D16" s="43" t="s">
        <v>1042</v>
      </c>
      <c r="E16" s="78">
        <v>176.43</v>
      </c>
      <c r="F16" s="3" t="s">
        <v>29</v>
      </c>
      <c r="G16" s="78"/>
      <c r="H16" s="20"/>
    </row>
    <row r="17" spans="1:8" ht="20.100000000000001" hidden="1" customHeight="1" outlineLevel="1" x14ac:dyDescent="0.25">
      <c r="A17" s="52"/>
      <c r="B17" s="9"/>
      <c r="C17" s="44" t="s">
        <v>31</v>
      </c>
      <c r="D17" s="44" t="s">
        <v>31</v>
      </c>
      <c r="E17" s="78">
        <v>1</v>
      </c>
      <c r="F17" s="9"/>
      <c r="G17" s="79">
        <f>SUM(H15:H16)</f>
        <v>0</v>
      </c>
      <c r="H17" s="29">
        <f>ROUND(E17*G17,2)</f>
        <v>0</v>
      </c>
    </row>
    <row r="18" spans="1:8" ht="20.100000000000001" hidden="1" customHeight="1" outlineLevel="1" x14ac:dyDescent="0.25">
      <c r="A18" s="60"/>
      <c r="B18" s="12"/>
      <c r="C18" s="45"/>
      <c r="D18" s="45"/>
      <c r="E18" s="34"/>
      <c r="F18" s="12"/>
      <c r="G18" s="34"/>
      <c r="H18" s="30"/>
    </row>
    <row r="19" spans="1:8" ht="20.100000000000001" customHeight="1" collapsed="1" x14ac:dyDescent="0.25">
      <c r="A19" s="58" t="s">
        <v>14</v>
      </c>
      <c r="B19" s="5" t="s">
        <v>9</v>
      </c>
      <c r="C19" s="42" t="s">
        <v>33</v>
      </c>
      <c r="D19" s="42" t="s">
        <v>1050</v>
      </c>
      <c r="E19" s="77">
        <f>E23</f>
        <v>1</v>
      </c>
      <c r="F19" s="5" t="s">
        <v>10</v>
      </c>
      <c r="G19" s="77">
        <f>G23</f>
        <v>2367.36</v>
      </c>
      <c r="H19" s="28">
        <f>H23</f>
        <v>2367.36</v>
      </c>
    </row>
    <row r="20" spans="1:8" ht="20.100000000000001" hidden="1" customHeight="1" outlineLevel="1" x14ac:dyDescent="0.25">
      <c r="A20" s="59" t="s">
        <v>34</v>
      </c>
      <c r="B20" s="3" t="s">
        <v>17</v>
      </c>
      <c r="C20" s="43" t="s">
        <v>36</v>
      </c>
      <c r="D20" s="43" t="s">
        <v>1044</v>
      </c>
      <c r="E20" s="78">
        <v>396</v>
      </c>
      <c r="F20" s="3" t="s">
        <v>35</v>
      </c>
      <c r="G20" s="78"/>
      <c r="H20" s="20"/>
    </row>
    <row r="21" spans="1:8" ht="20.100000000000001" customHeight="1" collapsed="1" x14ac:dyDescent="0.25">
      <c r="A21" s="59" t="s">
        <v>16</v>
      </c>
      <c r="B21" s="3" t="s">
        <v>17</v>
      </c>
      <c r="C21" s="43" t="s">
        <v>39</v>
      </c>
      <c r="D21" s="43" t="s">
        <v>1045</v>
      </c>
      <c r="E21" s="78">
        <v>12</v>
      </c>
      <c r="F21" s="3" t="s">
        <v>38</v>
      </c>
      <c r="G21" s="78">
        <v>197.28</v>
      </c>
      <c r="H21" s="20">
        <f>ROUND(E21*G21,2)</f>
        <v>2367.36</v>
      </c>
    </row>
    <row r="22" spans="1:8" ht="20.100000000000001" hidden="1" customHeight="1" outlineLevel="1" x14ac:dyDescent="0.25">
      <c r="A22" s="59" t="s">
        <v>40</v>
      </c>
      <c r="B22" s="3" t="s">
        <v>17</v>
      </c>
      <c r="C22" s="43" t="s">
        <v>41</v>
      </c>
      <c r="D22" s="43" t="s">
        <v>1046</v>
      </c>
      <c r="E22" s="78">
        <v>1</v>
      </c>
      <c r="F22" s="3" t="s">
        <v>10</v>
      </c>
      <c r="G22" s="78"/>
      <c r="H22" s="20"/>
    </row>
    <row r="23" spans="1:8" ht="20.100000000000001" customHeight="1" collapsed="1" x14ac:dyDescent="0.25">
      <c r="A23" s="52"/>
      <c r="B23" s="9"/>
      <c r="C23" s="44" t="s">
        <v>22</v>
      </c>
      <c r="D23" s="44" t="s">
        <v>22</v>
      </c>
      <c r="E23" s="78">
        <v>1</v>
      </c>
      <c r="F23" s="9"/>
      <c r="G23" s="79">
        <f>SUM(H20:H22)</f>
        <v>2367.36</v>
      </c>
      <c r="H23" s="29">
        <f>ROUND(E23*G23,2)</f>
        <v>2367.36</v>
      </c>
    </row>
    <row r="24" spans="1:8" ht="20.100000000000001" customHeight="1" x14ac:dyDescent="0.25">
      <c r="A24" s="60"/>
      <c r="B24" s="12"/>
      <c r="C24" s="45"/>
      <c r="D24" s="45"/>
      <c r="E24" s="34"/>
      <c r="F24" s="12"/>
      <c r="G24" s="34"/>
      <c r="H24" s="30"/>
    </row>
    <row r="25" spans="1:8" ht="20.100000000000001" customHeight="1" x14ac:dyDescent="0.25">
      <c r="A25" s="58" t="s">
        <v>23</v>
      </c>
      <c r="B25" s="5" t="s">
        <v>9</v>
      </c>
      <c r="C25" s="42" t="s">
        <v>44</v>
      </c>
      <c r="D25" s="42" t="s">
        <v>1049</v>
      </c>
      <c r="E25" s="77">
        <f>E28</f>
        <v>1</v>
      </c>
      <c r="F25" s="5" t="s">
        <v>10</v>
      </c>
      <c r="G25" s="77">
        <f>G28</f>
        <v>39910.44</v>
      </c>
      <c r="H25" s="28">
        <f>H28</f>
        <v>39910.44</v>
      </c>
    </row>
    <row r="26" spans="1:8" ht="20.100000000000001" customHeight="1" x14ac:dyDescent="0.25">
      <c r="A26" s="59" t="s">
        <v>25</v>
      </c>
      <c r="B26" s="3" t="s">
        <v>17</v>
      </c>
      <c r="C26" s="43" t="s">
        <v>46</v>
      </c>
      <c r="D26" s="43" t="s">
        <v>1047</v>
      </c>
      <c r="E26" s="78">
        <v>12</v>
      </c>
      <c r="F26" s="3" t="s">
        <v>38</v>
      </c>
      <c r="G26" s="78">
        <v>3325.87</v>
      </c>
      <c r="H26" s="20">
        <f>ROUND(E26*G26,2)</f>
        <v>39910.44</v>
      </c>
    </row>
    <row r="27" spans="1:8" ht="20.100000000000001" hidden="1" customHeight="1" outlineLevel="1" x14ac:dyDescent="0.25">
      <c r="A27" s="59" t="s">
        <v>47</v>
      </c>
      <c r="B27" s="3" t="s">
        <v>17</v>
      </c>
      <c r="C27" s="43" t="s">
        <v>49</v>
      </c>
      <c r="D27" s="43" t="s">
        <v>1048</v>
      </c>
      <c r="E27" s="78">
        <v>559.61</v>
      </c>
      <c r="F27" s="3" t="s">
        <v>48</v>
      </c>
      <c r="G27" s="78"/>
      <c r="H27" s="20"/>
    </row>
    <row r="28" spans="1:8" ht="20.100000000000001" customHeight="1" collapsed="1" x14ac:dyDescent="0.25">
      <c r="A28" s="52"/>
      <c r="B28" s="9"/>
      <c r="C28" s="44" t="s">
        <v>31</v>
      </c>
      <c r="D28" s="44" t="s">
        <v>31</v>
      </c>
      <c r="E28" s="78">
        <v>1</v>
      </c>
      <c r="F28" s="9"/>
      <c r="G28" s="79">
        <f>SUM(H26:H27)</f>
        <v>39910.44</v>
      </c>
      <c r="H28" s="29">
        <f>ROUND(E28*G28,2)</f>
        <v>39910.44</v>
      </c>
    </row>
    <row r="29" spans="1:8" ht="20.100000000000001" customHeight="1" x14ac:dyDescent="0.25">
      <c r="A29" s="60"/>
      <c r="B29" s="12"/>
      <c r="C29" s="45"/>
      <c r="D29" s="45"/>
      <c r="E29" s="34"/>
      <c r="F29" s="12"/>
      <c r="G29" s="34"/>
      <c r="H29" s="30"/>
    </row>
    <row r="30" spans="1:8" ht="20.100000000000001" hidden="1" customHeight="1" outlineLevel="1" x14ac:dyDescent="0.25">
      <c r="A30" s="58" t="s">
        <v>51</v>
      </c>
      <c r="B30" s="5" t="s">
        <v>9</v>
      </c>
      <c r="C30" s="42" t="s">
        <v>52</v>
      </c>
      <c r="D30" s="42" t="s">
        <v>1051</v>
      </c>
      <c r="E30" s="77">
        <f>E33</f>
        <v>1</v>
      </c>
      <c r="F30" s="5" t="s">
        <v>10</v>
      </c>
      <c r="G30" s="77">
        <f>G33</f>
        <v>0</v>
      </c>
      <c r="H30" s="28">
        <f>H33</f>
        <v>0</v>
      </c>
    </row>
    <row r="31" spans="1:8" ht="20.100000000000001" hidden="1" customHeight="1" outlineLevel="1" x14ac:dyDescent="0.25">
      <c r="A31" s="59" t="s">
        <v>53</v>
      </c>
      <c r="B31" s="3" t="s">
        <v>17</v>
      </c>
      <c r="C31" s="43" t="s">
        <v>55</v>
      </c>
      <c r="D31" s="43" t="s">
        <v>1063</v>
      </c>
      <c r="E31" s="78">
        <v>977.83</v>
      </c>
      <c r="F31" s="3" t="s">
        <v>54</v>
      </c>
      <c r="G31" s="78"/>
      <c r="H31" s="20"/>
    </row>
    <row r="32" spans="1:8" ht="20.100000000000001" hidden="1" customHeight="1" outlineLevel="1" x14ac:dyDescent="0.25">
      <c r="A32" s="59" t="s">
        <v>56</v>
      </c>
      <c r="B32" s="3" t="s">
        <v>17</v>
      </c>
      <c r="C32" s="43" t="s">
        <v>57</v>
      </c>
      <c r="D32" s="43" t="s">
        <v>1064</v>
      </c>
      <c r="E32" s="78">
        <v>760.16</v>
      </c>
      <c r="F32" s="3" t="s">
        <v>54</v>
      </c>
      <c r="G32" s="78"/>
      <c r="H32" s="20"/>
    </row>
    <row r="33" spans="1:8" ht="20.100000000000001" hidden="1" customHeight="1" outlineLevel="1" x14ac:dyDescent="0.25">
      <c r="A33" s="52"/>
      <c r="B33" s="9"/>
      <c r="C33" s="44" t="s">
        <v>58</v>
      </c>
      <c r="D33" s="44" t="s">
        <v>58</v>
      </c>
      <c r="E33" s="78">
        <v>1</v>
      </c>
      <c r="F33" s="9"/>
      <c r="G33" s="79">
        <f>SUM(H31:H32)</f>
        <v>0</v>
      </c>
      <c r="H33" s="29">
        <f>ROUND(E33*G33,2)</f>
        <v>0</v>
      </c>
    </row>
    <row r="34" spans="1:8" ht="20.100000000000001" hidden="1" customHeight="1" outlineLevel="1" x14ac:dyDescent="0.25">
      <c r="A34" s="60"/>
      <c r="B34" s="12"/>
      <c r="C34" s="45"/>
      <c r="D34" s="45"/>
      <c r="E34" s="34"/>
      <c r="F34" s="12"/>
      <c r="G34" s="34"/>
      <c r="H34" s="30"/>
    </row>
    <row r="35" spans="1:8" ht="20.100000000000001" customHeight="1" collapsed="1" x14ac:dyDescent="0.25">
      <c r="A35" s="52"/>
      <c r="B35" s="9"/>
      <c r="C35" s="44" t="s">
        <v>59</v>
      </c>
      <c r="D35" s="44" t="s">
        <v>59</v>
      </c>
      <c r="E35" s="78">
        <v>1</v>
      </c>
      <c r="F35" s="9"/>
      <c r="G35" s="79">
        <f>H9+H14+H19+H25+H30</f>
        <v>42277.8</v>
      </c>
      <c r="H35" s="29">
        <f>ROUND(E35*G35,2)</f>
        <v>42277.8</v>
      </c>
    </row>
    <row r="36" spans="1:8" ht="20.100000000000001" customHeight="1" x14ac:dyDescent="0.25">
      <c r="A36" s="60"/>
      <c r="B36" s="12"/>
      <c r="C36" s="45"/>
      <c r="D36" s="45"/>
      <c r="E36" s="34"/>
      <c r="F36" s="12"/>
      <c r="G36" s="34"/>
      <c r="H36" s="30"/>
    </row>
    <row r="37" spans="1:8" ht="20.100000000000001" customHeight="1" x14ac:dyDescent="0.25">
      <c r="A37" s="57" t="s">
        <v>60</v>
      </c>
      <c r="B37" s="16" t="s">
        <v>9</v>
      </c>
      <c r="C37" s="41" t="s">
        <v>61</v>
      </c>
      <c r="D37" s="41" t="s">
        <v>1052</v>
      </c>
      <c r="E37" s="76">
        <f>E605</f>
        <v>1</v>
      </c>
      <c r="F37" s="16" t="s">
        <v>10</v>
      </c>
      <c r="G37" s="76">
        <f>G605</f>
        <v>571022.77</v>
      </c>
      <c r="H37" s="27">
        <f>H605</f>
        <v>571022.77</v>
      </c>
    </row>
    <row r="38" spans="1:8" ht="20.100000000000001" hidden="1" customHeight="1" outlineLevel="1" x14ac:dyDescent="0.25">
      <c r="A38" s="58" t="s">
        <v>62</v>
      </c>
      <c r="B38" s="5" t="s">
        <v>9</v>
      </c>
      <c r="C38" s="42" t="s">
        <v>63</v>
      </c>
      <c r="D38" s="42" t="s">
        <v>1053</v>
      </c>
      <c r="E38" s="77">
        <f>E221</f>
        <v>1</v>
      </c>
      <c r="F38" s="5" t="s">
        <v>10</v>
      </c>
      <c r="G38" s="77">
        <f>G221</f>
        <v>0</v>
      </c>
      <c r="H38" s="28">
        <f>H221</f>
        <v>0</v>
      </c>
    </row>
    <row r="39" spans="1:8" ht="20.100000000000001" hidden="1" customHeight="1" outlineLevel="1" x14ac:dyDescent="0.25">
      <c r="A39" s="61" t="s">
        <v>64</v>
      </c>
      <c r="B39" s="17" t="s">
        <v>9</v>
      </c>
      <c r="C39" s="46" t="s">
        <v>66</v>
      </c>
      <c r="D39" s="46" t="s">
        <v>1054</v>
      </c>
      <c r="E39" s="80">
        <f>E94</f>
        <v>1</v>
      </c>
      <c r="F39" s="17" t="s">
        <v>65</v>
      </c>
      <c r="G39" s="80">
        <f>G94</f>
        <v>0</v>
      </c>
      <c r="H39" s="31">
        <f>H94</f>
        <v>0</v>
      </c>
    </row>
    <row r="40" spans="1:8" ht="20.100000000000001" hidden="1" customHeight="1" outlineLevel="1" x14ac:dyDescent="0.25">
      <c r="A40" s="62" t="s">
        <v>67</v>
      </c>
      <c r="B40" s="7" t="s">
        <v>9</v>
      </c>
      <c r="C40" s="47" t="s">
        <v>68</v>
      </c>
      <c r="D40" s="47" t="s">
        <v>1055</v>
      </c>
      <c r="E40" s="81">
        <f>E48</f>
        <v>1</v>
      </c>
      <c r="F40" s="7" t="s">
        <v>10</v>
      </c>
      <c r="G40" s="81">
        <f>G48</f>
        <v>0</v>
      </c>
      <c r="H40" s="21">
        <f>H48</f>
        <v>0</v>
      </c>
    </row>
    <row r="41" spans="1:8" ht="20.100000000000001" hidden="1" customHeight="1" outlineLevel="1" x14ac:dyDescent="0.25">
      <c r="A41" s="59" t="s">
        <v>69</v>
      </c>
      <c r="B41" s="3" t="s">
        <v>17</v>
      </c>
      <c r="C41" s="43" t="s">
        <v>71</v>
      </c>
      <c r="D41" s="43" t="s">
        <v>1056</v>
      </c>
      <c r="E41" s="78">
        <v>119.73</v>
      </c>
      <c r="F41" s="3" t="s">
        <v>70</v>
      </c>
      <c r="G41" s="78"/>
      <c r="H41" s="20"/>
    </row>
    <row r="42" spans="1:8" ht="20.100000000000001" hidden="1" customHeight="1" outlineLevel="1" x14ac:dyDescent="0.25">
      <c r="A42" s="59" t="s">
        <v>72</v>
      </c>
      <c r="B42" s="3" t="s">
        <v>17</v>
      </c>
      <c r="C42" s="43" t="s">
        <v>73</v>
      </c>
      <c r="D42" s="43" t="s">
        <v>1057</v>
      </c>
      <c r="E42" s="78">
        <v>164.25</v>
      </c>
      <c r="F42" s="3" t="s">
        <v>70</v>
      </c>
      <c r="G42" s="78"/>
      <c r="H42" s="20"/>
    </row>
    <row r="43" spans="1:8" ht="20.100000000000001" hidden="1" customHeight="1" outlineLevel="1" x14ac:dyDescent="0.25">
      <c r="A43" s="59" t="s">
        <v>74</v>
      </c>
      <c r="B43" s="3" t="s">
        <v>17</v>
      </c>
      <c r="C43" s="43" t="s">
        <v>76</v>
      </c>
      <c r="D43" s="43" t="s">
        <v>1059</v>
      </c>
      <c r="E43" s="78">
        <v>151.58000000000001</v>
      </c>
      <c r="F43" s="3" t="s">
        <v>75</v>
      </c>
      <c r="G43" s="78"/>
      <c r="H43" s="20"/>
    </row>
    <row r="44" spans="1:8" ht="20.100000000000001" hidden="1" customHeight="1" outlineLevel="1" x14ac:dyDescent="0.25">
      <c r="A44" s="59" t="s">
        <v>77</v>
      </c>
      <c r="B44" s="3" t="s">
        <v>17</v>
      </c>
      <c r="C44" s="43" t="s">
        <v>78</v>
      </c>
      <c r="D44" s="43" t="s">
        <v>1058</v>
      </c>
      <c r="E44" s="78">
        <v>595.71</v>
      </c>
      <c r="F44" s="3" t="s">
        <v>54</v>
      </c>
      <c r="G44" s="78"/>
      <c r="H44" s="20"/>
    </row>
    <row r="45" spans="1:8" ht="20.100000000000001" hidden="1" customHeight="1" outlineLevel="1" x14ac:dyDescent="0.25">
      <c r="A45" s="59" t="s">
        <v>79</v>
      </c>
      <c r="B45" s="3" t="s">
        <v>17</v>
      </c>
      <c r="C45" s="43" t="s">
        <v>81</v>
      </c>
      <c r="D45" s="43" t="s">
        <v>1060</v>
      </c>
      <c r="E45" s="78">
        <v>217.84</v>
      </c>
      <c r="F45" s="3" t="s">
        <v>80</v>
      </c>
      <c r="G45" s="78"/>
      <c r="H45" s="20"/>
    </row>
    <row r="46" spans="1:8" ht="20.100000000000001" hidden="1" customHeight="1" outlineLevel="1" x14ac:dyDescent="0.25">
      <c r="A46" s="59" t="s">
        <v>82</v>
      </c>
      <c r="B46" s="3" t="s">
        <v>17</v>
      </c>
      <c r="C46" s="43" t="s">
        <v>83</v>
      </c>
      <c r="D46" s="43" t="s">
        <v>1061</v>
      </c>
      <c r="E46" s="78">
        <v>2273.17</v>
      </c>
      <c r="F46" s="3" t="s">
        <v>18</v>
      </c>
      <c r="G46" s="78"/>
      <c r="H46" s="20"/>
    </row>
    <row r="47" spans="1:8" ht="20.100000000000001" hidden="1" customHeight="1" outlineLevel="1" x14ac:dyDescent="0.25">
      <c r="A47" s="59" t="s">
        <v>84</v>
      </c>
      <c r="B47" s="3" t="s">
        <v>17</v>
      </c>
      <c r="C47" s="43" t="s">
        <v>85</v>
      </c>
      <c r="D47" s="43" t="s">
        <v>1062</v>
      </c>
      <c r="E47" s="78">
        <v>595.76</v>
      </c>
      <c r="F47" s="3" t="s">
        <v>18</v>
      </c>
      <c r="G47" s="78"/>
      <c r="H47" s="20"/>
    </row>
    <row r="48" spans="1:8" ht="20.100000000000001" hidden="1" customHeight="1" outlineLevel="1" x14ac:dyDescent="0.25">
      <c r="A48" s="52"/>
      <c r="B48" s="9"/>
      <c r="C48" s="44" t="s">
        <v>86</v>
      </c>
      <c r="D48" s="44" t="s">
        <v>86</v>
      </c>
      <c r="E48" s="78">
        <v>1</v>
      </c>
      <c r="F48" s="9"/>
      <c r="G48" s="79">
        <f>SUM(H41:H47)</f>
        <v>0</v>
      </c>
      <c r="H48" s="29">
        <f>ROUND(E48*G48,2)</f>
        <v>0</v>
      </c>
    </row>
    <row r="49" spans="1:8" ht="20.100000000000001" hidden="1" customHeight="1" outlineLevel="1" x14ac:dyDescent="0.25">
      <c r="A49" s="60"/>
      <c r="B49" s="12"/>
      <c r="C49" s="45"/>
      <c r="D49" s="45"/>
      <c r="E49" s="34"/>
      <c r="F49" s="12"/>
      <c r="G49" s="34"/>
      <c r="H49" s="30"/>
    </row>
    <row r="50" spans="1:8" ht="20.100000000000001" hidden="1" customHeight="1" outlineLevel="1" x14ac:dyDescent="0.25">
      <c r="A50" s="62" t="s">
        <v>87</v>
      </c>
      <c r="B50" s="7" t="s">
        <v>9</v>
      </c>
      <c r="C50" s="47" t="s">
        <v>88</v>
      </c>
      <c r="D50" s="47" t="s">
        <v>1150</v>
      </c>
      <c r="E50" s="81">
        <f>E87</f>
        <v>1</v>
      </c>
      <c r="F50" s="7" t="s">
        <v>10</v>
      </c>
      <c r="G50" s="81">
        <f>G87</f>
        <v>0</v>
      </c>
      <c r="H50" s="21">
        <f>H87</f>
        <v>0</v>
      </c>
    </row>
    <row r="51" spans="1:8" ht="20.100000000000001" hidden="1" customHeight="1" outlineLevel="1" x14ac:dyDescent="0.25">
      <c r="A51" s="59" t="s">
        <v>89</v>
      </c>
      <c r="B51" s="3" t="s">
        <v>17</v>
      </c>
      <c r="C51" s="43" t="s">
        <v>90</v>
      </c>
      <c r="D51" s="43" t="s">
        <v>1068</v>
      </c>
      <c r="E51" s="78">
        <v>4.37</v>
      </c>
      <c r="F51" s="3" t="s">
        <v>54</v>
      </c>
      <c r="G51" s="78"/>
      <c r="H51" s="20"/>
    </row>
    <row r="52" spans="1:8" ht="20.100000000000001" hidden="1" customHeight="1" outlineLevel="1" x14ac:dyDescent="0.25">
      <c r="A52" s="59" t="s">
        <v>91</v>
      </c>
      <c r="B52" s="3" t="s">
        <v>17</v>
      </c>
      <c r="C52" s="43" t="s">
        <v>92</v>
      </c>
      <c r="D52" s="43" t="s">
        <v>1069</v>
      </c>
      <c r="E52" s="78">
        <v>0.78</v>
      </c>
      <c r="F52" s="3" t="s">
        <v>54</v>
      </c>
      <c r="G52" s="78"/>
      <c r="H52" s="20"/>
    </row>
    <row r="53" spans="1:8" ht="20.100000000000001" hidden="1" customHeight="1" outlineLevel="1" x14ac:dyDescent="0.25">
      <c r="A53" s="59" t="s">
        <v>93</v>
      </c>
      <c r="B53" s="3" t="s">
        <v>17</v>
      </c>
      <c r="C53" s="43" t="s">
        <v>94</v>
      </c>
      <c r="D53" s="43" t="s">
        <v>1070</v>
      </c>
      <c r="E53" s="78">
        <v>1.6</v>
      </c>
      <c r="F53" s="3" t="s">
        <v>54</v>
      </c>
      <c r="G53" s="78"/>
      <c r="H53" s="20"/>
    </row>
    <row r="54" spans="1:8" ht="20.100000000000001" hidden="1" customHeight="1" outlineLevel="1" x14ac:dyDescent="0.25">
      <c r="A54" s="59" t="s">
        <v>95</v>
      </c>
      <c r="B54" s="3" t="s">
        <v>17</v>
      </c>
      <c r="C54" s="43" t="s">
        <v>96</v>
      </c>
      <c r="D54" s="43" t="s">
        <v>1071</v>
      </c>
      <c r="E54" s="78">
        <v>3.74</v>
      </c>
      <c r="F54" s="3" t="s">
        <v>54</v>
      </c>
      <c r="G54" s="78"/>
      <c r="H54" s="20"/>
    </row>
    <row r="55" spans="1:8" ht="20.100000000000001" hidden="1" customHeight="1" outlineLevel="1" x14ac:dyDescent="0.25">
      <c r="A55" s="59" t="s">
        <v>97</v>
      </c>
      <c r="B55" s="3" t="s">
        <v>17</v>
      </c>
      <c r="C55" s="43" t="s">
        <v>98</v>
      </c>
      <c r="D55" s="43" t="s">
        <v>1072</v>
      </c>
      <c r="E55" s="78">
        <v>2.2000000000000002</v>
      </c>
      <c r="F55" s="3" t="s">
        <v>54</v>
      </c>
      <c r="G55" s="78"/>
      <c r="H55" s="20"/>
    </row>
    <row r="56" spans="1:8" ht="20.100000000000001" hidden="1" customHeight="1" outlineLevel="1" x14ac:dyDescent="0.25">
      <c r="A56" s="59" t="s">
        <v>99</v>
      </c>
      <c r="B56" s="3" t="s">
        <v>17</v>
      </c>
      <c r="C56" s="43" t="s">
        <v>100</v>
      </c>
      <c r="D56" s="43" t="s">
        <v>1073</v>
      </c>
      <c r="E56" s="78">
        <v>2.2999999999999998</v>
      </c>
      <c r="F56" s="3" t="s">
        <v>54</v>
      </c>
      <c r="G56" s="78"/>
      <c r="H56" s="20"/>
    </row>
    <row r="57" spans="1:8" ht="20.100000000000001" hidden="1" customHeight="1" outlineLevel="1" x14ac:dyDescent="0.25">
      <c r="A57" s="59" t="s">
        <v>101</v>
      </c>
      <c r="B57" s="3" t="s">
        <v>17</v>
      </c>
      <c r="C57" s="43" t="s">
        <v>102</v>
      </c>
      <c r="D57" s="43" t="s">
        <v>1074</v>
      </c>
      <c r="E57" s="78">
        <v>1.31</v>
      </c>
      <c r="F57" s="3" t="s">
        <v>54</v>
      </c>
      <c r="G57" s="78"/>
      <c r="H57" s="20"/>
    </row>
    <row r="58" spans="1:8" ht="20.100000000000001" hidden="1" customHeight="1" outlineLevel="1" x14ac:dyDescent="0.25">
      <c r="A58" s="59" t="s">
        <v>103</v>
      </c>
      <c r="B58" s="3" t="s">
        <v>17</v>
      </c>
      <c r="C58" s="43" t="s">
        <v>104</v>
      </c>
      <c r="D58" s="43" t="s">
        <v>1075</v>
      </c>
      <c r="E58" s="78">
        <v>7.38</v>
      </c>
      <c r="F58" s="3" t="s">
        <v>54</v>
      </c>
      <c r="G58" s="78"/>
      <c r="H58" s="20"/>
    </row>
    <row r="59" spans="1:8" ht="20.100000000000001" hidden="1" customHeight="1" outlineLevel="1" x14ac:dyDescent="0.25">
      <c r="A59" s="59" t="s">
        <v>105</v>
      </c>
      <c r="B59" s="3" t="s">
        <v>17</v>
      </c>
      <c r="C59" s="43" t="s">
        <v>106</v>
      </c>
      <c r="D59" s="43" t="s">
        <v>1076</v>
      </c>
      <c r="E59" s="78">
        <v>1.98</v>
      </c>
      <c r="F59" s="3" t="s">
        <v>54</v>
      </c>
      <c r="G59" s="78"/>
      <c r="H59" s="20"/>
    </row>
    <row r="60" spans="1:8" ht="20.100000000000001" hidden="1" customHeight="1" outlineLevel="1" x14ac:dyDescent="0.25">
      <c r="A60" s="59" t="s">
        <v>107</v>
      </c>
      <c r="B60" s="3" t="s">
        <v>17</v>
      </c>
      <c r="C60" s="43" t="s">
        <v>108</v>
      </c>
      <c r="D60" s="43" t="s">
        <v>1077</v>
      </c>
      <c r="E60" s="78">
        <v>3.19</v>
      </c>
      <c r="F60" s="3" t="s">
        <v>54</v>
      </c>
      <c r="G60" s="78"/>
      <c r="H60" s="20"/>
    </row>
    <row r="61" spans="1:8" ht="20.100000000000001" hidden="1" customHeight="1" outlineLevel="1" x14ac:dyDescent="0.25">
      <c r="A61" s="59" t="s">
        <v>109</v>
      </c>
      <c r="B61" s="3" t="s">
        <v>17</v>
      </c>
      <c r="C61" s="43" t="s">
        <v>110</v>
      </c>
      <c r="D61" s="43" t="s">
        <v>1078</v>
      </c>
      <c r="E61" s="78">
        <v>1.94</v>
      </c>
      <c r="F61" s="3" t="s">
        <v>54</v>
      </c>
      <c r="G61" s="78"/>
      <c r="H61" s="20"/>
    </row>
    <row r="62" spans="1:8" ht="20.100000000000001" hidden="1" customHeight="1" outlineLevel="1" x14ac:dyDescent="0.25">
      <c r="A62" s="59" t="s">
        <v>111</v>
      </c>
      <c r="B62" s="3" t="s">
        <v>17</v>
      </c>
      <c r="C62" s="43" t="s">
        <v>112</v>
      </c>
      <c r="D62" s="43" t="s">
        <v>1079</v>
      </c>
      <c r="E62" s="78">
        <v>2.34</v>
      </c>
      <c r="F62" s="3" t="s">
        <v>54</v>
      </c>
      <c r="G62" s="78"/>
      <c r="H62" s="20"/>
    </row>
    <row r="63" spans="1:8" ht="20.100000000000001" hidden="1" customHeight="1" outlineLevel="1" x14ac:dyDescent="0.25">
      <c r="A63" s="59" t="s">
        <v>113</v>
      </c>
      <c r="B63" s="3" t="s">
        <v>17</v>
      </c>
      <c r="C63" s="43" t="s">
        <v>114</v>
      </c>
      <c r="D63" s="43" t="s">
        <v>1080</v>
      </c>
      <c r="E63" s="78">
        <v>4.42</v>
      </c>
      <c r="F63" s="3" t="s">
        <v>54</v>
      </c>
      <c r="G63" s="78"/>
      <c r="H63" s="20"/>
    </row>
    <row r="64" spans="1:8" ht="20.100000000000001" hidden="1" customHeight="1" outlineLevel="1" x14ac:dyDescent="0.25">
      <c r="A64" s="59" t="s">
        <v>115</v>
      </c>
      <c r="B64" s="3" t="s">
        <v>17</v>
      </c>
      <c r="C64" s="43" t="s">
        <v>116</v>
      </c>
      <c r="D64" s="43" t="s">
        <v>1081</v>
      </c>
      <c r="E64" s="78">
        <v>0.97</v>
      </c>
      <c r="F64" s="3" t="s">
        <v>54</v>
      </c>
      <c r="G64" s="78"/>
      <c r="H64" s="20"/>
    </row>
    <row r="65" spans="1:8" ht="20.100000000000001" hidden="1" customHeight="1" outlineLevel="1" x14ac:dyDescent="0.25">
      <c r="A65" s="59" t="s">
        <v>117</v>
      </c>
      <c r="B65" s="3" t="s">
        <v>17</v>
      </c>
      <c r="C65" s="43" t="s">
        <v>118</v>
      </c>
      <c r="D65" s="43" t="s">
        <v>1082</v>
      </c>
      <c r="E65" s="78">
        <v>1.22</v>
      </c>
      <c r="F65" s="3" t="s">
        <v>54</v>
      </c>
      <c r="G65" s="78"/>
      <c r="H65" s="20"/>
    </row>
    <row r="66" spans="1:8" ht="20.100000000000001" hidden="1" customHeight="1" outlineLevel="1" x14ac:dyDescent="0.25">
      <c r="A66" s="59" t="s">
        <v>119</v>
      </c>
      <c r="B66" s="3" t="s">
        <v>17</v>
      </c>
      <c r="C66" s="43" t="s">
        <v>120</v>
      </c>
      <c r="D66" s="43" t="s">
        <v>1083</v>
      </c>
      <c r="E66" s="78">
        <v>1.44</v>
      </c>
      <c r="F66" s="3" t="s">
        <v>54</v>
      </c>
      <c r="G66" s="78"/>
      <c r="H66" s="20"/>
    </row>
    <row r="67" spans="1:8" ht="20.100000000000001" hidden="1" customHeight="1" outlineLevel="1" x14ac:dyDescent="0.25">
      <c r="A67" s="59" t="s">
        <v>121</v>
      </c>
      <c r="B67" s="3" t="s">
        <v>17</v>
      </c>
      <c r="C67" s="43" t="s">
        <v>122</v>
      </c>
      <c r="D67" s="43" t="s">
        <v>1084</v>
      </c>
      <c r="E67" s="78">
        <v>41.44</v>
      </c>
      <c r="F67" s="3" t="s">
        <v>54</v>
      </c>
      <c r="G67" s="78"/>
      <c r="H67" s="20"/>
    </row>
    <row r="68" spans="1:8" ht="20.100000000000001" hidden="1" customHeight="1" outlineLevel="1" x14ac:dyDescent="0.25">
      <c r="A68" s="59" t="s">
        <v>123</v>
      </c>
      <c r="B68" s="3" t="s">
        <v>17</v>
      </c>
      <c r="C68" s="43" t="s">
        <v>124</v>
      </c>
      <c r="D68" s="43" t="s">
        <v>1085</v>
      </c>
      <c r="E68" s="78">
        <v>5.27</v>
      </c>
      <c r="F68" s="3" t="s">
        <v>54</v>
      </c>
      <c r="G68" s="78"/>
      <c r="H68" s="20"/>
    </row>
    <row r="69" spans="1:8" ht="20.100000000000001" hidden="1" customHeight="1" outlineLevel="1" x14ac:dyDescent="0.25">
      <c r="A69" s="59" t="s">
        <v>125</v>
      </c>
      <c r="B69" s="3" t="s">
        <v>17</v>
      </c>
      <c r="C69" s="43" t="s">
        <v>126</v>
      </c>
      <c r="D69" s="43" t="s">
        <v>1086</v>
      </c>
      <c r="E69" s="78">
        <v>0.56999999999999995</v>
      </c>
      <c r="F69" s="3" t="s">
        <v>54</v>
      </c>
      <c r="G69" s="78"/>
      <c r="H69" s="20"/>
    </row>
    <row r="70" spans="1:8" ht="20.100000000000001" hidden="1" customHeight="1" outlineLevel="1" x14ac:dyDescent="0.25">
      <c r="A70" s="59" t="s">
        <v>127</v>
      </c>
      <c r="B70" s="3" t="s">
        <v>17</v>
      </c>
      <c r="C70" s="43" t="s">
        <v>128</v>
      </c>
      <c r="D70" s="43" t="s">
        <v>1087</v>
      </c>
      <c r="E70" s="78">
        <v>3.58</v>
      </c>
      <c r="F70" s="3" t="s">
        <v>54</v>
      </c>
      <c r="G70" s="78"/>
      <c r="H70" s="20"/>
    </row>
    <row r="71" spans="1:8" ht="20.100000000000001" hidden="1" customHeight="1" outlineLevel="1" x14ac:dyDescent="0.25">
      <c r="A71" s="59" t="s">
        <v>129</v>
      </c>
      <c r="B71" s="3" t="s">
        <v>17</v>
      </c>
      <c r="C71" s="43" t="s">
        <v>130</v>
      </c>
      <c r="D71" s="43" t="s">
        <v>1088</v>
      </c>
      <c r="E71" s="78">
        <v>0.54</v>
      </c>
      <c r="F71" s="3" t="s">
        <v>54</v>
      </c>
      <c r="G71" s="78"/>
      <c r="H71" s="20"/>
    </row>
    <row r="72" spans="1:8" ht="20.100000000000001" hidden="1" customHeight="1" outlineLevel="1" x14ac:dyDescent="0.25">
      <c r="A72" s="59" t="s">
        <v>131</v>
      </c>
      <c r="B72" s="3" t="s">
        <v>17</v>
      </c>
      <c r="C72" s="43" t="s">
        <v>132</v>
      </c>
      <c r="D72" s="43" t="s">
        <v>1089</v>
      </c>
      <c r="E72" s="78">
        <v>0.81</v>
      </c>
      <c r="F72" s="3" t="s">
        <v>54</v>
      </c>
      <c r="G72" s="78"/>
      <c r="H72" s="20"/>
    </row>
    <row r="73" spans="1:8" ht="20.100000000000001" hidden="1" customHeight="1" outlineLevel="1" x14ac:dyDescent="0.25">
      <c r="A73" s="59" t="s">
        <v>133</v>
      </c>
      <c r="B73" s="3" t="s">
        <v>17</v>
      </c>
      <c r="C73" s="43" t="s">
        <v>134</v>
      </c>
      <c r="D73" s="43" t="s">
        <v>1090</v>
      </c>
      <c r="E73" s="78">
        <v>0.68</v>
      </c>
      <c r="F73" s="3" t="s">
        <v>54</v>
      </c>
      <c r="G73" s="78"/>
      <c r="H73" s="20"/>
    </row>
    <row r="74" spans="1:8" ht="20.100000000000001" hidden="1" customHeight="1" outlineLevel="1" x14ac:dyDescent="0.25">
      <c r="A74" s="59" t="s">
        <v>135</v>
      </c>
      <c r="B74" s="3" t="s">
        <v>17</v>
      </c>
      <c r="C74" s="43" t="s">
        <v>136</v>
      </c>
      <c r="D74" s="43" t="s">
        <v>1091</v>
      </c>
      <c r="E74" s="78">
        <v>0.98</v>
      </c>
      <c r="F74" s="3" t="s">
        <v>54</v>
      </c>
      <c r="G74" s="78"/>
      <c r="H74" s="20"/>
    </row>
    <row r="75" spans="1:8" ht="20.100000000000001" hidden="1" customHeight="1" outlineLevel="1" x14ac:dyDescent="0.25">
      <c r="A75" s="59" t="s">
        <v>137</v>
      </c>
      <c r="B75" s="3" t="s">
        <v>17</v>
      </c>
      <c r="C75" s="43" t="s">
        <v>138</v>
      </c>
      <c r="D75" s="43" t="s">
        <v>1092</v>
      </c>
      <c r="E75" s="78">
        <v>0.34</v>
      </c>
      <c r="F75" s="3" t="s">
        <v>54</v>
      </c>
      <c r="G75" s="78"/>
      <c r="H75" s="20"/>
    </row>
    <row r="76" spans="1:8" ht="20.100000000000001" hidden="1" customHeight="1" outlineLevel="1" x14ac:dyDescent="0.25">
      <c r="A76" s="59" t="s">
        <v>139</v>
      </c>
      <c r="B76" s="3" t="s">
        <v>17</v>
      </c>
      <c r="C76" s="43" t="s">
        <v>140</v>
      </c>
      <c r="D76" s="43" t="s">
        <v>1093</v>
      </c>
      <c r="E76" s="78">
        <v>0.68</v>
      </c>
      <c r="F76" s="3" t="s">
        <v>54</v>
      </c>
      <c r="G76" s="78"/>
      <c r="H76" s="20"/>
    </row>
    <row r="77" spans="1:8" ht="20.100000000000001" hidden="1" customHeight="1" outlineLevel="1" x14ac:dyDescent="0.25">
      <c r="A77" s="59" t="s">
        <v>141</v>
      </c>
      <c r="B77" s="3" t="s">
        <v>17</v>
      </c>
      <c r="C77" s="43" t="s">
        <v>142</v>
      </c>
      <c r="D77" s="43" t="s">
        <v>1094</v>
      </c>
      <c r="E77" s="78">
        <v>2.79</v>
      </c>
      <c r="F77" s="3" t="s">
        <v>54</v>
      </c>
      <c r="G77" s="78"/>
      <c r="H77" s="20"/>
    </row>
    <row r="78" spans="1:8" ht="20.100000000000001" hidden="1" customHeight="1" outlineLevel="1" x14ac:dyDescent="0.25">
      <c r="A78" s="59" t="s">
        <v>143</v>
      </c>
      <c r="B78" s="3" t="s">
        <v>17</v>
      </c>
      <c r="C78" s="43" t="s">
        <v>144</v>
      </c>
      <c r="D78" s="43" t="s">
        <v>1095</v>
      </c>
      <c r="E78" s="78">
        <v>3.24</v>
      </c>
      <c r="F78" s="3" t="s">
        <v>54</v>
      </c>
      <c r="G78" s="78"/>
      <c r="H78" s="20"/>
    </row>
    <row r="79" spans="1:8" ht="20.100000000000001" hidden="1" customHeight="1" outlineLevel="1" x14ac:dyDescent="0.25">
      <c r="A79" s="59" t="s">
        <v>145</v>
      </c>
      <c r="B79" s="3" t="s">
        <v>17</v>
      </c>
      <c r="C79" s="43" t="s">
        <v>146</v>
      </c>
      <c r="D79" s="43" t="s">
        <v>1096</v>
      </c>
      <c r="E79" s="78">
        <v>1.35</v>
      </c>
      <c r="F79" s="3" t="s">
        <v>54</v>
      </c>
      <c r="G79" s="78"/>
      <c r="H79" s="20"/>
    </row>
    <row r="80" spans="1:8" ht="39.950000000000003" hidden="1" customHeight="1" outlineLevel="1" x14ac:dyDescent="0.25">
      <c r="A80" s="59" t="s">
        <v>147</v>
      </c>
      <c r="B80" s="3" t="s">
        <v>17</v>
      </c>
      <c r="C80" s="43" t="s">
        <v>148</v>
      </c>
      <c r="D80" s="43" t="s">
        <v>1097</v>
      </c>
      <c r="E80" s="78">
        <v>2.93</v>
      </c>
      <c r="F80" s="3" t="s">
        <v>54</v>
      </c>
      <c r="G80" s="78"/>
      <c r="H80" s="20"/>
    </row>
    <row r="81" spans="1:8" ht="20.100000000000001" hidden="1" customHeight="1" outlineLevel="1" x14ac:dyDescent="0.25">
      <c r="A81" s="59" t="s">
        <v>149</v>
      </c>
      <c r="B81" s="3" t="s">
        <v>17</v>
      </c>
      <c r="C81" s="43" t="s">
        <v>150</v>
      </c>
      <c r="D81" s="43" t="s">
        <v>1098</v>
      </c>
      <c r="E81" s="78">
        <v>1.22</v>
      </c>
      <c r="F81" s="3" t="s">
        <v>54</v>
      </c>
      <c r="G81" s="78"/>
      <c r="H81" s="20"/>
    </row>
    <row r="82" spans="1:8" ht="20.100000000000001" hidden="1" customHeight="1" outlineLevel="1" x14ac:dyDescent="0.25">
      <c r="A82" s="59" t="s">
        <v>151</v>
      </c>
      <c r="B82" s="3" t="s">
        <v>17</v>
      </c>
      <c r="C82" s="43" t="s">
        <v>152</v>
      </c>
      <c r="D82" s="43" t="s">
        <v>1099</v>
      </c>
      <c r="E82" s="78">
        <v>0.68</v>
      </c>
      <c r="F82" s="3" t="s">
        <v>54</v>
      </c>
      <c r="G82" s="78"/>
      <c r="H82" s="20"/>
    </row>
    <row r="83" spans="1:8" ht="20.100000000000001" hidden="1" customHeight="1" outlineLevel="1" x14ac:dyDescent="0.25">
      <c r="A83" s="59" t="s">
        <v>153</v>
      </c>
      <c r="B83" s="3" t="s">
        <v>17</v>
      </c>
      <c r="C83" s="43" t="s">
        <v>155</v>
      </c>
      <c r="D83" s="43" t="s">
        <v>1100</v>
      </c>
      <c r="E83" s="78">
        <v>43</v>
      </c>
      <c r="F83" s="3" t="s">
        <v>154</v>
      </c>
      <c r="G83" s="78"/>
      <c r="H83" s="20"/>
    </row>
    <row r="84" spans="1:8" ht="20.100000000000001" hidden="1" customHeight="1" outlineLevel="1" x14ac:dyDescent="0.25">
      <c r="A84" s="59" t="s">
        <v>156</v>
      </c>
      <c r="B84" s="3" t="s">
        <v>17</v>
      </c>
      <c r="C84" s="43" t="s">
        <v>157</v>
      </c>
      <c r="D84" s="43" t="s">
        <v>1101</v>
      </c>
      <c r="E84" s="78">
        <v>1.07</v>
      </c>
      <c r="F84" s="3" t="s">
        <v>54</v>
      </c>
      <c r="G84" s="78"/>
      <c r="H84" s="20"/>
    </row>
    <row r="85" spans="1:8" ht="20.100000000000001" hidden="1" customHeight="1" outlineLevel="1" x14ac:dyDescent="0.25">
      <c r="A85" s="59" t="s">
        <v>158</v>
      </c>
      <c r="B85" s="3" t="s">
        <v>17</v>
      </c>
      <c r="C85" s="43" t="s">
        <v>159</v>
      </c>
      <c r="D85" s="43" t="s">
        <v>1102</v>
      </c>
      <c r="E85" s="78">
        <v>11.54</v>
      </c>
      <c r="F85" s="3" t="s">
        <v>54</v>
      </c>
      <c r="G85" s="78"/>
      <c r="H85" s="20"/>
    </row>
    <row r="86" spans="1:8" ht="20.100000000000001" hidden="1" customHeight="1" outlineLevel="1" x14ac:dyDescent="0.25">
      <c r="A86" s="59" t="s">
        <v>160</v>
      </c>
      <c r="B86" s="3" t="s">
        <v>17</v>
      </c>
      <c r="C86" s="43" t="s">
        <v>161</v>
      </c>
      <c r="D86" s="43" t="s">
        <v>1103</v>
      </c>
      <c r="E86" s="78">
        <v>595.71</v>
      </c>
      <c r="F86" s="3" t="s">
        <v>18</v>
      </c>
      <c r="G86" s="78"/>
      <c r="H86" s="20"/>
    </row>
    <row r="87" spans="1:8" ht="20.100000000000001" hidden="1" customHeight="1" outlineLevel="1" x14ac:dyDescent="0.25">
      <c r="A87" s="52"/>
      <c r="B87" s="9"/>
      <c r="C87" s="44" t="s">
        <v>162</v>
      </c>
      <c r="D87" s="44" t="s">
        <v>162</v>
      </c>
      <c r="E87" s="78">
        <v>1</v>
      </c>
      <c r="F87" s="9"/>
      <c r="G87" s="79">
        <f>SUM(H51:H86)</f>
        <v>0</v>
      </c>
      <c r="H87" s="29">
        <f>ROUND(E87*G87,2)</f>
        <v>0</v>
      </c>
    </row>
    <row r="88" spans="1:8" ht="20.100000000000001" hidden="1" customHeight="1" outlineLevel="1" x14ac:dyDescent="0.25">
      <c r="A88" s="60"/>
      <c r="B88" s="12"/>
      <c r="C88" s="45"/>
      <c r="D88" s="45"/>
      <c r="E88" s="34"/>
      <c r="F88" s="12"/>
      <c r="G88" s="34"/>
      <c r="H88" s="30"/>
    </row>
    <row r="89" spans="1:8" ht="20.100000000000001" hidden="1" customHeight="1" outlineLevel="1" x14ac:dyDescent="0.25">
      <c r="A89" s="62" t="s">
        <v>163</v>
      </c>
      <c r="B89" s="7" t="s">
        <v>9</v>
      </c>
      <c r="C89" s="47" t="s">
        <v>164</v>
      </c>
      <c r="D89" s="47" t="s">
        <v>1151</v>
      </c>
      <c r="E89" s="81">
        <f>E92</f>
        <v>1</v>
      </c>
      <c r="F89" s="7" t="s">
        <v>10</v>
      </c>
      <c r="G89" s="81">
        <f>G92</f>
        <v>0</v>
      </c>
      <c r="H89" s="21">
        <f>H92</f>
        <v>0</v>
      </c>
    </row>
    <row r="90" spans="1:8" ht="20.100000000000001" hidden="1" customHeight="1" outlineLevel="1" x14ac:dyDescent="0.25">
      <c r="A90" s="59" t="s">
        <v>165</v>
      </c>
      <c r="B90" s="3" t="s">
        <v>17</v>
      </c>
      <c r="C90" s="43" t="s">
        <v>166</v>
      </c>
      <c r="D90" s="43" t="s">
        <v>1104</v>
      </c>
      <c r="E90" s="78">
        <v>76.56</v>
      </c>
      <c r="F90" s="3" t="s">
        <v>18</v>
      </c>
      <c r="G90" s="78"/>
      <c r="H90" s="20"/>
    </row>
    <row r="91" spans="1:8" ht="20.100000000000001" hidden="1" customHeight="1" outlineLevel="1" x14ac:dyDescent="0.25">
      <c r="A91" s="59" t="s">
        <v>167</v>
      </c>
      <c r="B91" s="3" t="s">
        <v>17</v>
      </c>
      <c r="C91" s="43" t="s">
        <v>168</v>
      </c>
      <c r="D91" s="43" t="s">
        <v>1105</v>
      </c>
      <c r="E91" s="78">
        <v>620.53</v>
      </c>
      <c r="F91" s="3" t="s">
        <v>18</v>
      </c>
      <c r="G91" s="78"/>
      <c r="H91" s="20"/>
    </row>
    <row r="92" spans="1:8" ht="20.100000000000001" hidden="1" customHeight="1" outlineLevel="1" x14ac:dyDescent="0.25">
      <c r="A92" s="52"/>
      <c r="B92" s="9"/>
      <c r="C92" s="44" t="s">
        <v>169</v>
      </c>
      <c r="D92" s="44" t="s">
        <v>169</v>
      </c>
      <c r="E92" s="78">
        <v>1</v>
      </c>
      <c r="F92" s="9"/>
      <c r="G92" s="79">
        <f>SUM(H90:H91)</f>
        <v>0</v>
      </c>
      <c r="H92" s="29">
        <f>ROUND(E92*G92,2)</f>
        <v>0</v>
      </c>
    </row>
    <row r="93" spans="1:8" ht="20.100000000000001" hidden="1" customHeight="1" outlineLevel="1" x14ac:dyDescent="0.25">
      <c r="A93" s="60"/>
      <c r="B93" s="12"/>
      <c r="C93" s="45"/>
      <c r="D93" s="45"/>
      <c r="E93" s="34"/>
      <c r="F93" s="12"/>
      <c r="G93" s="34"/>
      <c r="H93" s="30"/>
    </row>
    <row r="94" spans="1:8" ht="20.100000000000001" hidden="1" customHeight="1" outlineLevel="1" x14ac:dyDescent="0.25">
      <c r="A94" s="52"/>
      <c r="B94" s="9"/>
      <c r="C94" s="44" t="s">
        <v>170</v>
      </c>
      <c r="D94" s="44"/>
      <c r="E94" s="78">
        <v>1</v>
      </c>
      <c r="F94" s="9"/>
      <c r="G94" s="79">
        <f>H40+H50+H89</f>
        <v>0</v>
      </c>
      <c r="H94" s="29">
        <f>ROUND(E94*G94,2)</f>
        <v>0</v>
      </c>
    </row>
    <row r="95" spans="1:8" ht="20.100000000000001" hidden="1" customHeight="1" outlineLevel="1" x14ac:dyDescent="0.25">
      <c r="A95" s="60"/>
      <c r="B95" s="12"/>
      <c r="C95" s="45"/>
      <c r="D95" s="45"/>
      <c r="E95" s="34"/>
      <c r="F95" s="12"/>
      <c r="G95" s="34"/>
      <c r="H95" s="30"/>
    </row>
    <row r="96" spans="1:8" ht="20.100000000000001" hidden="1" customHeight="1" outlineLevel="1" x14ac:dyDescent="0.25">
      <c r="A96" s="61" t="s">
        <v>171</v>
      </c>
      <c r="B96" s="17" t="s">
        <v>9</v>
      </c>
      <c r="C96" s="46" t="s">
        <v>172</v>
      </c>
      <c r="D96" s="46" t="s">
        <v>1152</v>
      </c>
      <c r="E96" s="80">
        <f>E166</f>
        <v>1</v>
      </c>
      <c r="F96" s="17" t="s">
        <v>65</v>
      </c>
      <c r="G96" s="80">
        <f>G166</f>
        <v>0</v>
      </c>
      <c r="H96" s="31">
        <f>H166</f>
        <v>0</v>
      </c>
    </row>
    <row r="97" spans="1:8" ht="20.100000000000001" hidden="1" customHeight="1" outlineLevel="1" x14ac:dyDescent="0.25">
      <c r="A97" s="62" t="s">
        <v>173</v>
      </c>
      <c r="B97" s="7" t="s">
        <v>9</v>
      </c>
      <c r="C97" s="47" t="s">
        <v>88</v>
      </c>
      <c r="D97" s="47" t="s">
        <v>1150</v>
      </c>
      <c r="E97" s="81">
        <f>E157</f>
        <v>1</v>
      </c>
      <c r="F97" s="7" t="s">
        <v>10</v>
      </c>
      <c r="G97" s="81">
        <f>G157</f>
        <v>0</v>
      </c>
      <c r="H97" s="21">
        <f>H157</f>
        <v>0</v>
      </c>
    </row>
    <row r="98" spans="1:8" ht="20.100000000000001" hidden="1" customHeight="1" outlineLevel="1" x14ac:dyDescent="0.25">
      <c r="A98" s="59" t="s">
        <v>174</v>
      </c>
      <c r="B98" s="3" t="s">
        <v>17</v>
      </c>
      <c r="C98" s="43" t="s">
        <v>128</v>
      </c>
      <c r="D98" s="43" t="s">
        <v>1087</v>
      </c>
      <c r="E98" s="78">
        <v>2.4500000000000002</v>
      </c>
      <c r="F98" s="3" t="s">
        <v>54</v>
      </c>
      <c r="G98" s="78"/>
      <c r="H98" s="20"/>
    </row>
    <row r="99" spans="1:8" ht="20.100000000000001" hidden="1" customHeight="1" outlineLevel="1" x14ac:dyDescent="0.25">
      <c r="A99" s="59" t="s">
        <v>175</v>
      </c>
      <c r="B99" s="3" t="s">
        <v>17</v>
      </c>
      <c r="C99" s="43" t="s">
        <v>176</v>
      </c>
      <c r="D99" s="43" t="s">
        <v>1106</v>
      </c>
      <c r="E99" s="78">
        <v>4.66</v>
      </c>
      <c r="F99" s="3" t="s">
        <v>54</v>
      </c>
      <c r="G99" s="78"/>
      <c r="H99" s="20"/>
    </row>
    <row r="100" spans="1:8" ht="20.100000000000001" hidden="1" customHeight="1" outlineLevel="1" x14ac:dyDescent="0.25">
      <c r="A100" s="59" t="s">
        <v>177</v>
      </c>
      <c r="B100" s="3" t="s">
        <v>17</v>
      </c>
      <c r="C100" s="43" t="s">
        <v>130</v>
      </c>
      <c r="D100" s="43" t="s">
        <v>1088</v>
      </c>
      <c r="E100" s="78">
        <v>0.96</v>
      </c>
      <c r="F100" s="3" t="s">
        <v>54</v>
      </c>
      <c r="G100" s="78"/>
      <c r="H100" s="20"/>
    </row>
    <row r="101" spans="1:8" ht="20.100000000000001" hidden="1" customHeight="1" outlineLevel="1" x14ac:dyDescent="0.25">
      <c r="A101" s="59" t="s">
        <v>178</v>
      </c>
      <c r="B101" s="3" t="s">
        <v>17</v>
      </c>
      <c r="C101" s="43" t="s">
        <v>132</v>
      </c>
      <c r="D101" s="43" t="s">
        <v>1089</v>
      </c>
      <c r="E101" s="78">
        <v>1.44</v>
      </c>
      <c r="F101" s="3" t="s">
        <v>54</v>
      </c>
      <c r="G101" s="78"/>
      <c r="H101" s="20"/>
    </row>
    <row r="102" spans="1:8" ht="20.100000000000001" hidden="1" customHeight="1" outlineLevel="1" x14ac:dyDescent="0.25">
      <c r="A102" s="59" t="s">
        <v>179</v>
      </c>
      <c r="B102" s="3" t="s">
        <v>17</v>
      </c>
      <c r="C102" s="43" t="s">
        <v>134</v>
      </c>
      <c r="D102" s="43" t="s">
        <v>1090</v>
      </c>
      <c r="E102" s="78">
        <v>1.2</v>
      </c>
      <c r="F102" s="3" t="s">
        <v>54</v>
      </c>
      <c r="G102" s="78"/>
      <c r="H102" s="20"/>
    </row>
    <row r="103" spans="1:8" ht="20.100000000000001" hidden="1" customHeight="1" outlineLevel="1" x14ac:dyDescent="0.25">
      <c r="A103" s="59" t="s">
        <v>180</v>
      </c>
      <c r="B103" s="3" t="s">
        <v>17</v>
      </c>
      <c r="C103" s="43" t="s">
        <v>136</v>
      </c>
      <c r="D103" s="43" t="s">
        <v>1091</v>
      </c>
      <c r="E103" s="78">
        <v>1.75</v>
      </c>
      <c r="F103" s="3" t="s">
        <v>54</v>
      </c>
      <c r="G103" s="78"/>
      <c r="H103" s="20"/>
    </row>
    <row r="104" spans="1:8" ht="20.100000000000001" hidden="1" customHeight="1" outlineLevel="1" x14ac:dyDescent="0.25">
      <c r="A104" s="59" t="s">
        <v>181</v>
      </c>
      <c r="B104" s="3" t="s">
        <v>17</v>
      </c>
      <c r="C104" s="43" t="s">
        <v>138</v>
      </c>
      <c r="D104" s="43" t="s">
        <v>1092</v>
      </c>
      <c r="E104" s="78">
        <v>0.6</v>
      </c>
      <c r="F104" s="3" t="s">
        <v>54</v>
      </c>
      <c r="G104" s="78"/>
      <c r="H104" s="20"/>
    </row>
    <row r="105" spans="1:8" ht="20.100000000000001" hidden="1" customHeight="1" outlineLevel="1" x14ac:dyDescent="0.25">
      <c r="A105" s="59" t="s">
        <v>182</v>
      </c>
      <c r="B105" s="3" t="s">
        <v>17</v>
      </c>
      <c r="C105" s="43" t="s">
        <v>140</v>
      </c>
      <c r="D105" s="43" t="s">
        <v>1093</v>
      </c>
      <c r="E105" s="78">
        <v>1.2</v>
      </c>
      <c r="F105" s="3" t="s">
        <v>54</v>
      </c>
      <c r="G105" s="78"/>
      <c r="H105" s="20"/>
    </row>
    <row r="106" spans="1:8" ht="20.100000000000001" hidden="1" customHeight="1" outlineLevel="1" x14ac:dyDescent="0.25">
      <c r="A106" s="59" t="s">
        <v>183</v>
      </c>
      <c r="B106" s="3" t="s">
        <v>17</v>
      </c>
      <c r="C106" s="43" t="s">
        <v>142</v>
      </c>
      <c r="D106" s="43" t="s">
        <v>1094</v>
      </c>
      <c r="E106" s="78">
        <v>4.96</v>
      </c>
      <c r="F106" s="3" t="s">
        <v>54</v>
      </c>
      <c r="G106" s="78"/>
      <c r="H106" s="20"/>
    </row>
    <row r="107" spans="1:8" ht="20.100000000000001" hidden="1" customHeight="1" outlineLevel="1" x14ac:dyDescent="0.25">
      <c r="A107" s="59" t="s">
        <v>184</v>
      </c>
      <c r="B107" s="3" t="s">
        <v>17</v>
      </c>
      <c r="C107" s="43" t="s">
        <v>144</v>
      </c>
      <c r="D107" s="43" t="s">
        <v>1095</v>
      </c>
      <c r="E107" s="78">
        <v>5.76</v>
      </c>
      <c r="F107" s="3" t="s">
        <v>54</v>
      </c>
      <c r="G107" s="78"/>
      <c r="H107" s="20"/>
    </row>
    <row r="108" spans="1:8" ht="20.100000000000001" hidden="1" customHeight="1" outlineLevel="1" x14ac:dyDescent="0.25">
      <c r="A108" s="59" t="s">
        <v>185</v>
      </c>
      <c r="B108" s="3" t="s">
        <v>17</v>
      </c>
      <c r="C108" s="43" t="s">
        <v>146</v>
      </c>
      <c r="D108" s="43" t="s">
        <v>1096</v>
      </c>
      <c r="E108" s="78">
        <v>2.4</v>
      </c>
      <c r="F108" s="3" t="s">
        <v>54</v>
      </c>
      <c r="G108" s="78"/>
      <c r="H108" s="20"/>
    </row>
    <row r="109" spans="1:8" ht="39.950000000000003" hidden="1" customHeight="1" outlineLevel="1" x14ac:dyDescent="0.25">
      <c r="A109" s="59" t="s">
        <v>186</v>
      </c>
      <c r="B109" s="3" t="s">
        <v>17</v>
      </c>
      <c r="C109" s="43" t="s">
        <v>148</v>
      </c>
      <c r="D109" s="43" t="s">
        <v>1097</v>
      </c>
      <c r="E109" s="78">
        <v>5.2</v>
      </c>
      <c r="F109" s="3" t="s">
        <v>54</v>
      </c>
      <c r="G109" s="78"/>
      <c r="H109" s="20"/>
    </row>
    <row r="110" spans="1:8" ht="20.100000000000001" hidden="1" customHeight="1" outlineLevel="1" x14ac:dyDescent="0.25">
      <c r="A110" s="59" t="s">
        <v>187</v>
      </c>
      <c r="B110" s="3" t="s">
        <v>17</v>
      </c>
      <c r="C110" s="43" t="s">
        <v>150</v>
      </c>
      <c r="D110" s="43" t="s">
        <v>1098</v>
      </c>
      <c r="E110" s="78">
        <v>2.16</v>
      </c>
      <c r="F110" s="3" t="s">
        <v>54</v>
      </c>
      <c r="G110" s="78"/>
      <c r="H110" s="20"/>
    </row>
    <row r="111" spans="1:8" ht="20.100000000000001" hidden="1" customHeight="1" outlineLevel="1" x14ac:dyDescent="0.25">
      <c r="A111" s="59" t="s">
        <v>188</v>
      </c>
      <c r="B111" s="3" t="s">
        <v>17</v>
      </c>
      <c r="C111" s="43" t="s">
        <v>152</v>
      </c>
      <c r="D111" s="43" t="s">
        <v>1099</v>
      </c>
      <c r="E111" s="78">
        <v>1.2</v>
      </c>
      <c r="F111" s="3" t="s">
        <v>54</v>
      </c>
      <c r="G111" s="78"/>
      <c r="H111" s="20"/>
    </row>
    <row r="112" spans="1:8" ht="20.100000000000001" hidden="1" customHeight="1" outlineLevel="1" x14ac:dyDescent="0.25">
      <c r="A112" s="59" t="s">
        <v>189</v>
      </c>
      <c r="B112" s="3" t="s">
        <v>17</v>
      </c>
      <c r="C112" s="43" t="s">
        <v>155</v>
      </c>
      <c r="D112" s="43" t="s">
        <v>1100</v>
      </c>
      <c r="E112" s="78">
        <v>49.15</v>
      </c>
      <c r="F112" s="3" t="s">
        <v>154</v>
      </c>
      <c r="G112" s="78"/>
      <c r="H112" s="20"/>
    </row>
    <row r="113" spans="1:8" ht="20.100000000000001" hidden="1" customHeight="1" outlineLevel="1" x14ac:dyDescent="0.25">
      <c r="A113" s="59" t="s">
        <v>190</v>
      </c>
      <c r="B113" s="3" t="s">
        <v>17</v>
      </c>
      <c r="C113" s="43" t="s">
        <v>191</v>
      </c>
      <c r="D113" s="43" t="s">
        <v>1107</v>
      </c>
      <c r="E113" s="78">
        <v>0.94</v>
      </c>
      <c r="F113" s="3" t="s">
        <v>54</v>
      </c>
      <c r="G113" s="78"/>
      <c r="H113" s="20"/>
    </row>
    <row r="114" spans="1:8" ht="20.100000000000001" hidden="1" customHeight="1" outlineLevel="1" x14ac:dyDescent="0.25">
      <c r="A114" s="59" t="s">
        <v>192</v>
      </c>
      <c r="B114" s="3" t="s">
        <v>17</v>
      </c>
      <c r="C114" s="43" t="s">
        <v>193</v>
      </c>
      <c r="D114" s="43" t="s">
        <v>1108</v>
      </c>
      <c r="E114" s="78">
        <v>1.72</v>
      </c>
      <c r="F114" s="3" t="s">
        <v>54</v>
      </c>
      <c r="G114" s="78"/>
      <c r="H114" s="20"/>
    </row>
    <row r="115" spans="1:8" ht="20.100000000000001" hidden="1" customHeight="1" outlineLevel="1" x14ac:dyDescent="0.25">
      <c r="A115" s="59" t="s">
        <v>194</v>
      </c>
      <c r="B115" s="3" t="s">
        <v>17</v>
      </c>
      <c r="C115" s="43" t="s">
        <v>195</v>
      </c>
      <c r="D115" s="43" t="s">
        <v>1109</v>
      </c>
      <c r="E115" s="78">
        <v>1.72</v>
      </c>
      <c r="F115" s="3" t="s">
        <v>54</v>
      </c>
      <c r="G115" s="78"/>
      <c r="H115" s="20"/>
    </row>
    <row r="116" spans="1:8" ht="20.100000000000001" hidden="1" customHeight="1" outlineLevel="1" x14ac:dyDescent="0.25">
      <c r="A116" s="59" t="s">
        <v>196</v>
      </c>
      <c r="B116" s="3" t="s">
        <v>17</v>
      </c>
      <c r="C116" s="43" t="s">
        <v>197</v>
      </c>
      <c r="D116" s="43" t="s">
        <v>1110</v>
      </c>
      <c r="E116" s="78">
        <v>0.69</v>
      </c>
      <c r="F116" s="3" t="s">
        <v>54</v>
      </c>
      <c r="G116" s="78"/>
      <c r="H116" s="20"/>
    </row>
    <row r="117" spans="1:8" ht="20.100000000000001" hidden="1" customHeight="1" outlineLevel="1" x14ac:dyDescent="0.25">
      <c r="A117" s="59" t="s">
        <v>198</v>
      </c>
      <c r="B117" s="3" t="s">
        <v>17</v>
      </c>
      <c r="C117" s="43" t="s">
        <v>199</v>
      </c>
      <c r="D117" s="43" t="s">
        <v>1111</v>
      </c>
      <c r="E117" s="78">
        <v>1.36</v>
      </c>
      <c r="F117" s="3" t="s">
        <v>54</v>
      </c>
      <c r="G117" s="78"/>
      <c r="H117" s="20"/>
    </row>
    <row r="118" spans="1:8" ht="20.100000000000001" hidden="1" customHeight="1" outlineLevel="1" x14ac:dyDescent="0.25">
      <c r="A118" s="59" t="s">
        <v>200</v>
      </c>
      <c r="B118" s="3" t="s">
        <v>17</v>
      </c>
      <c r="C118" s="43" t="s">
        <v>201</v>
      </c>
      <c r="D118" s="43" t="s">
        <v>1112</v>
      </c>
      <c r="E118" s="78">
        <v>0.99</v>
      </c>
      <c r="F118" s="3" t="s">
        <v>54</v>
      </c>
      <c r="G118" s="78"/>
      <c r="H118" s="20"/>
    </row>
    <row r="119" spans="1:8" ht="20.100000000000001" hidden="1" customHeight="1" outlineLevel="1" x14ac:dyDescent="0.25">
      <c r="A119" s="59" t="s">
        <v>202</v>
      </c>
      <c r="B119" s="3" t="s">
        <v>17</v>
      </c>
      <c r="C119" s="43" t="s">
        <v>203</v>
      </c>
      <c r="D119" s="43" t="s">
        <v>1113</v>
      </c>
      <c r="E119" s="78">
        <v>1.63</v>
      </c>
      <c r="F119" s="3" t="s">
        <v>54</v>
      </c>
      <c r="G119" s="78"/>
      <c r="H119" s="20"/>
    </row>
    <row r="120" spans="1:8" ht="20.100000000000001" hidden="1" customHeight="1" outlineLevel="1" x14ac:dyDescent="0.25">
      <c r="A120" s="59" t="s">
        <v>204</v>
      </c>
      <c r="B120" s="3" t="s">
        <v>17</v>
      </c>
      <c r="C120" s="43" t="s">
        <v>205</v>
      </c>
      <c r="D120" s="43" t="s">
        <v>1114</v>
      </c>
      <c r="E120" s="78">
        <v>1.63</v>
      </c>
      <c r="F120" s="3" t="s">
        <v>54</v>
      </c>
      <c r="G120" s="78"/>
      <c r="H120" s="20"/>
    </row>
    <row r="121" spans="1:8" ht="20.100000000000001" hidden="1" customHeight="1" outlineLevel="1" x14ac:dyDescent="0.25">
      <c r="A121" s="59" t="s">
        <v>206</v>
      </c>
      <c r="B121" s="3" t="s">
        <v>17</v>
      </c>
      <c r="C121" s="43" t="s">
        <v>207</v>
      </c>
      <c r="D121" s="43" t="s">
        <v>1115</v>
      </c>
      <c r="E121" s="78">
        <v>1.91</v>
      </c>
      <c r="F121" s="3" t="s">
        <v>54</v>
      </c>
      <c r="G121" s="78"/>
      <c r="H121" s="20"/>
    </row>
    <row r="122" spans="1:8" ht="20.100000000000001" hidden="1" customHeight="1" outlineLevel="1" x14ac:dyDescent="0.25">
      <c r="A122" s="59" t="s">
        <v>208</v>
      </c>
      <c r="B122" s="3" t="s">
        <v>17</v>
      </c>
      <c r="C122" s="43" t="s">
        <v>209</v>
      </c>
      <c r="D122" s="43" t="s">
        <v>1116</v>
      </c>
      <c r="E122" s="78">
        <v>0.7</v>
      </c>
      <c r="F122" s="3" t="s">
        <v>54</v>
      </c>
      <c r="G122" s="78"/>
      <c r="H122" s="20"/>
    </row>
    <row r="123" spans="1:8" ht="20.100000000000001" hidden="1" customHeight="1" outlineLevel="1" x14ac:dyDescent="0.25">
      <c r="A123" s="59" t="s">
        <v>210</v>
      </c>
      <c r="B123" s="3" t="s">
        <v>17</v>
      </c>
      <c r="C123" s="43" t="s">
        <v>211</v>
      </c>
      <c r="D123" s="43" t="s">
        <v>1117</v>
      </c>
      <c r="E123" s="78">
        <v>1.1399999999999999</v>
      </c>
      <c r="F123" s="3" t="s">
        <v>54</v>
      </c>
      <c r="G123" s="78"/>
      <c r="H123" s="20"/>
    </row>
    <row r="124" spans="1:8" ht="20.100000000000001" hidden="1" customHeight="1" outlineLevel="1" x14ac:dyDescent="0.25">
      <c r="A124" s="59" t="s">
        <v>212</v>
      </c>
      <c r="B124" s="3" t="s">
        <v>17</v>
      </c>
      <c r="C124" s="43" t="s">
        <v>213</v>
      </c>
      <c r="D124" s="43" t="s">
        <v>1118</v>
      </c>
      <c r="E124" s="78">
        <v>1.1100000000000001</v>
      </c>
      <c r="F124" s="3" t="s">
        <v>54</v>
      </c>
      <c r="G124" s="78"/>
      <c r="H124" s="20"/>
    </row>
    <row r="125" spans="1:8" ht="20.100000000000001" hidden="1" customHeight="1" outlineLevel="1" x14ac:dyDescent="0.25">
      <c r="A125" s="59" t="s">
        <v>214</v>
      </c>
      <c r="B125" s="3" t="s">
        <v>17</v>
      </c>
      <c r="C125" s="43" t="s">
        <v>215</v>
      </c>
      <c r="D125" s="43" t="s">
        <v>1119</v>
      </c>
      <c r="E125" s="78">
        <v>0.79</v>
      </c>
      <c r="F125" s="3" t="s">
        <v>54</v>
      </c>
      <c r="G125" s="78"/>
      <c r="H125" s="20"/>
    </row>
    <row r="126" spans="1:8" ht="20.100000000000001" hidden="1" customHeight="1" outlineLevel="1" x14ac:dyDescent="0.25">
      <c r="A126" s="59" t="s">
        <v>216</v>
      </c>
      <c r="B126" s="3" t="s">
        <v>17</v>
      </c>
      <c r="C126" s="43" t="s">
        <v>217</v>
      </c>
      <c r="D126" s="43" t="s">
        <v>1120</v>
      </c>
      <c r="E126" s="78">
        <v>1.83</v>
      </c>
      <c r="F126" s="3" t="s">
        <v>54</v>
      </c>
      <c r="G126" s="78"/>
      <c r="H126" s="20"/>
    </row>
    <row r="127" spans="1:8" ht="20.100000000000001" hidden="1" customHeight="1" outlineLevel="1" x14ac:dyDescent="0.25">
      <c r="A127" s="59" t="s">
        <v>218</v>
      </c>
      <c r="B127" s="3" t="s">
        <v>17</v>
      </c>
      <c r="C127" s="43" t="s">
        <v>219</v>
      </c>
      <c r="D127" s="43" t="s">
        <v>1121</v>
      </c>
      <c r="E127" s="78">
        <v>1.1599999999999999</v>
      </c>
      <c r="F127" s="3" t="s">
        <v>54</v>
      </c>
      <c r="G127" s="78"/>
      <c r="H127" s="20"/>
    </row>
    <row r="128" spans="1:8" ht="20.100000000000001" hidden="1" customHeight="1" outlineLevel="1" x14ac:dyDescent="0.25">
      <c r="A128" s="59" t="s">
        <v>220</v>
      </c>
      <c r="B128" s="3" t="s">
        <v>17</v>
      </c>
      <c r="C128" s="43" t="s">
        <v>221</v>
      </c>
      <c r="D128" s="43" t="s">
        <v>1122</v>
      </c>
      <c r="E128" s="78">
        <v>2.58</v>
      </c>
      <c r="F128" s="3" t="s">
        <v>54</v>
      </c>
      <c r="G128" s="78"/>
      <c r="H128" s="20"/>
    </row>
    <row r="129" spans="1:8" ht="20.100000000000001" hidden="1" customHeight="1" outlineLevel="1" x14ac:dyDescent="0.25">
      <c r="A129" s="59" t="s">
        <v>222</v>
      </c>
      <c r="B129" s="3" t="s">
        <v>17</v>
      </c>
      <c r="C129" s="43" t="s">
        <v>223</v>
      </c>
      <c r="D129" s="43" t="s">
        <v>1123</v>
      </c>
      <c r="E129" s="78">
        <v>1.77</v>
      </c>
      <c r="F129" s="3" t="s">
        <v>54</v>
      </c>
      <c r="G129" s="78"/>
      <c r="H129" s="20"/>
    </row>
    <row r="130" spans="1:8" ht="20.100000000000001" hidden="1" customHeight="1" outlineLevel="1" x14ac:dyDescent="0.25">
      <c r="A130" s="59" t="s">
        <v>224</v>
      </c>
      <c r="B130" s="3" t="s">
        <v>17</v>
      </c>
      <c r="C130" s="43" t="s">
        <v>225</v>
      </c>
      <c r="D130" s="43" t="s">
        <v>1124</v>
      </c>
      <c r="E130" s="78">
        <v>1.32</v>
      </c>
      <c r="F130" s="3" t="s">
        <v>54</v>
      </c>
      <c r="G130" s="78"/>
      <c r="H130" s="20"/>
    </row>
    <row r="131" spans="1:8" ht="20.100000000000001" hidden="1" customHeight="1" outlineLevel="1" x14ac:dyDescent="0.25">
      <c r="A131" s="59" t="s">
        <v>226</v>
      </c>
      <c r="B131" s="3" t="s">
        <v>17</v>
      </c>
      <c r="C131" s="43" t="s">
        <v>227</v>
      </c>
      <c r="D131" s="43" t="s">
        <v>1125</v>
      </c>
      <c r="E131" s="78">
        <v>2.88</v>
      </c>
      <c r="F131" s="3" t="s">
        <v>54</v>
      </c>
      <c r="G131" s="78"/>
      <c r="H131" s="20"/>
    </row>
    <row r="132" spans="1:8" ht="20.100000000000001" hidden="1" customHeight="1" outlineLevel="1" x14ac:dyDescent="0.25">
      <c r="A132" s="59" t="s">
        <v>228</v>
      </c>
      <c r="B132" s="3" t="s">
        <v>17</v>
      </c>
      <c r="C132" s="43" t="s">
        <v>229</v>
      </c>
      <c r="D132" s="43" t="s">
        <v>1126</v>
      </c>
      <c r="E132" s="78">
        <v>1.34</v>
      </c>
      <c r="F132" s="3" t="s">
        <v>54</v>
      </c>
      <c r="G132" s="78"/>
      <c r="H132" s="20"/>
    </row>
    <row r="133" spans="1:8" ht="20.100000000000001" hidden="1" customHeight="1" outlineLevel="1" x14ac:dyDescent="0.25">
      <c r="A133" s="59" t="s">
        <v>230</v>
      </c>
      <c r="B133" s="3" t="s">
        <v>17</v>
      </c>
      <c r="C133" s="43" t="s">
        <v>231</v>
      </c>
      <c r="D133" s="43" t="s">
        <v>1127</v>
      </c>
      <c r="E133" s="78">
        <v>4.53</v>
      </c>
      <c r="F133" s="3" t="s">
        <v>54</v>
      </c>
      <c r="G133" s="78"/>
      <c r="H133" s="20"/>
    </row>
    <row r="134" spans="1:8" ht="20.100000000000001" hidden="1" customHeight="1" outlineLevel="1" x14ac:dyDescent="0.25">
      <c r="A134" s="59" t="s">
        <v>232</v>
      </c>
      <c r="B134" s="3" t="s">
        <v>17</v>
      </c>
      <c r="C134" s="43" t="s">
        <v>233</v>
      </c>
      <c r="D134" s="43" t="s">
        <v>1128</v>
      </c>
      <c r="E134" s="78">
        <v>1.39</v>
      </c>
      <c r="F134" s="3" t="s">
        <v>54</v>
      </c>
      <c r="G134" s="78"/>
      <c r="H134" s="20"/>
    </row>
    <row r="135" spans="1:8" ht="20.100000000000001" hidden="1" customHeight="1" outlineLevel="1" x14ac:dyDescent="0.25">
      <c r="A135" s="59" t="s">
        <v>234</v>
      </c>
      <c r="B135" s="3" t="s">
        <v>17</v>
      </c>
      <c r="C135" s="43" t="s">
        <v>235</v>
      </c>
      <c r="D135" s="43" t="s">
        <v>1129</v>
      </c>
      <c r="E135" s="78">
        <v>0.87</v>
      </c>
      <c r="F135" s="3" t="s">
        <v>54</v>
      </c>
      <c r="G135" s="78"/>
      <c r="H135" s="20"/>
    </row>
    <row r="136" spans="1:8" ht="20.100000000000001" hidden="1" customHeight="1" outlineLevel="1" x14ac:dyDescent="0.25">
      <c r="A136" s="59" t="s">
        <v>236</v>
      </c>
      <c r="B136" s="3" t="s">
        <v>17</v>
      </c>
      <c r="C136" s="43" t="s">
        <v>237</v>
      </c>
      <c r="D136" s="43" t="s">
        <v>1130</v>
      </c>
      <c r="E136" s="78">
        <v>0.96</v>
      </c>
      <c r="F136" s="3" t="s">
        <v>54</v>
      </c>
      <c r="G136" s="78"/>
      <c r="H136" s="20"/>
    </row>
    <row r="137" spans="1:8" ht="20.100000000000001" hidden="1" customHeight="1" outlineLevel="1" x14ac:dyDescent="0.25">
      <c r="A137" s="59" t="s">
        <v>238</v>
      </c>
      <c r="B137" s="3" t="s">
        <v>17</v>
      </c>
      <c r="C137" s="43" t="s">
        <v>239</v>
      </c>
      <c r="D137" s="43" t="s">
        <v>1131</v>
      </c>
      <c r="E137" s="78">
        <v>0.87</v>
      </c>
      <c r="F137" s="3" t="s">
        <v>54</v>
      </c>
      <c r="G137" s="78"/>
      <c r="H137" s="20"/>
    </row>
    <row r="138" spans="1:8" ht="20.100000000000001" hidden="1" customHeight="1" outlineLevel="1" x14ac:dyDescent="0.25">
      <c r="A138" s="59" t="s">
        <v>240</v>
      </c>
      <c r="B138" s="3" t="s">
        <v>17</v>
      </c>
      <c r="C138" s="43" t="s">
        <v>241</v>
      </c>
      <c r="D138" s="43" t="s">
        <v>1132</v>
      </c>
      <c r="E138" s="78">
        <v>0.87</v>
      </c>
      <c r="F138" s="3" t="s">
        <v>54</v>
      </c>
      <c r="G138" s="78"/>
      <c r="H138" s="20"/>
    </row>
    <row r="139" spans="1:8" ht="20.100000000000001" hidden="1" customHeight="1" outlineLevel="1" x14ac:dyDescent="0.25">
      <c r="A139" s="59" t="s">
        <v>242</v>
      </c>
      <c r="B139" s="3" t="s">
        <v>17</v>
      </c>
      <c r="C139" s="43" t="s">
        <v>243</v>
      </c>
      <c r="D139" s="43" t="s">
        <v>1133</v>
      </c>
      <c r="E139" s="78">
        <v>1.23</v>
      </c>
      <c r="F139" s="3" t="s">
        <v>54</v>
      </c>
      <c r="G139" s="78"/>
      <c r="H139" s="20"/>
    </row>
    <row r="140" spans="1:8" ht="20.100000000000001" hidden="1" customHeight="1" outlineLevel="1" x14ac:dyDescent="0.25">
      <c r="A140" s="59" t="s">
        <v>244</v>
      </c>
      <c r="B140" s="3" t="s">
        <v>17</v>
      </c>
      <c r="C140" s="43" t="s">
        <v>245</v>
      </c>
      <c r="D140" s="43" t="s">
        <v>1134</v>
      </c>
      <c r="E140" s="78">
        <v>3.02</v>
      </c>
      <c r="F140" s="3" t="s">
        <v>54</v>
      </c>
      <c r="G140" s="78"/>
      <c r="H140" s="20"/>
    </row>
    <row r="141" spans="1:8" ht="20.100000000000001" hidden="1" customHeight="1" outlineLevel="1" x14ac:dyDescent="0.25">
      <c r="A141" s="59" t="s">
        <v>246</v>
      </c>
      <c r="B141" s="3" t="s">
        <v>17</v>
      </c>
      <c r="C141" s="43" t="s">
        <v>247</v>
      </c>
      <c r="D141" s="43" t="s">
        <v>1135</v>
      </c>
      <c r="E141" s="78">
        <v>2.97</v>
      </c>
      <c r="F141" s="3" t="s">
        <v>54</v>
      </c>
      <c r="G141" s="78"/>
      <c r="H141" s="20"/>
    </row>
    <row r="142" spans="1:8" ht="20.100000000000001" hidden="1" customHeight="1" outlineLevel="1" x14ac:dyDescent="0.25">
      <c r="A142" s="59" t="s">
        <v>248</v>
      </c>
      <c r="B142" s="3" t="s">
        <v>17</v>
      </c>
      <c r="C142" s="43" t="s">
        <v>249</v>
      </c>
      <c r="D142" s="43" t="s">
        <v>1136</v>
      </c>
      <c r="E142" s="78">
        <v>2.97</v>
      </c>
      <c r="F142" s="3" t="s">
        <v>54</v>
      </c>
      <c r="G142" s="78"/>
      <c r="H142" s="20"/>
    </row>
    <row r="143" spans="1:8" ht="20.100000000000001" hidden="1" customHeight="1" outlineLevel="1" x14ac:dyDescent="0.25">
      <c r="A143" s="59" t="s">
        <v>250</v>
      </c>
      <c r="B143" s="3" t="s">
        <v>17</v>
      </c>
      <c r="C143" s="43" t="s">
        <v>251</v>
      </c>
      <c r="D143" s="43" t="s">
        <v>1139</v>
      </c>
      <c r="E143" s="78">
        <v>11.33</v>
      </c>
      <c r="F143" s="3" t="s">
        <v>54</v>
      </c>
      <c r="G143" s="78"/>
      <c r="H143" s="20"/>
    </row>
    <row r="144" spans="1:8" ht="20.100000000000001" hidden="1" customHeight="1" outlineLevel="1" x14ac:dyDescent="0.25">
      <c r="A144" s="59" t="s">
        <v>252</v>
      </c>
      <c r="B144" s="3" t="s">
        <v>17</v>
      </c>
      <c r="C144" s="43" t="s">
        <v>253</v>
      </c>
      <c r="D144" s="43" t="s">
        <v>1140</v>
      </c>
      <c r="E144" s="78">
        <v>2.12</v>
      </c>
      <c r="F144" s="3" t="s">
        <v>54</v>
      </c>
      <c r="G144" s="78"/>
      <c r="H144" s="20"/>
    </row>
    <row r="145" spans="1:8" ht="20.100000000000001" hidden="1" customHeight="1" outlineLevel="1" x14ac:dyDescent="0.25">
      <c r="A145" s="59" t="s">
        <v>254</v>
      </c>
      <c r="B145" s="3" t="s">
        <v>17</v>
      </c>
      <c r="C145" s="43" t="s">
        <v>255</v>
      </c>
      <c r="D145" s="43" t="s">
        <v>1138</v>
      </c>
      <c r="E145" s="78">
        <v>0.49</v>
      </c>
      <c r="F145" s="3" t="s">
        <v>54</v>
      </c>
      <c r="G145" s="78"/>
      <c r="H145" s="20"/>
    </row>
    <row r="146" spans="1:8" ht="20.100000000000001" hidden="1" customHeight="1" outlineLevel="1" x14ac:dyDescent="0.25">
      <c r="A146" s="59" t="s">
        <v>256</v>
      </c>
      <c r="B146" s="3" t="s">
        <v>17</v>
      </c>
      <c r="C146" s="43" t="s">
        <v>257</v>
      </c>
      <c r="D146" s="43" t="s">
        <v>1137</v>
      </c>
      <c r="E146" s="78">
        <v>1.18</v>
      </c>
      <c r="F146" s="3" t="s">
        <v>54</v>
      </c>
      <c r="G146" s="78"/>
      <c r="H146" s="20"/>
    </row>
    <row r="147" spans="1:8" ht="20.100000000000001" hidden="1" customHeight="1" outlineLevel="1" x14ac:dyDescent="0.25">
      <c r="A147" s="59" t="s">
        <v>258</v>
      </c>
      <c r="B147" s="3" t="s">
        <v>17</v>
      </c>
      <c r="C147" s="43" t="s">
        <v>259</v>
      </c>
      <c r="D147" s="43" t="s">
        <v>1141</v>
      </c>
      <c r="E147" s="78">
        <v>4.72</v>
      </c>
      <c r="F147" s="3" t="s">
        <v>54</v>
      </c>
      <c r="G147" s="78"/>
      <c r="H147" s="20"/>
    </row>
    <row r="148" spans="1:8" ht="20.100000000000001" hidden="1" customHeight="1" outlineLevel="1" x14ac:dyDescent="0.25">
      <c r="A148" s="59" t="s">
        <v>260</v>
      </c>
      <c r="B148" s="3" t="s">
        <v>17</v>
      </c>
      <c r="C148" s="43" t="s">
        <v>261</v>
      </c>
      <c r="D148" s="43" t="s">
        <v>1142</v>
      </c>
      <c r="E148" s="78">
        <v>0.79</v>
      </c>
      <c r="F148" s="3" t="s">
        <v>54</v>
      </c>
      <c r="G148" s="78"/>
      <c r="H148" s="20"/>
    </row>
    <row r="149" spans="1:8" ht="20.100000000000001" hidden="1" customHeight="1" outlineLevel="1" x14ac:dyDescent="0.25">
      <c r="A149" s="59" t="s">
        <v>262</v>
      </c>
      <c r="B149" s="3" t="s">
        <v>17</v>
      </c>
      <c r="C149" s="43" t="s">
        <v>263</v>
      </c>
      <c r="D149" s="43" t="s">
        <v>1143</v>
      </c>
      <c r="E149" s="78">
        <v>43.39</v>
      </c>
      <c r="F149" s="3" t="s">
        <v>54</v>
      </c>
      <c r="G149" s="78"/>
      <c r="H149" s="20"/>
    </row>
    <row r="150" spans="1:8" ht="39.950000000000003" hidden="1" customHeight="1" outlineLevel="1" x14ac:dyDescent="0.25">
      <c r="A150" s="59" t="s">
        <v>264</v>
      </c>
      <c r="B150" s="3" t="s">
        <v>17</v>
      </c>
      <c r="C150" s="43" t="s">
        <v>265</v>
      </c>
      <c r="D150" s="43" t="s">
        <v>1144</v>
      </c>
      <c r="E150" s="78">
        <v>32.35</v>
      </c>
      <c r="F150" s="3" t="s">
        <v>54</v>
      </c>
      <c r="G150" s="78"/>
      <c r="H150" s="20"/>
    </row>
    <row r="151" spans="1:8" ht="20.100000000000001" hidden="1" customHeight="1" outlineLevel="1" x14ac:dyDescent="0.25">
      <c r="A151" s="59" t="s">
        <v>266</v>
      </c>
      <c r="B151" s="3" t="s">
        <v>17</v>
      </c>
      <c r="C151" s="43" t="s">
        <v>267</v>
      </c>
      <c r="D151" s="43" t="s">
        <v>1145</v>
      </c>
      <c r="E151" s="78">
        <v>140.03</v>
      </c>
      <c r="F151" s="3" t="s">
        <v>35</v>
      </c>
      <c r="G151" s="78"/>
      <c r="H151" s="20"/>
    </row>
    <row r="152" spans="1:8" ht="39.950000000000003" hidden="1" customHeight="1" outlineLevel="1" x14ac:dyDescent="0.25">
      <c r="A152" s="59" t="s">
        <v>268</v>
      </c>
      <c r="B152" s="3" t="s">
        <v>17</v>
      </c>
      <c r="C152" s="43" t="s">
        <v>269</v>
      </c>
      <c r="D152" s="43" t="s">
        <v>1146</v>
      </c>
      <c r="E152" s="78">
        <v>2.35</v>
      </c>
      <c r="F152" s="3" t="s">
        <v>48</v>
      </c>
      <c r="G152" s="78"/>
      <c r="H152" s="20"/>
    </row>
    <row r="153" spans="1:8" s="4" customFormat="1" ht="20.100000000000001" hidden="1" customHeight="1" outlineLevel="1" x14ac:dyDescent="0.25">
      <c r="A153" s="59" t="s">
        <v>270</v>
      </c>
      <c r="B153" s="3" t="s">
        <v>17</v>
      </c>
      <c r="C153" s="43" t="s">
        <v>271</v>
      </c>
      <c r="D153" s="43" t="s">
        <v>1147</v>
      </c>
      <c r="E153" s="78">
        <v>26.7</v>
      </c>
      <c r="F153" s="3" t="s">
        <v>29</v>
      </c>
      <c r="G153" s="78"/>
      <c r="H153" s="20"/>
    </row>
    <row r="154" spans="1:8" s="4" customFormat="1" ht="20.100000000000001" hidden="1" customHeight="1" outlineLevel="1" x14ac:dyDescent="0.25">
      <c r="A154" s="59" t="s">
        <v>272</v>
      </c>
      <c r="B154" s="3" t="s">
        <v>17</v>
      </c>
      <c r="C154" s="43" t="s">
        <v>273</v>
      </c>
      <c r="D154" s="43" t="s">
        <v>1148</v>
      </c>
      <c r="E154" s="78">
        <v>15.5</v>
      </c>
      <c r="F154" s="3" t="s">
        <v>29</v>
      </c>
      <c r="G154" s="78"/>
      <c r="H154" s="20"/>
    </row>
    <row r="155" spans="1:8" s="4" customFormat="1" ht="20.100000000000001" hidden="1" customHeight="1" outlineLevel="1" x14ac:dyDescent="0.25">
      <c r="A155" s="59" t="s">
        <v>274</v>
      </c>
      <c r="B155" s="3" t="s">
        <v>17</v>
      </c>
      <c r="C155" s="43" t="s">
        <v>275</v>
      </c>
      <c r="D155" s="43" t="s">
        <v>1458</v>
      </c>
      <c r="E155" s="78">
        <v>2.88</v>
      </c>
      <c r="F155" s="3" t="s">
        <v>54</v>
      </c>
      <c r="G155" s="78"/>
      <c r="H155" s="20"/>
    </row>
    <row r="156" spans="1:8" s="4" customFormat="1" ht="39.950000000000003" hidden="1" customHeight="1" outlineLevel="1" x14ac:dyDescent="0.25">
      <c r="A156" s="59" t="s">
        <v>276</v>
      </c>
      <c r="B156" s="3" t="s">
        <v>17</v>
      </c>
      <c r="C156" s="43" t="s">
        <v>278</v>
      </c>
      <c r="D156" s="43" t="s">
        <v>1149</v>
      </c>
      <c r="E156" s="78">
        <v>23.4</v>
      </c>
      <c r="F156" s="3" t="s">
        <v>277</v>
      </c>
      <c r="G156" s="78"/>
      <c r="H156" s="20"/>
    </row>
    <row r="157" spans="1:8" ht="20.100000000000001" hidden="1" customHeight="1" outlineLevel="1" x14ac:dyDescent="0.25">
      <c r="A157" s="52"/>
      <c r="B157" s="9"/>
      <c r="C157" s="44" t="s">
        <v>279</v>
      </c>
      <c r="D157" s="44" t="s">
        <v>279</v>
      </c>
      <c r="E157" s="78">
        <v>1</v>
      </c>
      <c r="F157" s="9"/>
      <c r="G157" s="79">
        <f>SUM(H98:H156)</f>
        <v>0</v>
      </c>
      <c r="H157" s="29">
        <f>ROUND(E157*G157,2)</f>
        <v>0</v>
      </c>
    </row>
    <row r="158" spans="1:8" ht="20.100000000000001" hidden="1" customHeight="1" outlineLevel="1" x14ac:dyDescent="0.25">
      <c r="A158" s="60"/>
      <c r="B158" s="12"/>
      <c r="C158" s="45"/>
      <c r="D158" s="45"/>
      <c r="E158" s="34"/>
      <c r="F158" s="12"/>
      <c r="G158" s="34"/>
      <c r="H158" s="30"/>
    </row>
    <row r="159" spans="1:8" ht="20.100000000000001" hidden="1" customHeight="1" outlineLevel="1" x14ac:dyDescent="0.25">
      <c r="A159" s="62" t="s">
        <v>280</v>
      </c>
      <c r="B159" s="7" t="s">
        <v>9</v>
      </c>
      <c r="C159" s="47" t="s">
        <v>164</v>
      </c>
      <c r="D159" s="47" t="s">
        <v>1151</v>
      </c>
      <c r="E159" s="81">
        <f>E164</f>
        <v>1</v>
      </c>
      <c r="F159" s="7" t="s">
        <v>10</v>
      </c>
      <c r="G159" s="81">
        <f>G164</f>
        <v>0</v>
      </c>
      <c r="H159" s="21">
        <f>H164</f>
        <v>0</v>
      </c>
    </row>
    <row r="160" spans="1:8" ht="20.100000000000001" hidden="1" customHeight="1" outlineLevel="1" x14ac:dyDescent="0.25">
      <c r="A160" s="59" t="s">
        <v>281</v>
      </c>
      <c r="B160" s="3" t="s">
        <v>17</v>
      </c>
      <c r="C160" s="43" t="s">
        <v>282</v>
      </c>
      <c r="D160" s="43" t="s">
        <v>1153</v>
      </c>
      <c r="E160" s="78">
        <v>570.39</v>
      </c>
      <c r="F160" s="3" t="s">
        <v>18</v>
      </c>
      <c r="G160" s="78"/>
      <c r="H160" s="20"/>
    </row>
    <row r="161" spans="1:8" ht="20.100000000000001" hidden="1" customHeight="1" outlineLevel="1" x14ac:dyDescent="0.25">
      <c r="A161" s="59" t="s">
        <v>283</v>
      </c>
      <c r="B161" s="3" t="s">
        <v>17</v>
      </c>
      <c r="C161" s="43" t="s">
        <v>284</v>
      </c>
      <c r="D161" s="43" t="s">
        <v>1154</v>
      </c>
      <c r="E161" s="78">
        <v>96.57</v>
      </c>
      <c r="F161" s="3" t="s">
        <v>18</v>
      </c>
      <c r="G161" s="78"/>
      <c r="H161" s="20"/>
    </row>
    <row r="162" spans="1:8" ht="20.100000000000001" hidden="1" customHeight="1" outlineLevel="1" x14ac:dyDescent="0.25">
      <c r="A162" s="59" t="s">
        <v>285</v>
      </c>
      <c r="B162" s="3" t="s">
        <v>17</v>
      </c>
      <c r="C162" s="43" t="s">
        <v>286</v>
      </c>
      <c r="D162" s="43" t="s">
        <v>1155</v>
      </c>
      <c r="E162" s="78">
        <v>64.3</v>
      </c>
      <c r="F162" s="3" t="s">
        <v>18</v>
      </c>
      <c r="G162" s="78"/>
      <c r="H162" s="20"/>
    </row>
    <row r="163" spans="1:8" ht="20.100000000000001" hidden="1" customHeight="1" outlineLevel="1" x14ac:dyDescent="0.25">
      <c r="A163" s="59" t="s">
        <v>287</v>
      </c>
      <c r="B163" s="3" t="s">
        <v>17</v>
      </c>
      <c r="C163" s="43" t="s">
        <v>288</v>
      </c>
      <c r="D163" s="43" t="s">
        <v>1156</v>
      </c>
      <c r="E163" s="78">
        <v>6.33</v>
      </c>
      <c r="F163" s="3" t="s">
        <v>18</v>
      </c>
      <c r="G163" s="78"/>
      <c r="H163" s="20"/>
    </row>
    <row r="164" spans="1:8" ht="20.100000000000001" hidden="1" customHeight="1" outlineLevel="1" x14ac:dyDescent="0.25">
      <c r="A164" s="52"/>
      <c r="B164" s="9"/>
      <c r="C164" s="44" t="s">
        <v>289</v>
      </c>
      <c r="D164" s="44" t="s">
        <v>289</v>
      </c>
      <c r="E164" s="78">
        <v>1</v>
      </c>
      <c r="F164" s="9"/>
      <c r="G164" s="79">
        <f>SUM(H160:H163)</f>
        <v>0</v>
      </c>
      <c r="H164" s="29">
        <f>ROUND(E164*G164,2)</f>
        <v>0</v>
      </c>
    </row>
    <row r="165" spans="1:8" ht="20.100000000000001" hidden="1" customHeight="1" outlineLevel="1" x14ac:dyDescent="0.25">
      <c r="A165" s="60"/>
      <c r="B165" s="12"/>
      <c r="C165" s="45"/>
      <c r="D165" s="45"/>
      <c r="E165" s="34"/>
      <c r="F165" s="12"/>
      <c r="G165" s="34"/>
      <c r="H165" s="30"/>
    </row>
    <row r="166" spans="1:8" ht="20.100000000000001" hidden="1" customHeight="1" outlineLevel="1" x14ac:dyDescent="0.25">
      <c r="A166" s="52"/>
      <c r="B166" s="9"/>
      <c r="C166" s="44" t="s">
        <v>290</v>
      </c>
      <c r="D166" s="44" t="s">
        <v>290</v>
      </c>
      <c r="E166" s="78">
        <v>1</v>
      </c>
      <c r="F166" s="9"/>
      <c r="G166" s="79">
        <f>H97+H159</f>
        <v>0</v>
      </c>
      <c r="H166" s="29">
        <f>ROUND(E166*G166,2)</f>
        <v>0</v>
      </c>
    </row>
    <row r="167" spans="1:8" ht="20.100000000000001" hidden="1" customHeight="1" outlineLevel="1" x14ac:dyDescent="0.25">
      <c r="A167" s="60"/>
      <c r="B167" s="12"/>
      <c r="C167" s="45"/>
      <c r="D167" s="45"/>
      <c r="E167" s="34"/>
      <c r="F167" s="12"/>
      <c r="G167" s="34"/>
      <c r="H167" s="30"/>
    </row>
    <row r="168" spans="1:8" ht="20.100000000000001" hidden="1" customHeight="1" outlineLevel="1" x14ac:dyDescent="0.25">
      <c r="A168" s="61" t="s">
        <v>291</v>
      </c>
      <c r="B168" s="17" t="s">
        <v>9</v>
      </c>
      <c r="C168" s="46" t="s">
        <v>292</v>
      </c>
      <c r="D168" s="46" t="s">
        <v>1157</v>
      </c>
      <c r="E168" s="80">
        <f>E219</f>
        <v>1</v>
      </c>
      <c r="F168" s="17" t="s">
        <v>65</v>
      </c>
      <c r="G168" s="80">
        <f>G219</f>
        <v>0</v>
      </c>
      <c r="H168" s="31">
        <f>H219</f>
        <v>0</v>
      </c>
    </row>
    <row r="169" spans="1:8" ht="20.100000000000001" hidden="1" customHeight="1" outlineLevel="1" x14ac:dyDescent="0.25">
      <c r="A169" s="62" t="s">
        <v>293</v>
      </c>
      <c r="B169" s="7" t="s">
        <v>9</v>
      </c>
      <c r="C169" s="47" t="s">
        <v>88</v>
      </c>
      <c r="D169" s="47" t="s">
        <v>1150</v>
      </c>
      <c r="E169" s="81">
        <f>E209</f>
        <v>1</v>
      </c>
      <c r="F169" s="7" t="s">
        <v>10</v>
      </c>
      <c r="G169" s="81">
        <f>G209</f>
        <v>0</v>
      </c>
      <c r="H169" s="21">
        <f>H209</f>
        <v>0</v>
      </c>
    </row>
    <row r="170" spans="1:8" ht="20.100000000000001" hidden="1" customHeight="1" outlineLevel="1" x14ac:dyDescent="0.25">
      <c r="A170" s="59" t="s">
        <v>294</v>
      </c>
      <c r="B170" s="3" t="s">
        <v>17</v>
      </c>
      <c r="C170" s="43" t="s">
        <v>128</v>
      </c>
      <c r="D170" s="43" t="s">
        <v>1087</v>
      </c>
      <c r="E170" s="78">
        <v>1.81</v>
      </c>
      <c r="F170" s="3" t="s">
        <v>54</v>
      </c>
      <c r="G170" s="78"/>
      <c r="H170" s="20"/>
    </row>
    <row r="171" spans="1:8" ht="20.100000000000001" hidden="1" customHeight="1" outlineLevel="1" x14ac:dyDescent="0.25">
      <c r="A171" s="59" t="s">
        <v>295</v>
      </c>
      <c r="B171" s="3" t="s">
        <v>17</v>
      </c>
      <c r="C171" s="43" t="s">
        <v>134</v>
      </c>
      <c r="D171" s="43" t="s">
        <v>1090</v>
      </c>
      <c r="E171" s="78">
        <v>1.1100000000000001</v>
      </c>
      <c r="F171" s="3" t="s">
        <v>54</v>
      </c>
      <c r="G171" s="78"/>
      <c r="H171" s="20"/>
    </row>
    <row r="172" spans="1:8" ht="20.100000000000001" hidden="1" customHeight="1" outlineLevel="1" x14ac:dyDescent="0.25">
      <c r="A172" s="59" t="s">
        <v>296</v>
      </c>
      <c r="B172" s="3" t="s">
        <v>17</v>
      </c>
      <c r="C172" s="43" t="s">
        <v>136</v>
      </c>
      <c r="D172" s="43" t="s">
        <v>1091</v>
      </c>
      <c r="E172" s="78">
        <v>1.62</v>
      </c>
      <c r="F172" s="3" t="s">
        <v>54</v>
      </c>
      <c r="G172" s="78"/>
      <c r="H172" s="20"/>
    </row>
    <row r="173" spans="1:8" ht="20.100000000000001" hidden="1" customHeight="1" outlineLevel="1" x14ac:dyDescent="0.25">
      <c r="A173" s="59" t="s">
        <v>297</v>
      </c>
      <c r="B173" s="3" t="s">
        <v>17</v>
      </c>
      <c r="C173" s="43" t="s">
        <v>138</v>
      </c>
      <c r="D173" s="43" t="s">
        <v>1092</v>
      </c>
      <c r="E173" s="78">
        <v>0.56000000000000005</v>
      </c>
      <c r="F173" s="3" t="s">
        <v>54</v>
      </c>
      <c r="G173" s="78"/>
      <c r="H173" s="20"/>
    </row>
    <row r="174" spans="1:8" ht="20.100000000000001" hidden="1" customHeight="1" outlineLevel="1" x14ac:dyDescent="0.25">
      <c r="A174" s="59" t="s">
        <v>298</v>
      </c>
      <c r="B174" s="3" t="s">
        <v>17</v>
      </c>
      <c r="C174" s="43" t="s">
        <v>140</v>
      </c>
      <c r="D174" s="43" t="s">
        <v>1093</v>
      </c>
      <c r="E174" s="78">
        <v>1.1100000000000001</v>
      </c>
      <c r="F174" s="3" t="s">
        <v>54</v>
      </c>
      <c r="G174" s="78"/>
      <c r="H174" s="20"/>
    </row>
    <row r="175" spans="1:8" ht="20.100000000000001" hidden="1" customHeight="1" outlineLevel="1" x14ac:dyDescent="0.25">
      <c r="A175" s="59" t="s">
        <v>299</v>
      </c>
      <c r="B175" s="3" t="s">
        <v>17</v>
      </c>
      <c r="C175" s="43" t="s">
        <v>142</v>
      </c>
      <c r="D175" s="43" t="s">
        <v>1094</v>
      </c>
      <c r="E175" s="78">
        <v>3.7</v>
      </c>
      <c r="F175" s="3" t="s">
        <v>54</v>
      </c>
      <c r="G175" s="78"/>
      <c r="H175" s="20"/>
    </row>
    <row r="176" spans="1:8" ht="20.100000000000001" hidden="1" customHeight="1" outlineLevel="1" x14ac:dyDescent="0.25">
      <c r="A176" s="59" t="s">
        <v>300</v>
      </c>
      <c r="B176" s="3" t="s">
        <v>17</v>
      </c>
      <c r="C176" s="43" t="s">
        <v>144</v>
      </c>
      <c r="D176" s="43" t="s">
        <v>1095</v>
      </c>
      <c r="E176" s="78">
        <v>5.33</v>
      </c>
      <c r="F176" s="3" t="s">
        <v>54</v>
      </c>
      <c r="G176" s="78"/>
      <c r="H176" s="20"/>
    </row>
    <row r="177" spans="1:8" ht="20.100000000000001" hidden="1" customHeight="1" outlineLevel="1" x14ac:dyDescent="0.25">
      <c r="A177" s="59" t="s">
        <v>301</v>
      </c>
      <c r="B177" s="3" t="s">
        <v>17</v>
      </c>
      <c r="C177" s="43" t="s">
        <v>146</v>
      </c>
      <c r="D177" s="43" t="s">
        <v>1096</v>
      </c>
      <c r="E177" s="78">
        <v>2.2200000000000002</v>
      </c>
      <c r="F177" s="3" t="s">
        <v>54</v>
      </c>
      <c r="G177" s="78"/>
      <c r="H177" s="20"/>
    </row>
    <row r="178" spans="1:8" ht="39.950000000000003" hidden="1" customHeight="1" outlineLevel="1" x14ac:dyDescent="0.25">
      <c r="A178" s="59" t="s">
        <v>302</v>
      </c>
      <c r="B178" s="3" t="s">
        <v>17</v>
      </c>
      <c r="C178" s="43" t="s">
        <v>148</v>
      </c>
      <c r="D178" s="43" t="s">
        <v>1097</v>
      </c>
      <c r="E178" s="78">
        <v>7.02</v>
      </c>
      <c r="F178" s="3" t="s">
        <v>54</v>
      </c>
      <c r="G178" s="78"/>
      <c r="H178" s="20"/>
    </row>
    <row r="179" spans="1:8" ht="20.100000000000001" hidden="1" customHeight="1" outlineLevel="1" x14ac:dyDescent="0.25">
      <c r="A179" s="59" t="s">
        <v>303</v>
      </c>
      <c r="B179" s="3" t="s">
        <v>17</v>
      </c>
      <c r="C179" s="43" t="s">
        <v>150</v>
      </c>
      <c r="D179" s="43" t="s">
        <v>1098</v>
      </c>
      <c r="E179" s="78">
        <v>3.26</v>
      </c>
      <c r="F179" s="3" t="s">
        <v>54</v>
      </c>
      <c r="G179" s="78"/>
      <c r="H179" s="20"/>
    </row>
    <row r="180" spans="1:8" ht="20.100000000000001" hidden="1" customHeight="1" outlineLevel="1" x14ac:dyDescent="0.25">
      <c r="A180" s="59" t="s">
        <v>304</v>
      </c>
      <c r="B180" s="3" t="s">
        <v>17</v>
      </c>
      <c r="C180" s="43" t="s">
        <v>152</v>
      </c>
      <c r="D180" s="43" t="s">
        <v>1099</v>
      </c>
      <c r="E180" s="78">
        <v>1.81</v>
      </c>
      <c r="F180" s="3" t="s">
        <v>54</v>
      </c>
      <c r="G180" s="78"/>
      <c r="H180" s="20"/>
    </row>
    <row r="181" spans="1:8" ht="20.100000000000001" hidden="1" customHeight="1" outlineLevel="1" x14ac:dyDescent="0.25">
      <c r="A181" s="59" t="s">
        <v>305</v>
      </c>
      <c r="B181" s="3" t="s">
        <v>17</v>
      </c>
      <c r="C181" s="43" t="s">
        <v>155</v>
      </c>
      <c r="D181" s="43" t="s">
        <v>1100</v>
      </c>
      <c r="E181" s="78">
        <v>31.89</v>
      </c>
      <c r="F181" s="3" t="s">
        <v>154</v>
      </c>
      <c r="G181" s="78"/>
      <c r="H181" s="20"/>
    </row>
    <row r="182" spans="1:8" ht="20.100000000000001" hidden="1" customHeight="1" outlineLevel="1" x14ac:dyDescent="0.25">
      <c r="A182" s="59" t="s">
        <v>306</v>
      </c>
      <c r="B182" s="3" t="s">
        <v>17</v>
      </c>
      <c r="C182" s="43" t="s">
        <v>307</v>
      </c>
      <c r="D182" s="43" t="s">
        <v>1158</v>
      </c>
      <c r="E182" s="78">
        <v>0.98</v>
      </c>
      <c r="F182" s="3" t="s">
        <v>54</v>
      </c>
      <c r="G182" s="78"/>
      <c r="H182" s="20"/>
    </row>
    <row r="183" spans="1:8" ht="20.100000000000001" hidden="1" customHeight="1" outlineLevel="1" x14ac:dyDescent="0.25">
      <c r="A183" s="59" t="s">
        <v>308</v>
      </c>
      <c r="B183" s="3" t="s">
        <v>17</v>
      </c>
      <c r="C183" s="43" t="s">
        <v>309</v>
      </c>
      <c r="D183" s="43" t="s">
        <v>1162</v>
      </c>
      <c r="E183" s="78">
        <v>4.2</v>
      </c>
      <c r="F183" s="3" t="s">
        <v>54</v>
      </c>
      <c r="G183" s="78"/>
      <c r="H183" s="20"/>
    </row>
    <row r="184" spans="1:8" ht="20.100000000000001" hidden="1" customHeight="1" outlineLevel="1" x14ac:dyDescent="0.25">
      <c r="A184" s="59" t="s">
        <v>310</v>
      </c>
      <c r="B184" s="3" t="s">
        <v>17</v>
      </c>
      <c r="C184" s="43" t="s">
        <v>221</v>
      </c>
      <c r="D184" s="43" t="s">
        <v>1122</v>
      </c>
      <c r="E184" s="78">
        <v>1.67</v>
      </c>
      <c r="F184" s="3" t="s">
        <v>54</v>
      </c>
      <c r="G184" s="78"/>
      <c r="H184" s="20"/>
    </row>
    <row r="185" spans="1:8" ht="20.100000000000001" hidden="1" customHeight="1" outlineLevel="1" x14ac:dyDescent="0.25">
      <c r="A185" s="59" t="s">
        <v>311</v>
      </c>
      <c r="B185" s="3" t="s">
        <v>17</v>
      </c>
      <c r="C185" s="43" t="s">
        <v>312</v>
      </c>
      <c r="D185" s="43" t="s">
        <v>1163</v>
      </c>
      <c r="E185" s="78">
        <v>1.87</v>
      </c>
      <c r="F185" s="3" t="s">
        <v>54</v>
      </c>
      <c r="G185" s="78"/>
      <c r="H185" s="20"/>
    </row>
    <row r="186" spans="1:8" ht="20.100000000000001" hidden="1" customHeight="1" outlineLevel="1" x14ac:dyDescent="0.25">
      <c r="A186" s="59" t="s">
        <v>313</v>
      </c>
      <c r="B186" s="3" t="s">
        <v>17</v>
      </c>
      <c r="C186" s="43" t="s">
        <v>314</v>
      </c>
      <c r="D186" s="43" t="s">
        <v>1159</v>
      </c>
      <c r="E186" s="78">
        <v>2.79</v>
      </c>
      <c r="F186" s="3" t="s">
        <v>54</v>
      </c>
      <c r="G186" s="78"/>
      <c r="H186" s="20"/>
    </row>
    <row r="187" spans="1:8" ht="20.100000000000001" hidden="1" customHeight="1" outlineLevel="1" x14ac:dyDescent="0.25">
      <c r="A187" s="59" t="s">
        <v>315</v>
      </c>
      <c r="B187" s="3" t="s">
        <v>17</v>
      </c>
      <c r="C187" s="43" t="s">
        <v>225</v>
      </c>
      <c r="D187" s="43" t="s">
        <v>1164</v>
      </c>
      <c r="E187" s="78">
        <v>1.32</v>
      </c>
      <c r="F187" s="3" t="s">
        <v>54</v>
      </c>
      <c r="G187" s="78"/>
      <c r="H187" s="20"/>
    </row>
    <row r="188" spans="1:8" ht="20.100000000000001" hidden="1" customHeight="1" outlineLevel="1" x14ac:dyDescent="0.25">
      <c r="A188" s="59" t="s">
        <v>316</v>
      </c>
      <c r="B188" s="3" t="s">
        <v>17</v>
      </c>
      <c r="C188" s="43" t="s">
        <v>227</v>
      </c>
      <c r="D188" s="43" t="s">
        <v>1125</v>
      </c>
      <c r="E188" s="78">
        <v>2.88</v>
      </c>
      <c r="F188" s="3" t="s">
        <v>54</v>
      </c>
      <c r="G188" s="78"/>
      <c r="H188" s="20"/>
    </row>
    <row r="189" spans="1:8" ht="20.100000000000001" hidden="1" customHeight="1" outlineLevel="1" x14ac:dyDescent="0.25">
      <c r="A189" s="59" t="s">
        <v>317</v>
      </c>
      <c r="B189" s="3" t="s">
        <v>17</v>
      </c>
      <c r="C189" s="43" t="s">
        <v>318</v>
      </c>
      <c r="D189" s="43" t="s">
        <v>1160</v>
      </c>
      <c r="E189" s="78">
        <v>1.87</v>
      </c>
      <c r="F189" s="3" t="s">
        <v>54</v>
      </c>
      <c r="G189" s="78"/>
      <c r="H189" s="20"/>
    </row>
    <row r="190" spans="1:8" ht="20.100000000000001" hidden="1" customHeight="1" outlineLevel="1" x14ac:dyDescent="0.25">
      <c r="A190" s="59" t="s">
        <v>319</v>
      </c>
      <c r="B190" s="3" t="s">
        <v>17</v>
      </c>
      <c r="C190" s="43" t="s">
        <v>320</v>
      </c>
      <c r="D190" s="43" t="s">
        <v>1161</v>
      </c>
      <c r="E190" s="78">
        <v>1.43</v>
      </c>
      <c r="F190" s="3" t="s">
        <v>54</v>
      </c>
      <c r="G190" s="78"/>
      <c r="H190" s="20"/>
    </row>
    <row r="191" spans="1:8" ht="20.100000000000001" hidden="1" customHeight="1" outlineLevel="1" x14ac:dyDescent="0.25">
      <c r="A191" s="59" t="s">
        <v>321</v>
      </c>
      <c r="B191" s="3" t="s">
        <v>17</v>
      </c>
      <c r="C191" s="43" t="s">
        <v>322</v>
      </c>
      <c r="D191" s="43" t="s">
        <v>1165</v>
      </c>
      <c r="E191" s="78">
        <v>1.18</v>
      </c>
      <c r="F191" s="3" t="s">
        <v>54</v>
      </c>
      <c r="G191" s="78"/>
      <c r="H191" s="20"/>
    </row>
    <row r="192" spans="1:8" ht="20.100000000000001" hidden="1" customHeight="1" outlineLevel="1" x14ac:dyDescent="0.25">
      <c r="A192" s="59" t="s">
        <v>323</v>
      </c>
      <c r="B192" s="3" t="s">
        <v>17</v>
      </c>
      <c r="C192" s="43" t="s">
        <v>324</v>
      </c>
      <c r="D192" s="43" t="s">
        <v>1166</v>
      </c>
      <c r="E192" s="78">
        <v>4.6399999999999997</v>
      </c>
      <c r="F192" s="3" t="s">
        <v>54</v>
      </c>
      <c r="G192" s="78"/>
      <c r="H192" s="20"/>
    </row>
    <row r="193" spans="1:8" ht="20.100000000000001" hidden="1" customHeight="1" outlineLevel="1" x14ac:dyDescent="0.25">
      <c r="A193" s="59" t="s">
        <v>325</v>
      </c>
      <c r="B193" s="3" t="s">
        <v>17</v>
      </c>
      <c r="C193" s="43" t="s">
        <v>235</v>
      </c>
      <c r="D193" s="43" t="s">
        <v>1129</v>
      </c>
      <c r="E193" s="78">
        <v>0.87</v>
      </c>
      <c r="F193" s="3" t="s">
        <v>54</v>
      </c>
      <c r="G193" s="78"/>
      <c r="H193" s="20"/>
    </row>
    <row r="194" spans="1:8" ht="20.100000000000001" hidden="1" customHeight="1" outlineLevel="1" x14ac:dyDescent="0.25">
      <c r="A194" s="59" t="s">
        <v>326</v>
      </c>
      <c r="B194" s="3" t="s">
        <v>17</v>
      </c>
      <c r="C194" s="43" t="s">
        <v>237</v>
      </c>
      <c r="D194" s="43" t="s">
        <v>1130</v>
      </c>
      <c r="E194" s="78">
        <v>1.23</v>
      </c>
      <c r="F194" s="3" t="s">
        <v>54</v>
      </c>
      <c r="G194" s="78"/>
      <c r="H194" s="20"/>
    </row>
    <row r="195" spans="1:8" ht="20.100000000000001" hidden="1" customHeight="1" outlineLevel="1" x14ac:dyDescent="0.25">
      <c r="A195" s="59" t="s">
        <v>327</v>
      </c>
      <c r="B195" s="3" t="s">
        <v>17</v>
      </c>
      <c r="C195" s="43" t="s">
        <v>239</v>
      </c>
      <c r="D195" s="43" t="s">
        <v>1131</v>
      </c>
      <c r="E195" s="78">
        <v>0.87</v>
      </c>
      <c r="F195" s="3" t="s">
        <v>54</v>
      </c>
      <c r="G195" s="78"/>
      <c r="H195" s="20"/>
    </row>
    <row r="196" spans="1:8" ht="20.100000000000001" hidden="1" customHeight="1" outlineLevel="1" x14ac:dyDescent="0.25">
      <c r="A196" s="59" t="s">
        <v>328</v>
      </c>
      <c r="B196" s="3" t="s">
        <v>17</v>
      </c>
      <c r="C196" s="43" t="s">
        <v>243</v>
      </c>
      <c r="D196" s="43" t="s">
        <v>1133</v>
      </c>
      <c r="E196" s="78">
        <v>1.23</v>
      </c>
      <c r="F196" s="3" t="s">
        <v>54</v>
      </c>
      <c r="G196" s="78"/>
      <c r="H196" s="20"/>
    </row>
    <row r="197" spans="1:8" ht="20.100000000000001" hidden="1" customHeight="1" outlineLevel="1" x14ac:dyDescent="0.25">
      <c r="A197" s="59" t="s">
        <v>329</v>
      </c>
      <c r="B197" s="3" t="s">
        <v>17</v>
      </c>
      <c r="C197" s="43" t="s">
        <v>245</v>
      </c>
      <c r="D197" s="43" t="s">
        <v>1134</v>
      </c>
      <c r="E197" s="78">
        <v>3.02</v>
      </c>
      <c r="F197" s="3" t="s">
        <v>54</v>
      </c>
      <c r="G197" s="78"/>
      <c r="H197" s="20"/>
    </row>
    <row r="198" spans="1:8" ht="20.100000000000001" hidden="1" customHeight="1" outlineLevel="1" x14ac:dyDescent="0.25">
      <c r="A198" s="59" t="s">
        <v>330</v>
      </c>
      <c r="B198" s="3" t="s">
        <v>17</v>
      </c>
      <c r="C198" s="43" t="s">
        <v>331</v>
      </c>
      <c r="D198" s="43" t="s">
        <v>1167</v>
      </c>
      <c r="E198" s="78">
        <v>9</v>
      </c>
      <c r="F198" s="3" t="s">
        <v>54</v>
      </c>
      <c r="G198" s="78"/>
      <c r="H198" s="20"/>
    </row>
    <row r="199" spans="1:8" ht="20.100000000000001" hidden="1" customHeight="1" outlineLevel="1" x14ac:dyDescent="0.25">
      <c r="A199" s="59" t="s">
        <v>332</v>
      </c>
      <c r="B199" s="3" t="s">
        <v>17</v>
      </c>
      <c r="C199" s="43" t="s">
        <v>333</v>
      </c>
      <c r="D199" s="43" t="s">
        <v>1168</v>
      </c>
      <c r="E199" s="78">
        <v>4.75</v>
      </c>
      <c r="F199" s="3" t="s">
        <v>54</v>
      </c>
      <c r="G199" s="78"/>
      <c r="H199" s="20"/>
    </row>
    <row r="200" spans="1:8" ht="20.100000000000001" hidden="1" customHeight="1" outlineLevel="1" x14ac:dyDescent="0.25">
      <c r="A200" s="59" t="s">
        <v>334</v>
      </c>
      <c r="B200" s="3" t="s">
        <v>17</v>
      </c>
      <c r="C200" s="43" t="s">
        <v>251</v>
      </c>
      <c r="D200" s="43" t="s">
        <v>1139</v>
      </c>
      <c r="E200" s="78">
        <v>1.9</v>
      </c>
      <c r="F200" s="3" t="s">
        <v>54</v>
      </c>
      <c r="G200" s="78"/>
      <c r="H200" s="20"/>
    </row>
    <row r="201" spans="1:8" ht="20.100000000000001" hidden="1" customHeight="1" outlineLevel="1" x14ac:dyDescent="0.25">
      <c r="A201" s="59" t="s">
        <v>335</v>
      </c>
      <c r="B201" s="3" t="s">
        <v>17</v>
      </c>
      <c r="C201" s="43" t="s">
        <v>253</v>
      </c>
      <c r="D201" s="43" t="s">
        <v>1140</v>
      </c>
      <c r="E201" s="78">
        <v>2.39</v>
      </c>
      <c r="F201" s="3" t="s">
        <v>54</v>
      </c>
      <c r="G201" s="78"/>
      <c r="H201" s="20"/>
    </row>
    <row r="202" spans="1:8" ht="20.100000000000001" hidden="1" customHeight="1" outlineLevel="1" x14ac:dyDescent="0.25">
      <c r="A202" s="59" t="s">
        <v>336</v>
      </c>
      <c r="B202" s="3" t="s">
        <v>17</v>
      </c>
      <c r="C202" s="43" t="s">
        <v>255</v>
      </c>
      <c r="D202" s="43" t="s">
        <v>1138</v>
      </c>
      <c r="E202" s="78">
        <v>4.5199999999999996</v>
      </c>
      <c r="F202" s="3" t="s">
        <v>54</v>
      </c>
      <c r="G202" s="78"/>
      <c r="H202" s="20"/>
    </row>
    <row r="203" spans="1:8" ht="20.100000000000001" hidden="1" customHeight="1" outlineLevel="1" x14ac:dyDescent="0.25">
      <c r="A203" s="59" t="s">
        <v>337</v>
      </c>
      <c r="B203" s="3" t="s">
        <v>17</v>
      </c>
      <c r="C203" s="43" t="s">
        <v>257</v>
      </c>
      <c r="D203" s="43" t="s">
        <v>1137</v>
      </c>
      <c r="E203" s="78">
        <v>3.16</v>
      </c>
      <c r="F203" s="3" t="s">
        <v>54</v>
      </c>
      <c r="G203" s="78"/>
      <c r="H203" s="20"/>
    </row>
    <row r="204" spans="1:8" ht="20.100000000000001" hidden="1" customHeight="1" outlineLevel="1" x14ac:dyDescent="0.25">
      <c r="A204" s="59" t="s">
        <v>338</v>
      </c>
      <c r="B204" s="3" t="s">
        <v>17</v>
      </c>
      <c r="C204" s="43" t="s">
        <v>259</v>
      </c>
      <c r="D204" s="43" t="s">
        <v>1141</v>
      </c>
      <c r="E204" s="78">
        <v>0.77</v>
      </c>
      <c r="F204" s="3" t="s">
        <v>54</v>
      </c>
      <c r="G204" s="78"/>
      <c r="H204" s="20"/>
    </row>
    <row r="205" spans="1:8" ht="20.100000000000001" hidden="1" customHeight="1" outlineLevel="1" x14ac:dyDescent="0.25">
      <c r="A205" s="59" t="s">
        <v>339</v>
      </c>
      <c r="B205" s="3" t="s">
        <v>17</v>
      </c>
      <c r="C205" s="43" t="s">
        <v>261</v>
      </c>
      <c r="D205" s="43" t="s">
        <v>1142</v>
      </c>
      <c r="E205" s="78">
        <v>0.59</v>
      </c>
      <c r="F205" s="3" t="s">
        <v>54</v>
      </c>
      <c r="G205" s="78"/>
      <c r="H205" s="20"/>
    </row>
    <row r="206" spans="1:8" ht="20.100000000000001" hidden="1" customHeight="1" outlineLevel="1" x14ac:dyDescent="0.25">
      <c r="A206" s="59" t="s">
        <v>340</v>
      </c>
      <c r="B206" s="3" t="s">
        <v>17</v>
      </c>
      <c r="C206" s="43" t="s">
        <v>263</v>
      </c>
      <c r="D206" s="43" t="s">
        <v>1143</v>
      </c>
      <c r="E206" s="78">
        <v>7.85</v>
      </c>
      <c r="F206" s="3" t="s">
        <v>54</v>
      </c>
      <c r="G206" s="78"/>
      <c r="H206" s="20"/>
    </row>
    <row r="207" spans="1:8" s="4" customFormat="1" ht="39.950000000000003" hidden="1" customHeight="1" outlineLevel="1" x14ac:dyDescent="0.25">
      <c r="A207" s="59" t="s">
        <v>341</v>
      </c>
      <c r="B207" s="3" t="s">
        <v>17</v>
      </c>
      <c r="C207" s="43" t="s">
        <v>342</v>
      </c>
      <c r="D207" s="43" t="s">
        <v>1169</v>
      </c>
      <c r="E207" s="78">
        <v>6.03</v>
      </c>
      <c r="F207" s="3" t="s">
        <v>54</v>
      </c>
      <c r="G207" s="78"/>
      <c r="H207" s="20"/>
    </row>
    <row r="208" spans="1:8" ht="39.950000000000003" hidden="1" customHeight="1" outlineLevel="1" x14ac:dyDescent="0.25">
      <c r="A208" s="59" t="s">
        <v>343</v>
      </c>
      <c r="B208" s="3" t="s">
        <v>17</v>
      </c>
      <c r="C208" s="43" t="s">
        <v>265</v>
      </c>
      <c r="D208" s="43" t="s">
        <v>1144</v>
      </c>
      <c r="E208" s="78">
        <v>78.58</v>
      </c>
      <c r="F208" s="3" t="s">
        <v>54</v>
      </c>
      <c r="G208" s="78"/>
      <c r="H208" s="20"/>
    </row>
    <row r="209" spans="1:8" ht="20.100000000000001" hidden="1" customHeight="1" outlineLevel="1" x14ac:dyDescent="0.25">
      <c r="A209" s="52"/>
      <c r="B209" s="9"/>
      <c r="C209" s="44" t="s">
        <v>344</v>
      </c>
      <c r="D209" s="44" t="s">
        <v>344</v>
      </c>
      <c r="E209" s="78">
        <v>1</v>
      </c>
      <c r="F209" s="9"/>
      <c r="G209" s="79">
        <f>SUM(H170:H208)</f>
        <v>0</v>
      </c>
      <c r="H209" s="29">
        <f>ROUND(E209*G209,2)</f>
        <v>0</v>
      </c>
    </row>
    <row r="210" spans="1:8" ht="20.100000000000001" hidden="1" customHeight="1" outlineLevel="1" x14ac:dyDescent="0.25">
      <c r="A210" s="60"/>
      <c r="B210" s="12"/>
      <c r="C210" s="45"/>
      <c r="D210" s="45"/>
      <c r="E210" s="34"/>
      <c r="F210" s="12"/>
      <c r="G210" s="34"/>
      <c r="H210" s="30"/>
    </row>
    <row r="211" spans="1:8" ht="20.100000000000001" hidden="1" customHeight="1" outlineLevel="1" x14ac:dyDescent="0.25">
      <c r="A211" s="62" t="s">
        <v>345</v>
      </c>
      <c r="B211" s="7" t="s">
        <v>9</v>
      </c>
      <c r="C211" s="47" t="s">
        <v>164</v>
      </c>
      <c r="D211" s="47" t="s">
        <v>1151</v>
      </c>
      <c r="E211" s="81">
        <f>E217</f>
        <v>1</v>
      </c>
      <c r="F211" s="7" t="s">
        <v>10</v>
      </c>
      <c r="G211" s="81">
        <f>G217</f>
        <v>0</v>
      </c>
      <c r="H211" s="21">
        <f>H217</f>
        <v>0</v>
      </c>
    </row>
    <row r="212" spans="1:8" ht="20.100000000000001" hidden="1" customHeight="1" outlineLevel="1" x14ac:dyDescent="0.25">
      <c r="A212" s="59" t="s">
        <v>346</v>
      </c>
      <c r="B212" s="3" t="s">
        <v>17</v>
      </c>
      <c r="C212" s="43" t="s">
        <v>284</v>
      </c>
      <c r="D212" s="43" t="s">
        <v>1153</v>
      </c>
      <c r="E212" s="78">
        <v>108.78</v>
      </c>
      <c r="F212" s="3" t="s">
        <v>18</v>
      </c>
      <c r="G212" s="78"/>
      <c r="H212" s="20"/>
    </row>
    <row r="213" spans="1:8" ht="20.100000000000001" hidden="1" customHeight="1" outlineLevel="1" x14ac:dyDescent="0.25">
      <c r="A213" s="59" t="s">
        <v>347</v>
      </c>
      <c r="B213" s="3" t="s">
        <v>17</v>
      </c>
      <c r="C213" s="43" t="s">
        <v>282</v>
      </c>
      <c r="D213" s="43" t="s">
        <v>1154</v>
      </c>
      <c r="E213" s="78">
        <v>298.82</v>
      </c>
      <c r="F213" s="3" t="s">
        <v>18</v>
      </c>
      <c r="G213" s="78"/>
      <c r="H213" s="20"/>
    </row>
    <row r="214" spans="1:8" ht="20.100000000000001" hidden="1" customHeight="1" outlineLevel="1" x14ac:dyDescent="0.25">
      <c r="A214" s="59" t="s">
        <v>348</v>
      </c>
      <c r="B214" s="3" t="s">
        <v>17</v>
      </c>
      <c r="C214" s="43" t="s">
        <v>288</v>
      </c>
      <c r="D214" s="43" t="s">
        <v>1155</v>
      </c>
      <c r="E214" s="78">
        <v>10.8</v>
      </c>
      <c r="F214" s="3" t="s">
        <v>18</v>
      </c>
      <c r="G214" s="78"/>
      <c r="H214" s="20"/>
    </row>
    <row r="215" spans="1:8" ht="20.100000000000001" hidden="1" customHeight="1" outlineLevel="1" x14ac:dyDescent="0.25">
      <c r="A215" s="59" t="s">
        <v>349</v>
      </c>
      <c r="B215" s="3" t="s">
        <v>17</v>
      </c>
      <c r="C215" s="43" t="s">
        <v>286</v>
      </c>
      <c r="D215" s="43" t="s">
        <v>1156</v>
      </c>
      <c r="E215" s="78">
        <v>122.33</v>
      </c>
      <c r="F215" s="3" t="s">
        <v>18</v>
      </c>
      <c r="G215" s="78"/>
      <c r="H215" s="20"/>
    </row>
    <row r="216" spans="1:8" ht="20.100000000000001" hidden="1" customHeight="1" outlineLevel="1" x14ac:dyDescent="0.25">
      <c r="A216" s="59" t="s">
        <v>350</v>
      </c>
      <c r="B216" s="3" t="s">
        <v>17</v>
      </c>
      <c r="C216" s="43" t="s">
        <v>351</v>
      </c>
      <c r="D216" s="43" t="s">
        <v>1170</v>
      </c>
      <c r="E216" s="78">
        <v>13.92</v>
      </c>
      <c r="F216" s="3" t="s">
        <v>18</v>
      </c>
      <c r="G216" s="78"/>
      <c r="H216" s="20"/>
    </row>
    <row r="217" spans="1:8" ht="20.100000000000001" hidden="1" customHeight="1" outlineLevel="1" x14ac:dyDescent="0.25">
      <c r="A217" s="52"/>
      <c r="B217" s="9"/>
      <c r="C217" s="44" t="s">
        <v>352</v>
      </c>
      <c r="D217" s="44" t="s">
        <v>352</v>
      </c>
      <c r="E217" s="78">
        <v>1</v>
      </c>
      <c r="F217" s="9"/>
      <c r="G217" s="79">
        <f>SUM(H212:H216)</f>
        <v>0</v>
      </c>
      <c r="H217" s="29">
        <f>ROUND(E217*G217,2)</f>
        <v>0</v>
      </c>
    </row>
    <row r="218" spans="1:8" ht="20.100000000000001" hidden="1" customHeight="1" outlineLevel="1" x14ac:dyDescent="0.25">
      <c r="A218" s="60"/>
      <c r="B218" s="12"/>
      <c r="C218" s="45"/>
      <c r="D218" s="45"/>
      <c r="E218" s="34"/>
      <c r="F218" s="12"/>
      <c r="G218" s="34"/>
      <c r="H218" s="30"/>
    </row>
    <row r="219" spans="1:8" ht="20.100000000000001" hidden="1" customHeight="1" outlineLevel="1" x14ac:dyDescent="0.25">
      <c r="A219" s="52"/>
      <c r="B219" s="9"/>
      <c r="C219" s="44" t="s">
        <v>353</v>
      </c>
      <c r="D219" s="44" t="s">
        <v>353</v>
      </c>
      <c r="E219" s="78">
        <v>1</v>
      </c>
      <c r="F219" s="9"/>
      <c r="G219" s="79">
        <f>H169+H211</f>
        <v>0</v>
      </c>
      <c r="H219" s="29">
        <f>ROUND(E219*G219,2)</f>
        <v>0</v>
      </c>
    </row>
    <row r="220" spans="1:8" ht="20.100000000000001" hidden="1" customHeight="1" outlineLevel="1" x14ac:dyDescent="0.25">
      <c r="A220" s="60"/>
      <c r="B220" s="12"/>
      <c r="C220" s="45"/>
      <c r="D220" s="45"/>
      <c r="E220" s="34"/>
      <c r="F220" s="12"/>
      <c r="G220" s="34"/>
      <c r="H220" s="30"/>
    </row>
    <row r="221" spans="1:8" ht="20.100000000000001" hidden="1" customHeight="1" outlineLevel="1" x14ac:dyDescent="0.25">
      <c r="A221" s="52"/>
      <c r="B221" s="9"/>
      <c r="C221" s="44" t="s">
        <v>354</v>
      </c>
      <c r="D221" s="44" t="s">
        <v>354</v>
      </c>
      <c r="E221" s="78">
        <v>1</v>
      </c>
      <c r="F221" s="9"/>
      <c r="G221" s="79">
        <f>H39+H96+H168</f>
        <v>0</v>
      </c>
      <c r="H221" s="29">
        <f>ROUND(E221*G221,2)</f>
        <v>0</v>
      </c>
    </row>
    <row r="222" spans="1:8" ht="20.100000000000001" customHeight="1" collapsed="1" x14ac:dyDescent="0.25">
      <c r="A222" s="60"/>
      <c r="B222" s="12"/>
      <c r="C222" s="45"/>
      <c r="D222" s="45"/>
      <c r="E222" s="34"/>
      <c r="F222" s="12"/>
      <c r="G222" s="34"/>
      <c r="H222" s="30"/>
    </row>
    <row r="223" spans="1:8" ht="20.100000000000001" customHeight="1" x14ac:dyDescent="0.25">
      <c r="A223" s="58" t="s">
        <v>355</v>
      </c>
      <c r="B223" s="5" t="s">
        <v>9</v>
      </c>
      <c r="C223" s="42" t="s">
        <v>356</v>
      </c>
      <c r="D223" s="42" t="s">
        <v>1182</v>
      </c>
      <c r="E223" s="77">
        <f>E603</f>
        <v>1</v>
      </c>
      <c r="F223" s="5" t="s">
        <v>10</v>
      </c>
      <c r="G223" s="77">
        <f>G603</f>
        <v>571022.77</v>
      </c>
      <c r="H223" s="28">
        <f>H603</f>
        <v>571022.77</v>
      </c>
    </row>
    <row r="224" spans="1:8" ht="20.100000000000001" customHeight="1" x14ac:dyDescent="0.25">
      <c r="A224" s="61" t="s">
        <v>357</v>
      </c>
      <c r="B224" s="17" t="s">
        <v>9</v>
      </c>
      <c r="C224" s="46" t="s">
        <v>172</v>
      </c>
      <c r="D224" s="46" t="s">
        <v>1152</v>
      </c>
      <c r="E224" s="80">
        <f>E430</f>
        <v>1</v>
      </c>
      <c r="F224" s="17" t="s">
        <v>10</v>
      </c>
      <c r="G224" s="80">
        <f>G430</f>
        <v>253643.88</v>
      </c>
      <c r="H224" s="31">
        <f>H430</f>
        <v>253643.88</v>
      </c>
    </row>
    <row r="225" spans="1:8" ht="20.100000000000001" hidden="1" customHeight="1" outlineLevel="1" x14ac:dyDescent="0.25">
      <c r="A225" s="62" t="s">
        <v>358</v>
      </c>
      <c r="B225" s="7" t="s">
        <v>9</v>
      </c>
      <c r="C225" s="47" t="s">
        <v>359</v>
      </c>
      <c r="D225" s="47" t="s">
        <v>1183</v>
      </c>
      <c r="E225" s="81">
        <f>E237</f>
        <v>1</v>
      </c>
      <c r="F225" s="7" t="s">
        <v>10</v>
      </c>
      <c r="G225" s="81">
        <f>G237</f>
        <v>0</v>
      </c>
      <c r="H225" s="21">
        <f>H237</f>
        <v>0</v>
      </c>
    </row>
    <row r="226" spans="1:8" ht="39.950000000000003" hidden="1" customHeight="1" outlineLevel="1" x14ac:dyDescent="0.25">
      <c r="A226" s="59" t="s">
        <v>360</v>
      </c>
      <c r="B226" s="3" t="s">
        <v>17</v>
      </c>
      <c r="C226" s="43" t="s">
        <v>361</v>
      </c>
      <c r="D226" s="43" t="s">
        <v>1171</v>
      </c>
      <c r="E226" s="78">
        <v>1931.18</v>
      </c>
      <c r="F226" s="3" t="s">
        <v>277</v>
      </c>
      <c r="G226" s="78"/>
      <c r="H226" s="20"/>
    </row>
    <row r="227" spans="1:8" ht="20.100000000000001" hidden="1" customHeight="1" outlineLevel="1" x14ac:dyDescent="0.25">
      <c r="A227" s="59" t="s">
        <v>362</v>
      </c>
      <c r="B227" s="3" t="s">
        <v>17</v>
      </c>
      <c r="C227" s="43" t="s">
        <v>363</v>
      </c>
      <c r="D227" s="43" t="s">
        <v>1172</v>
      </c>
      <c r="E227" s="78">
        <v>148.80000000000001</v>
      </c>
      <c r="F227" s="3" t="s">
        <v>35</v>
      </c>
      <c r="G227" s="78"/>
      <c r="H227" s="20"/>
    </row>
    <row r="228" spans="1:8" ht="20.100000000000001" hidden="1" customHeight="1" outlineLevel="1" x14ac:dyDescent="0.25">
      <c r="A228" s="59" t="s">
        <v>364</v>
      </c>
      <c r="B228" s="3" t="s">
        <v>17</v>
      </c>
      <c r="C228" s="43" t="s">
        <v>365</v>
      </c>
      <c r="D228" s="43" t="s">
        <v>1173</v>
      </c>
      <c r="E228" s="78">
        <v>424.19</v>
      </c>
      <c r="F228" s="3" t="s">
        <v>277</v>
      </c>
      <c r="G228" s="78"/>
      <c r="H228" s="20"/>
    </row>
    <row r="229" spans="1:8" ht="20.100000000000001" hidden="1" customHeight="1" outlineLevel="1" x14ac:dyDescent="0.25">
      <c r="A229" s="59" t="s">
        <v>366</v>
      </c>
      <c r="B229" s="3" t="s">
        <v>17</v>
      </c>
      <c r="C229" s="43" t="s">
        <v>367</v>
      </c>
      <c r="D229" s="43" t="s">
        <v>1174</v>
      </c>
      <c r="E229" s="78">
        <v>148.80000000000001</v>
      </c>
      <c r="F229" s="3" t="s">
        <v>35</v>
      </c>
      <c r="G229" s="78"/>
      <c r="H229" s="20"/>
    </row>
    <row r="230" spans="1:8" ht="20.100000000000001" hidden="1" customHeight="1" outlineLevel="1" x14ac:dyDescent="0.25">
      <c r="A230" s="59" t="s">
        <v>368</v>
      </c>
      <c r="B230" s="3" t="s">
        <v>17</v>
      </c>
      <c r="C230" s="43" t="s">
        <v>369</v>
      </c>
      <c r="D230" s="43" t="s">
        <v>1175</v>
      </c>
      <c r="E230" s="78">
        <v>1156.26</v>
      </c>
      <c r="F230" s="3" t="s">
        <v>35</v>
      </c>
      <c r="G230" s="78"/>
      <c r="H230" s="20"/>
    </row>
    <row r="231" spans="1:8" ht="20.100000000000001" hidden="1" customHeight="1" outlineLevel="1" x14ac:dyDescent="0.25">
      <c r="A231" s="59" t="s">
        <v>370</v>
      </c>
      <c r="B231" s="3" t="s">
        <v>17</v>
      </c>
      <c r="C231" s="43" t="s">
        <v>371</v>
      </c>
      <c r="D231" s="43" t="s">
        <v>1176</v>
      </c>
      <c r="E231" s="78">
        <v>424.59</v>
      </c>
      <c r="F231" s="3" t="s">
        <v>35</v>
      </c>
      <c r="G231" s="78"/>
      <c r="H231" s="20"/>
    </row>
    <row r="232" spans="1:8" ht="20.100000000000001" hidden="1" customHeight="1" outlineLevel="1" x14ac:dyDescent="0.25">
      <c r="A232" s="59" t="s">
        <v>372</v>
      </c>
      <c r="B232" s="3" t="s">
        <v>17</v>
      </c>
      <c r="C232" s="43" t="s">
        <v>373</v>
      </c>
      <c r="D232" s="43" t="s">
        <v>1177</v>
      </c>
      <c r="E232" s="78">
        <v>167.84</v>
      </c>
      <c r="F232" s="3" t="s">
        <v>35</v>
      </c>
      <c r="G232" s="78"/>
      <c r="H232" s="20"/>
    </row>
    <row r="233" spans="1:8" ht="20.100000000000001" hidden="1" customHeight="1" outlineLevel="1" x14ac:dyDescent="0.25">
      <c r="A233" s="59" t="s">
        <v>374</v>
      </c>
      <c r="B233" s="3" t="s">
        <v>17</v>
      </c>
      <c r="C233" s="43" t="s">
        <v>375</v>
      </c>
      <c r="D233" s="43" t="s">
        <v>1178</v>
      </c>
      <c r="E233" s="78">
        <v>15.64</v>
      </c>
      <c r="F233" s="3" t="s">
        <v>35</v>
      </c>
      <c r="G233" s="78"/>
      <c r="H233" s="20"/>
    </row>
    <row r="234" spans="1:8" ht="20.100000000000001" hidden="1" customHeight="1" outlineLevel="1" x14ac:dyDescent="0.25">
      <c r="A234" s="59" t="s">
        <v>376</v>
      </c>
      <c r="B234" s="3" t="s">
        <v>17</v>
      </c>
      <c r="C234" s="43" t="s">
        <v>377</v>
      </c>
      <c r="D234" s="43" t="s">
        <v>1179</v>
      </c>
      <c r="E234" s="78">
        <v>1097.1199999999999</v>
      </c>
      <c r="F234" s="3" t="s">
        <v>277</v>
      </c>
      <c r="G234" s="78"/>
      <c r="H234" s="20"/>
    </row>
    <row r="235" spans="1:8" ht="20.100000000000001" hidden="1" customHeight="1" outlineLevel="1" x14ac:dyDescent="0.25">
      <c r="A235" s="59" t="s">
        <v>378</v>
      </c>
      <c r="B235" s="3" t="s">
        <v>17</v>
      </c>
      <c r="C235" s="43" t="s">
        <v>379</v>
      </c>
      <c r="D235" s="43" t="s">
        <v>1180</v>
      </c>
      <c r="E235" s="78">
        <v>534.69000000000005</v>
      </c>
      <c r="F235" s="3" t="s">
        <v>277</v>
      </c>
      <c r="G235" s="78"/>
      <c r="H235" s="20"/>
    </row>
    <row r="236" spans="1:8" ht="20.100000000000001" hidden="1" customHeight="1" outlineLevel="1" x14ac:dyDescent="0.25">
      <c r="A236" s="59" t="s">
        <v>380</v>
      </c>
      <c r="B236" s="3" t="s">
        <v>17</v>
      </c>
      <c r="C236" s="43" t="s">
        <v>381</v>
      </c>
      <c r="D236" s="43" t="s">
        <v>1181</v>
      </c>
      <c r="E236" s="78">
        <v>417.73</v>
      </c>
      <c r="F236" s="3" t="s">
        <v>35</v>
      </c>
      <c r="G236" s="78"/>
      <c r="H236" s="20"/>
    </row>
    <row r="237" spans="1:8" ht="20.100000000000001" hidden="1" customHeight="1" outlineLevel="1" x14ac:dyDescent="0.25">
      <c r="A237" s="52"/>
      <c r="B237" s="9"/>
      <c r="C237" s="44" t="s">
        <v>382</v>
      </c>
      <c r="D237" s="44" t="s">
        <v>382</v>
      </c>
      <c r="E237" s="78">
        <v>1</v>
      </c>
      <c r="F237" s="9"/>
      <c r="G237" s="79">
        <f>SUM(H226:H236)</f>
        <v>0</v>
      </c>
      <c r="H237" s="29">
        <f>ROUND(E237*G237,2)</f>
        <v>0</v>
      </c>
    </row>
    <row r="238" spans="1:8" ht="20.100000000000001" hidden="1" customHeight="1" outlineLevel="1" x14ac:dyDescent="0.25">
      <c r="A238" s="60"/>
      <c r="B238" s="12"/>
      <c r="C238" s="45"/>
      <c r="D238" s="45"/>
      <c r="E238" s="34"/>
      <c r="F238" s="12"/>
      <c r="G238" s="34"/>
      <c r="H238" s="30"/>
    </row>
    <row r="239" spans="1:8" ht="20.100000000000001" hidden="1" customHeight="1" outlineLevel="1" x14ac:dyDescent="0.25">
      <c r="A239" s="62" t="s">
        <v>383</v>
      </c>
      <c r="B239" s="7" t="s">
        <v>9</v>
      </c>
      <c r="C239" s="47" t="s">
        <v>384</v>
      </c>
      <c r="D239" s="47" t="s">
        <v>1184</v>
      </c>
      <c r="E239" s="81">
        <f>E250</f>
        <v>1</v>
      </c>
      <c r="F239" s="7" t="s">
        <v>10</v>
      </c>
      <c r="G239" s="81">
        <f>G250</f>
        <v>0</v>
      </c>
      <c r="H239" s="21">
        <f>H250</f>
        <v>0</v>
      </c>
    </row>
    <row r="240" spans="1:8" ht="20.100000000000001" hidden="1" customHeight="1" outlineLevel="1" x14ac:dyDescent="0.25">
      <c r="A240" s="59" t="s">
        <v>385</v>
      </c>
      <c r="B240" s="3" t="s">
        <v>17</v>
      </c>
      <c r="C240" s="43" t="s">
        <v>386</v>
      </c>
      <c r="D240" s="43" t="s">
        <v>1185</v>
      </c>
      <c r="E240" s="78">
        <v>644.92999999999995</v>
      </c>
      <c r="F240" s="3" t="s">
        <v>18</v>
      </c>
      <c r="G240" s="78"/>
      <c r="H240" s="20"/>
    </row>
    <row r="241" spans="1:8" ht="20.100000000000001" hidden="1" customHeight="1" outlineLevel="1" x14ac:dyDescent="0.25">
      <c r="A241" s="59" t="s">
        <v>387</v>
      </c>
      <c r="B241" s="3" t="s">
        <v>17</v>
      </c>
      <c r="C241" s="43" t="s">
        <v>388</v>
      </c>
      <c r="D241" s="43" t="s">
        <v>1194</v>
      </c>
      <c r="E241" s="78">
        <v>100.2</v>
      </c>
      <c r="F241" s="3" t="s">
        <v>18</v>
      </c>
      <c r="G241" s="78"/>
      <c r="H241" s="20"/>
    </row>
    <row r="242" spans="1:8" ht="20.100000000000001" hidden="1" customHeight="1" outlineLevel="1" x14ac:dyDescent="0.25">
      <c r="A242" s="59" t="s">
        <v>389</v>
      </c>
      <c r="B242" s="3" t="s">
        <v>17</v>
      </c>
      <c r="C242" s="43" t="s">
        <v>390</v>
      </c>
      <c r="D242" s="43" t="s">
        <v>1186</v>
      </c>
      <c r="E242" s="78">
        <v>70.150000000000006</v>
      </c>
      <c r="F242" s="3" t="s">
        <v>29</v>
      </c>
      <c r="G242" s="78"/>
      <c r="H242" s="20"/>
    </row>
    <row r="243" spans="1:8" ht="20.100000000000001" hidden="1" customHeight="1" outlineLevel="1" x14ac:dyDescent="0.25">
      <c r="A243" s="59" t="s">
        <v>391</v>
      </c>
      <c r="B243" s="3" t="s">
        <v>17</v>
      </c>
      <c r="C243" s="43" t="s">
        <v>392</v>
      </c>
      <c r="D243" s="43" t="s">
        <v>1190</v>
      </c>
      <c r="E243" s="78">
        <v>14.4</v>
      </c>
      <c r="F243" s="3" t="s">
        <v>29</v>
      </c>
      <c r="G243" s="78"/>
      <c r="H243" s="20"/>
    </row>
    <row r="244" spans="1:8" ht="20.100000000000001" hidden="1" customHeight="1" outlineLevel="1" x14ac:dyDescent="0.25">
      <c r="A244" s="59" t="s">
        <v>393</v>
      </c>
      <c r="B244" s="3" t="s">
        <v>17</v>
      </c>
      <c r="C244" s="43" t="s">
        <v>394</v>
      </c>
      <c r="D244" s="43" t="s">
        <v>1189</v>
      </c>
      <c r="E244" s="78">
        <v>42.16</v>
      </c>
      <c r="F244" s="3" t="s">
        <v>18</v>
      </c>
      <c r="G244" s="78"/>
      <c r="H244" s="20"/>
    </row>
    <row r="245" spans="1:8" ht="20.100000000000001" hidden="1" customHeight="1" outlineLevel="1" x14ac:dyDescent="0.25">
      <c r="A245" s="59" t="s">
        <v>395</v>
      </c>
      <c r="B245" s="3" t="s">
        <v>17</v>
      </c>
      <c r="C245" s="43" t="s">
        <v>396</v>
      </c>
      <c r="D245" s="43" t="s">
        <v>1188</v>
      </c>
      <c r="E245" s="78">
        <v>215.64</v>
      </c>
      <c r="F245" s="3" t="s">
        <v>18</v>
      </c>
      <c r="G245" s="78"/>
      <c r="H245" s="20"/>
    </row>
    <row r="246" spans="1:8" ht="20.100000000000001" hidden="1" customHeight="1" outlineLevel="1" x14ac:dyDescent="0.25">
      <c r="A246" s="59" t="s">
        <v>397</v>
      </c>
      <c r="B246" s="3" t="s">
        <v>17</v>
      </c>
      <c r="C246" s="43" t="s">
        <v>398</v>
      </c>
      <c r="D246" s="43" t="s">
        <v>1191</v>
      </c>
      <c r="E246" s="78">
        <v>58.83</v>
      </c>
      <c r="F246" s="3" t="s">
        <v>29</v>
      </c>
      <c r="G246" s="78"/>
      <c r="H246" s="20"/>
    </row>
    <row r="247" spans="1:8" ht="20.100000000000001" hidden="1" customHeight="1" outlineLevel="1" x14ac:dyDescent="0.25">
      <c r="A247" s="59" t="s">
        <v>399</v>
      </c>
      <c r="B247" s="3" t="s">
        <v>17</v>
      </c>
      <c r="C247" s="43" t="s">
        <v>400</v>
      </c>
      <c r="D247" s="43" t="s">
        <v>1192</v>
      </c>
      <c r="E247" s="78">
        <v>42.16</v>
      </c>
      <c r="F247" s="3" t="s">
        <v>18</v>
      </c>
      <c r="G247" s="78"/>
      <c r="H247" s="20"/>
    </row>
    <row r="248" spans="1:8" ht="20.100000000000001" hidden="1" customHeight="1" outlineLevel="1" x14ac:dyDescent="0.25">
      <c r="A248" s="59" t="s">
        <v>401</v>
      </c>
      <c r="B248" s="3" t="s">
        <v>17</v>
      </c>
      <c r="C248" s="43" t="s">
        <v>402</v>
      </c>
      <c r="D248" s="43" t="s">
        <v>1193</v>
      </c>
      <c r="E248" s="78">
        <v>215.16</v>
      </c>
      <c r="F248" s="3" t="s">
        <v>35</v>
      </c>
      <c r="G248" s="78"/>
      <c r="H248" s="20"/>
    </row>
    <row r="249" spans="1:8" ht="20.100000000000001" hidden="1" customHeight="1" outlineLevel="1" x14ac:dyDescent="0.25">
      <c r="A249" s="59" t="s">
        <v>403</v>
      </c>
      <c r="B249" s="3" t="s">
        <v>17</v>
      </c>
      <c r="C249" s="43" t="s">
        <v>404</v>
      </c>
      <c r="D249" s="43"/>
      <c r="E249" s="78">
        <v>48.32</v>
      </c>
      <c r="F249" s="3" t="s">
        <v>277</v>
      </c>
      <c r="G249" s="78"/>
      <c r="H249" s="20"/>
    </row>
    <row r="250" spans="1:8" ht="20.100000000000001" hidden="1" customHeight="1" outlineLevel="1" x14ac:dyDescent="0.25">
      <c r="A250" s="52"/>
      <c r="B250" s="9"/>
      <c r="C250" s="44" t="s">
        <v>405</v>
      </c>
      <c r="D250" s="44" t="s">
        <v>405</v>
      </c>
      <c r="E250" s="78">
        <v>1</v>
      </c>
      <c r="F250" s="9"/>
      <c r="G250" s="79">
        <f>SUM(H240:H249)</f>
        <v>0</v>
      </c>
      <c r="H250" s="29">
        <f>ROUND(E250*G250,2)</f>
        <v>0</v>
      </c>
    </row>
    <row r="251" spans="1:8" ht="20.100000000000001" hidden="1" customHeight="1" outlineLevel="1" x14ac:dyDescent="0.25">
      <c r="A251" s="60"/>
      <c r="B251" s="12"/>
      <c r="C251" s="45"/>
      <c r="D251" s="45"/>
      <c r="E251" s="34"/>
      <c r="F251" s="12"/>
      <c r="G251" s="34"/>
      <c r="H251" s="30"/>
    </row>
    <row r="252" spans="1:8" ht="20.100000000000001" customHeight="1" collapsed="1" x14ac:dyDescent="0.25">
      <c r="A252" s="62" t="s">
        <v>32</v>
      </c>
      <c r="B252" s="7" t="s">
        <v>9</v>
      </c>
      <c r="C252" s="47" t="s">
        <v>407</v>
      </c>
      <c r="D252" s="47" t="s">
        <v>1195</v>
      </c>
      <c r="E252" s="81">
        <f>E268</f>
        <v>1</v>
      </c>
      <c r="F252" s="7" t="s">
        <v>65</v>
      </c>
      <c r="G252" s="81">
        <f>G268</f>
        <v>31729.599999999999</v>
      </c>
      <c r="H252" s="21">
        <f>H268</f>
        <v>31729.599999999999</v>
      </c>
    </row>
    <row r="253" spans="1:8" ht="20.100000000000001" customHeight="1" x14ac:dyDescent="0.25">
      <c r="A253" s="63"/>
      <c r="B253" s="18" t="s">
        <v>9</v>
      </c>
      <c r="C253" s="48" t="s">
        <v>408</v>
      </c>
      <c r="D253" s="48" t="s">
        <v>1196</v>
      </c>
      <c r="E253" s="82">
        <f>E256</f>
        <v>1</v>
      </c>
      <c r="F253" s="18" t="s">
        <v>65</v>
      </c>
      <c r="G253" s="82">
        <f>G256</f>
        <v>607.24</v>
      </c>
      <c r="H253" s="32">
        <f>H256</f>
        <v>607.24</v>
      </c>
    </row>
    <row r="254" spans="1:8" ht="20.100000000000001" customHeight="1" x14ac:dyDescent="0.25">
      <c r="A254" s="59" t="s">
        <v>34</v>
      </c>
      <c r="B254" s="3" t="s">
        <v>17</v>
      </c>
      <c r="C254" s="43" t="s">
        <v>410</v>
      </c>
      <c r="D254" s="43" t="s">
        <v>1198</v>
      </c>
      <c r="E254" s="78">
        <v>7.12</v>
      </c>
      <c r="F254" s="3" t="s">
        <v>18</v>
      </c>
      <c r="G254" s="78">
        <v>49.01</v>
      </c>
      <c r="H254" s="20">
        <f>ROUND(E254*G254,2)</f>
        <v>348.95</v>
      </c>
    </row>
    <row r="255" spans="1:8" ht="20.100000000000001" customHeight="1" x14ac:dyDescent="0.25">
      <c r="A255" s="59" t="s">
        <v>37</v>
      </c>
      <c r="B255" s="3" t="s">
        <v>17</v>
      </c>
      <c r="C255" s="43" t="s">
        <v>1199</v>
      </c>
      <c r="D255" s="91" t="s">
        <v>1200</v>
      </c>
      <c r="E255" s="78">
        <v>12.4</v>
      </c>
      <c r="F255" s="3" t="s">
        <v>29</v>
      </c>
      <c r="G255" s="78">
        <v>20.83</v>
      </c>
      <c r="H255" s="20">
        <f>ROUND(E255*G255,2)</f>
        <v>258.29000000000002</v>
      </c>
    </row>
    <row r="256" spans="1:8" ht="20.100000000000001" customHeight="1" x14ac:dyDescent="0.25">
      <c r="A256" s="52"/>
      <c r="B256" s="9"/>
      <c r="C256" s="44" t="s">
        <v>1475</v>
      </c>
      <c r="D256" s="44" t="s">
        <v>1475</v>
      </c>
      <c r="E256" s="78">
        <v>1</v>
      </c>
      <c r="F256" s="9"/>
      <c r="G256" s="79">
        <f>SUM(H254:H255)</f>
        <v>607.24</v>
      </c>
      <c r="H256" s="29">
        <f>ROUND(E256*G256,2)</f>
        <v>607.24</v>
      </c>
    </row>
    <row r="257" spans="1:8" ht="20.100000000000001" customHeight="1" x14ac:dyDescent="0.25">
      <c r="A257" s="60"/>
      <c r="B257" s="12"/>
      <c r="C257" s="45"/>
      <c r="D257" s="45"/>
      <c r="E257" s="34"/>
      <c r="F257" s="12"/>
      <c r="G257" s="34"/>
      <c r="H257" s="30"/>
    </row>
    <row r="258" spans="1:8" ht="20.100000000000001" customHeight="1" x14ac:dyDescent="0.25">
      <c r="A258" s="63"/>
      <c r="B258" s="18" t="s">
        <v>9</v>
      </c>
      <c r="C258" s="48" t="s">
        <v>413</v>
      </c>
      <c r="D258" s="48" t="s">
        <v>1197</v>
      </c>
      <c r="E258" s="82">
        <f>E266</f>
        <v>1</v>
      </c>
      <c r="F258" s="18" t="s">
        <v>65</v>
      </c>
      <c r="G258" s="82">
        <f>G266</f>
        <v>31122.36</v>
      </c>
      <c r="H258" s="32">
        <f>H266</f>
        <v>31122.36</v>
      </c>
    </row>
    <row r="259" spans="1:8" ht="20.100000000000001" customHeight="1" x14ac:dyDescent="0.25">
      <c r="A259" s="59" t="s">
        <v>40</v>
      </c>
      <c r="B259" s="3" t="s">
        <v>17</v>
      </c>
      <c r="C259" s="43" t="s">
        <v>415</v>
      </c>
      <c r="D259" s="43" t="s">
        <v>1205</v>
      </c>
      <c r="E259" s="78">
        <v>136.68</v>
      </c>
      <c r="F259" s="3" t="s">
        <v>18</v>
      </c>
      <c r="G259" s="78">
        <v>35.74</v>
      </c>
      <c r="H259" s="20">
        <f t="shared" ref="H259:H266" si="0">ROUND(E259*G259,2)</f>
        <v>4884.9399999999996</v>
      </c>
    </row>
    <row r="260" spans="1:8" ht="20.100000000000001" customHeight="1" x14ac:dyDescent="0.25">
      <c r="A260" s="59" t="s">
        <v>1477</v>
      </c>
      <c r="B260" s="3" t="s">
        <v>17</v>
      </c>
      <c r="C260" s="43" t="s">
        <v>417</v>
      </c>
      <c r="D260" s="43" t="s">
        <v>1202</v>
      </c>
      <c r="E260" s="78">
        <v>161.25</v>
      </c>
      <c r="F260" s="3" t="s">
        <v>18</v>
      </c>
      <c r="G260" s="78">
        <v>46.87</v>
      </c>
      <c r="H260" s="20">
        <f t="shared" si="0"/>
        <v>7557.79</v>
      </c>
    </row>
    <row r="261" spans="1:8" ht="20.100000000000001" customHeight="1" x14ac:dyDescent="0.25">
      <c r="A261" s="59" t="s">
        <v>1478</v>
      </c>
      <c r="B261" s="3" t="s">
        <v>17</v>
      </c>
      <c r="C261" s="43" t="s">
        <v>419</v>
      </c>
      <c r="D261" s="43" t="s">
        <v>1204</v>
      </c>
      <c r="E261" s="78">
        <v>25.92</v>
      </c>
      <c r="F261" s="3" t="s">
        <v>29</v>
      </c>
      <c r="G261" s="78">
        <v>33.99</v>
      </c>
      <c r="H261" s="20">
        <f t="shared" si="0"/>
        <v>881.02</v>
      </c>
    </row>
    <row r="262" spans="1:8" ht="20.100000000000001" customHeight="1" x14ac:dyDescent="0.25">
      <c r="A262" s="59" t="s">
        <v>1479</v>
      </c>
      <c r="B262" s="3" t="s">
        <v>17</v>
      </c>
      <c r="C262" s="43" t="s">
        <v>421</v>
      </c>
      <c r="D262" s="43" t="s">
        <v>1203</v>
      </c>
      <c r="E262" s="78">
        <v>29.7</v>
      </c>
      <c r="F262" s="3" t="s">
        <v>29</v>
      </c>
      <c r="G262" s="78">
        <v>33.78</v>
      </c>
      <c r="H262" s="20">
        <f t="shared" si="0"/>
        <v>1003.27</v>
      </c>
    </row>
    <row r="263" spans="1:8" ht="20.100000000000001" customHeight="1" x14ac:dyDescent="0.25">
      <c r="A263" s="59" t="s">
        <v>1480</v>
      </c>
      <c r="B263" s="3" t="s">
        <v>17</v>
      </c>
      <c r="C263" s="43" t="s">
        <v>423</v>
      </c>
      <c r="D263" s="43" t="s">
        <v>1206</v>
      </c>
      <c r="E263" s="78">
        <v>76.510000000000005</v>
      </c>
      <c r="F263" s="3" t="s">
        <v>18</v>
      </c>
      <c r="G263" s="78">
        <v>37.72</v>
      </c>
      <c r="H263" s="20">
        <f t="shared" si="0"/>
        <v>2885.96</v>
      </c>
    </row>
    <row r="264" spans="1:8" ht="20.100000000000001" customHeight="1" x14ac:dyDescent="0.25">
      <c r="A264" s="59" t="s">
        <v>1481</v>
      </c>
      <c r="B264" s="3" t="s">
        <v>17</v>
      </c>
      <c r="C264" s="43" t="s">
        <v>425</v>
      </c>
      <c r="D264" s="43" t="s">
        <v>1207</v>
      </c>
      <c r="E264" s="78">
        <v>175.11</v>
      </c>
      <c r="F264" s="3" t="s">
        <v>18</v>
      </c>
      <c r="G264" s="78">
        <v>52.23</v>
      </c>
      <c r="H264" s="20">
        <f t="shared" si="0"/>
        <v>9146</v>
      </c>
    </row>
    <row r="265" spans="1:8" ht="20.100000000000001" customHeight="1" x14ac:dyDescent="0.25">
      <c r="A265" s="59" t="s">
        <v>1482</v>
      </c>
      <c r="B265" s="3" t="s">
        <v>17</v>
      </c>
      <c r="C265" s="43" t="s">
        <v>427</v>
      </c>
      <c r="D265" s="43" t="s">
        <v>1208</v>
      </c>
      <c r="E265" s="78">
        <v>91.2</v>
      </c>
      <c r="F265" s="3" t="s">
        <v>18</v>
      </c>
      <c r="G265" s="78">
        <v>52.23</v>
      </c>
      <c r="H265" s="20">
        <f t="shared" si="0"/>
        <v>4763.38</v>
      </c>
    </row>
    <row r="266" spans="1:8" ht="20.100000000000001" customHeight="1" x14ac:dyDescent="0.25">
      <c r="A266" s="52"/>
      <c r="B266" s="9"/>
      <c r="C266" s="44" t="s">
        <v>1210</v>
      </c>
      <c r="D266" s="44" t="s">
        <v>1483</v>
      </c>
      <c r="E266" s="78">
        <v>1</v>
      </c>
      <c r="F266" s="9"/>
      <c r="G266" s="79">
        <f>SUM(H259:H265)</f>
        <v>31122.36</v>
      </c>
      <c r="H266" s="29">
        <f t="shared" si="0"/>
        <v>31122.36</v>
      </c>
    </row>
    <row r="267" spans="1:8" ht="20.100000000000001" customHeight="1" x14ac:dyDescent="0.25">
      <c r="A267" s="60"/>
      <c r="B267" s="12"/>
      <c r="C267" s="45"/>
      <c r="D267" s="45"/>
      <c r="E267" s="34"/>
      <c r="F267" s="12"/>
      <c r="G267" s="34"/>
      <c r="H267" s="30"/>
    </row>
    <row r="268" spans="1:8" ht="20.100000000000001" customHeight="1" x14ac:dyDescent="0.25">
      <c r="A268" s="52"/>
      <c r="B268" s="9"/>
      <c r="C268" s="44" t="s">
        <v>428</v>
      </c>
      <c r="D268" s="44"/>
      <c r="E268" s="78">
        <v>1</v>
      </c>
      <c r="F268" s="9"/>
      <c r="G268" s="79">
        <f>H253+H258</f>
        <v>31729.599999999999</v>
      </c>
      <c r="H268" s="29">
        <f>ROUND(E268*G268,2)</f>
        <v>31729.599999999999</v>
      </c>
    </row>
    <row r="269" spans="1:8" ht="20.100000000000001" customHeight="1" x14ac:dyDescent="0.25">
      <c r="A269" s="60"/>
      <c r="B269" s="12"/>
      <c r="C269" s="45"/>
      <c r="D269" s="45"/>
      <c r="E269" s="34"/>
      <c r="F269" s="12"/>
      <c r="G269" s="34"/>
      <c r="H269" s="30"/>
    </row>
    <row r="270" spans="1:8" ht="20.100000000000001" customHeight="1" x14ac:dyDescent="0.25">
      <c r="A270" s="62" t="s">
        <v>43</v>
      </c>
      <c r="B270" s="7" t="s">
        <v>9</v>
      </c>
      <c r="C270" s="47" t="s">
        <v>430</v>
      </c>
      <c r="D270" s="47" t="s">
        <v>1211</v>
      </c>
      <c r="E270" s="81">
        <f>E282</f>
        <v>1</v>
      </c>
      <c r="F270" s="7" t="s">
        <v>65</v>
      </c>
      <c r="G270" s="81">
        <f>G282</f>
        <v>15926.28</v>
      </c>
      <c r="H270" s="21">
        <f>H282</f>
        <v>15926.28</v>
      </c>
    </row>
    <row r="271" spans="1:8" ht="20.100000000000001" customHeight="1" x14ac:dyDescent="0.25">
      <c r="A271" s="63"/>
      <c r="B271" s="18" t="s">
        <v>9</v>
      </c>
      <c r="C271" s="48" t="s">
        <v>431</v>
      </c>
      <c r="D271" s="48" t="s">
        <v>1212</v>
      </c>
      <c r="E271" s="82">
        <f>E276</f>
        <v>1</v>
      </c>
      <c r="F271" s="18" t="s">
        <v>65</v>
      </c>
      <c r="G271" s="82">
        <f>G276</f>
        <v>15389.17</v>
      </c>
      <c r="H271" s="32">
        <f>H276</f>
        <v>15389.17</v>
      </c>
    </row>
    <row r="272" spans="1:8" ht="20.100000000000001" customHeight="1" x14ac:dyDescent="0.25">
      <c r="A272" s="59" t="s">
        <v>45</v>
      </c>
      <c r="B272" s="3" t="s">
        <v>17</v>
      </c>
      <c r="C272" s="43" t="s">
        <v>434</v>
      </c>
      <c r="D272" s="43" t="s">
        <v>434</v>
      </c>
      <c r="E272" s="78">
        <v>1</v>
      </c>
      <c r="F272" s="3" t="s">
        <v>433</v>
      </c>
      <c r="G272" s="78">
        <v>2222.8000000000002</v>
      </c>
      <c r="H272" s="20">
        <f>ROUND(E272*G272,2)</f>
        <v>2222.8000000000002</v>
      </c>
    </row>
    <row r="273" spans="1:8" ht="20.100000000000001" customHeight="1" x14ac:dyDescent="0.25">
      <c r="A273" s="59" t="s">
        <v>47</v>
      </c>
      <c r="B273" s="3" t="s">
        <v>17</v>
      </c>
      <c r="C273" s="43" t="s">
        <v>436</v>
      </c>
      <c r="D273" s="43" t="s">
        <v>436</v>
      </c>
      <c r="E273" s="78">
        <v>1</v>
      </c>
      <c r="F273" s="3" t="s">
        <v>433</v>
      </c>
      <c r="G273" s="78">
        <v>5198.3900000000003</v>
      </c>
      <c r="H273" s="20">
        <f>ROUND(E273*G273,2)</f>
        <v>5198.3900000000003</v>
      </c>
    </row>
    <row r="274" spans="1:8" ht="20.100000000000001" customHeight="1" x14ac:dyDescent="0.25">
      <c r="A274" s="59" t="s">
        <v>1484</v>
      </c>
      <c r="B274" s="3" t="s">
        <v>17</v>
      </c>
      <c r="C274" s="43" t="s">
        <v>438</v>
      </c>
      <c r="D274" s="43" t="s">
        <v>438</v>
      </c>
      <c r="E274" s="78">
        <v>1</v>
      </c>
      <c r="F274" s="3" t="s">
        <v>433</v>
      </c>
      <c r="G274" s="78">
        <v>4205.1499999999996</v>
      </c>
      <c r="H274" s="20">
        <f>ROUND(E274*G274,2)</f>
        <v>4205.1499999999996</v>
      </c>
    </row>
    <row r="275" spans="1:8" ht="20.100000000000001" customHeight="1" x14ac:dyDescent="0.25">
      <c r="A275" s="59" t="s">
        <v>1485</v>
      </c>
      <c r="B275" s="3" t="s">
        <v>17</v>
      </c>
      <c r="C275" s="43" t="s">
        <v>440</v>
      </c>
      <c r="D275" s="43" t="s">
        <v>440</v>
      </c>
      <c r="E275" s="78">
        <v>1</v>
      </c>
      <c r="F275" s="3" t="s">
        <v>433</v>
      </c>
      <c r="G275" s="78">
        <v>3762.83</v>
      </c>
      <c r="H275" s="20">
        <f>ROUND(E275*G275,2)</f>
        <v>3762.83</v>
      </c>
    </row>
    <row r="276" spans="1:8" ht="20.100000000000001" customHeight="1" x14ac:dyDescent="0.25">
      <c r="A276" s="52"/>
      <c r="B276" s="9"/>
      <c r="C276" s="44" t="s">
        <v>1213</v>
      </c>
      <c r="D276" s="44" t="s">
        <v>1486</v>
      </c>
      <c r="E276" s="78">
        <v>1</v>
      </c>
      <c r="F276" s="9"/>
      <c r="G276" s="79">
        <f>SUM(H272:H275)</f>
        <v>15389.17</v>
      </c>
      <c r="H276" s="29">
        <f>ROUND(E276*G276,2)</f>
        <v>15389.17</v>
      </c>
    </row>
    <row r="277" spans="1:8" ht="20.100000000000001" customHeight="1" x14ac:dyDescent="0.25">
      <c r="A277" s="60"/>
      <c r="B277" s="12"/>
      <c r="C277" s="45"/>
      <c r="D277" s="45"/>
      <c r="E277" s="34"/>
      <c r="F277" s="12"/>
      <c r="G277" s="34"/>
      <c r="H277" s="30"/>
    </row>
    <row r="278" spans="1:8" ht="20.100000000000001" customHeight="1" x14ac:dyDescent="0.25">
      <c r="A278" s="63"/>
      <c r="B278" s="18" t="s">
        <v>9</v>
      </c>
      <c r="C278" s="48" t="s">
        <v>442</v>
      </c>
      <c r="D278" s="48" t="s">
        <v>1215</v>
      </c>
      <c r="E278" s="82">
        <f>E280</f>
        <v>1</v>
      </c>
      <c r="F278" s="18" t="s">
        <v>65</v>
      </c>
      <c r="G278" s="82">
        <f>G280</f>
        <v>537.11</v>
      </c>
      <c r="H278" s="32">
        <f>H280</f>
        <v>537.11</v>
      </c>
    </row>
    <row r="279" spans="1:8" ht="20.100000000000001" customHeight="1" x14ac:dyDescent="0.25">
      <c r="A279" s="59" t="s">
        <v>1487</v>
      </c>
      <c r="B279" s="3" t="s">
        <v>17</v>
      </c>
      <c r="C279" s="43" t="s">
        <v>444</v>
      </c>
      <c r="D279" s="43" t="s">
        <v>1214</v>
      </c>
      <c r="E279" s="78">
        <v>3.04</v>
      </c>
      <c r="F279" s="3" t="s">
        <v>35</v>
      </c>
      <c r="G279" s="78">
        <v>176.68</v>
      </c>
      <c r="H279" s="20">
        <f>ROUND(E279*G279,2)</f>
        <v>537.11</v>
      </c>
    </row>
    <row r="280" spans="1:8" ht="20.100000000000001" customHeight="1" x14ac:dyDescent="0.25">
      <c r="A280" s="52"/>
      <c r="B280" s="9"/>
      <c r="C280" s="44" t="s">
        <v>1216</v>
      </c>
      <c r="D280" s="44" t="s">
        <v>1488</v>
      </c>
      <c r="E280" s="78">
        <v>1</v>
      </c>
      <c r="F280" s="9"/>
      <c r="G280" s="79">
        <f>H279</f>
        <v>537.11</v>
      </c>
      <c r="H280" s="29">
        <f>ROUND(E280*G280,2)</f>
        <v>537.11</v>
      </c>
    </row>
    <row r="281" spans="1:8" ht="20.100000000000001" customHeight="1" x14ac:dyDescent="0.25">
      <c r="A281" s="60"/>
      <c r="B281" s="12"/>
      <c r="C281" s="45"/>
      <c r="D281" s="45"/>
      <c r="E281" s="34"/>
      <c r="F281" s="12"/>
      <c r="G281" s="34"/>
      <c r="H281" s="30"/>
    </row>
    <row r="282" spans="1:8" ht="20.100000000000001" customHeight="1" x14ac:dyDescent="0.25">
      <c r="A282" s="52"/>
      <c r="B282" s="9"/>
      <c r="C282" s="44" t="s">
        <v>445</v>
      </c>
      <c r="D282" s="44" t="s">
        <v>50</v>
      </c>
      <c r="E282" s="78">
        <v>1</v>
      </c>
      <c r="F282" s="9"/>
      <c r="G282" s="79">
        <f>H271+H278</f>
        <v>15926.28</v>
      </c>
      <c r="H282" s="29">
        <f>ROUND(E282*G282,2)</f>
        <v>15926.28</v>
      </c>
    </row>
    <row r="283" spans="1:8" ht="20.100000000000001" customHeight="1" x14ac:dyDescent="0.25">
      <c r="A283" s="60"/>
      <c r="B283" s="12"/>
      <c r="C283" s="45"/>
      <c r="D283" s="45"/>
      <c r="E283" s="34"/>
      <c r="F283" s="12"/>
      <c r="G283" s="34"/>
      <c r="H283" s="30"/>
    </row>
    <row r="284" spans="1:8" ht="20.100000000000001" customHeight="1" x14ac:dyDescent="0.25">
      <c r="A284" s="62" t="s">
        <v>51</v>
      </c>
      <c r="B284" s="7" t="s">
        <v>9</v>
      </c>
      <c r="C284" s="47" t="s">
        <v>447</v>
      </c>
      <c r="D284" s="47" t="s">
        <v>1217</v>
      </c>
      <c r="E284" s="81">
        <f>E301</f>
        <v>1</v>
      </c>
      <c r="F284" s="7" t="s">
        <v>65</v>
      </c>
      <c r="G284" s="81">
        <f>G301</f>
        <v>93889.51</v>
      </c>
      <c r="H284" s="21">
        <f>H301</f>
        <v>93889.51</v>
      </c>
    </row>
    <row r="285" spans="1:8" ht="20.100000000000001" customHeight="1" x14ac:dyDescent="0.25">
      <c r="A285" s="63"/>
      <c r="B285" s="18" t="s">
        <v>9</v>
      </c>
      <c r="C285" s="48" t="s">
        <v>408</v>
      </c>
      <c r="D285" s="48" t="s">
        <v>1196</v>
      </c>
      <c r="E285" s="82">
        <f>E292</f>
        <v>1</v>
      </c>
      <c r="F285" s="18" t="s">
        <v>65</v>
      </c>
      <c r="G285" s="82">
        <f>G292</f>
        <v>69436.75</v>
      </c>
      <c r="H285" s="32">
        <f>H292</f>
        <v>69436.75</v>
      </c>
    </row>
    <row r="286" spans="1:8" ht="20.100000000000001" customHeight="1" x14ac:dyDescent="0.25">
      <c r="A286" s="59" t="s">
        <v>53</v>
      </c>
      <c r="B286" s="3" t="s">
        <v>17</v>
      </c>
      <c r="C286" s="43" t="s">
        <v>449</v>
      </c>
      <c r="D286" s="91" t="s">
        <v>1220</v>
      </c>
      <c r="E286" s="78">
        <v>1148.1300000000001</v>
      </c>
      <c r="F286" s="3" t="s">
        <v>35</v>
      </c>
      <c r="G286" s="78">
        <v>26.55</v>
      </c>
      <c r="H286" s="20">
        <f t="shared" ref="H286:H292" si="1">ROUND(E286*G286,2)</f>
        <v>30482.85</v>
      </c>
    </row>
    <row r="287" spans="1:8" ht="20.100000000000001" customHeight="1" x14ac:dyDescent="0.25">
      <c r="A287" s="59" t="s">
        <v>56</v>
      </c>
      <c r="B287" s="3" t="s">
        <v>17</v>
      </c>
      <c r="C287" s="43" t="s">
        <v>451</v>
      </c>
      <c r="D287" s="91" t="s">
        <v>1219</v>
      </c>
      <c r="E287" s="78">
        <v>449.86</v>
      </c>
      <c r="F287" s="3" t="s">
        <v>35</v>
      </c>
      <c r="G287" s="78">
        <v>26.55</v>
      </c>
      <c r="H287" s="20">
        <f t="shared" si="1"/>
        <v>11943.78</v>
      </c>
    </row>
    <row r="288" spans="1:8" ht="20.100000000000001" customHeight="1" x14ac:dyDescent="0.25">
      <c r="A288" s="59" t="s">
        <v>1489</v>
      </c>
      <c r="B288" s="3" t="s">
        <v>17</v>
      </c>
      <c r="C288" s="43" t="s">
        <v>453</v>
      </c>
      <c r="D288" s="43" t="s">
        <v>1218</v>
      </c>
      <c r="E288" s="78">
        <v>529.69000000000005</v>
      </c>
      <c r="F288" s="3" t="s">
        <v>277</v>
      </c>
      <c r="G288" s="78">
        <v>11.15</v>
      </c>
      <c r="H288" s="20">
        <f t="shared" si="1"/>
        <v>5906.04</v>
      </c>
    </row>
    <row r="289" spans="1:8" ht="20.100000000000001" customHeight="1" x14ac:dyDescent="0.25">
      <c r="A289" s="59" t="s">
        <v>1490</v>
      </c>
      <c r="B289" s="3" t="s">
        <v>17</v>
      </c>
      <c r="C289" s="43" t="s">
        <v>455</v>
      </c>
      <c r="D289" s="43" t="s">
        <v>1223</v>
      </c>
      <c r="E289" s="78">
        <v>1087.1199999999999</v>
      </c>
      <c r="F289" s="3" t="s">
        <v>277</v>
      </c>
      <c r="G289" s="78">
        <v>8.19</v>
      </c>
      <c r="H289" s="20">
        <f t="shared" si="1"/>
        <v>8903.51</v>
      </c>
    </row>
    <row r="290" spans="1:8" ht="20.100000000000001" customHeight="1" x14ac:dyDescent="0.25">
      <c r="A290" s="59" t="s">
        <v>1491</v>
      </c>
      <c r="B290" s="3" t="s">
        <v>17</v>
      </c>
      <c r="C290" s="43" t="s">
        <v>457</v>
      </c>
      <c r="D290" s="43" t="s">
        <v>1221</v>
      </c>
      <c r="E290" s="78">
        <v>10</v>
      </c>
      <c r="F290" s="3" t="s">
        <v>10</v>
      </c>
      <c r="G290" s="78">
        <v>972.86</v>
      </c>
      <c r="H290" s="20">
        <f t="shared" si="1"/>
        <v>9728.6</v>
      </c>
    </row>
    <row r="291" spans="1:8" ht="20.100000000000001" customHeight="1" x14ac:dyDescent="0.25">
      <c r="A291" s="59" t="s">
        <v>1492</v>
      </c>
      <c r="B291" s="3" t="s">
        <v>17</v>
      </c>
      <c r="C291" s="43" t="s">
        <v>459</v>
      </c>
      <c r="D291" s="43" t="s">
        <v>1222</v>
      </c>
      <c r="E291" s="78">
        <v>248.19</v>
      </c>
      <c r="F291" s="3" t="s">
        <v>277</v>
      </c>
      <c r="G291" s="78">
        <v>9.9600000000000009</v>
      </c>
      <c r="H291" s="20">
        <f t="shared" si="1"/>
        <v>2471.9699999999998</v>
      </c>
    </row>
    <row r="292" spans="1:8" ht="20.100000000000001" customHeight="1" x14ac:dyDescent="0.25">
      <c r="A292" s="52"/>
      <c r="B292" s="9"/>
      <c r="C292" s="44" t="s">
        <v>1224</v>
      </c>
      <c r="D292" s="44" t="s">
        <v>1493</v>
      </c>
      <c r="E292" s="78">
        <v>1</v>
      </c>
      <c r="F292" s="9"/>
      <c r="G292" s="79">
        <f>SUM(H286:H291)</f>
        <v>69436.75</v>
      </c>
      <c r="H292" s="29">
        <f t="shared" si="1"/>
        <v>69436.75</v>
      </c>
    </row>
    <row r="293" spans="1:8" ht="20.100000000000001" customHeight="1" x14ac:dyDescent="0.25">
      <c r="A293" s="60"/>
      <c r="B293" s="12"/>
      <c r="C293" s="45"/>
      <c r="D293" s="45"/>
      <c r="E293" s="34"/>
      <c r="F293" s="12"/>
      <c r="G293" s="34"/>
      <c r="H293" s="30"/>
    </row>
    <row r="294" spans="1:8" ht="20.100000000000001" customHeight="1" x14ac:dyDescent="0.25">
      <c r="A294" s="63"/>
      <c r="B294" s="18" t="s">
        <v>9</v>
      </c>
      <c r="C294" s="48" t="s">
        <v>413</v>
      </c>
      <c r="D294" s="48" t="s">
        <v>1197</v>
      </c>
      <c r="E294" s="82">
        <f>E299</f>
        <v>1</v>
      </c>
      <c r="F294" s="18" t="s">
        <v>65</v>
      </c>
      <c r="G294" s="82">
        <f>G299</f>
        <v>24452.76</v>
      </c>
      <c r="H294" s="32">
        <f>H299</f>
        <v>24452.76</v>
      </c>
    </row>
    <row r="295" spans="1:8" ht="20.100000000000001" customHeight="1" x14ac:dyDescent="0.25">
      <c r="A295" s="59" t="s">
        <v>1494</v>
      </c>
      <c r="B295" s="3" t="s">
        <v>17</v>
      </c>
      <c r="C295" s="43" t="s">
        <v>462</v>
      </c>
      <c r="D295" s="43" t="s">
        <v>1226</v>
      </c>
      <c r="E295" s="78">
        <v>653.02</v>
      </c>
      <c r="F295" s="3" t="s">
        <v>35</v>
      </c>
      <c r="G295" s="78">
        <v>8.32</v>
      </c>
      <c r="H295" s="20">
        <f>ROUND(E295*G295,2)</f>
        <v>5433.13</v>
      </c>
    </row>
    <row r="296" spans="1:8" ht="20.100000000000001" customHeight="1" x14ac:dyDescent="0.25">
      <c r="A296" s="59" t="s">
        <v>1495</v>
      </c>
      <c r="B296" s="3" t="s">
        <v>17</v>
      </c>
      <c r="C296" s="43" t="s">
        <v>464</v>
      </c>
      <c r="D296" s="43" t="s">
        <v>1236</v>
      </c>
      <c r="E296" s="78">
        <v>215.64</v>
      </c>
      <c r="F296" s="3" t="s">
        <v>35</v>
      </c>
      <c r="G296" s="78">
        <v>52.94</v>
      </c>
      <c r="H296" s="20">
        <f>ROUND(E296*G296,2)</f>
        <v>11415.98</v>
      </c>
    </row>
    <row r="297" spans="1:8" ht="20.100000000000001" customHeight="1" x14ac:dyDescent="0.25">
      <c r="A297" s="59" t="s">
        <v>1496</v>
      </c>
      <c r="B297" s="3" t="s">
        <v>17</v>
      </c>
      <c r="C297" s="43" t="s">
        <v>466</v>
      </c>
      <c r="D297" s="91" t="s">
        <v>1228</v>
      </c>
      <c r="E297" s="78">
        <v>59.74</v>
      </c>
      <c r="F297" s="3" t="s">
        <v>277</v>
      </c>
      <c r="G297" s="78">
        <v>19.510000000000002</v>
      </c>
      <c r="H297" s="20">
        <f>ROUND(E297*G297,2)</f>
        <v>1165.53</v>
      </c>
    </row>
    <row r="298" spans="1:8" ht="20.100000000000001" customHeight="1" x14ac:dyDescent="0.25">
      <c r="A298" s="59" t="s">
        <v>1497</v>
      </c>
      <c r="B298" s="3" t="s">
        <v>17</v>
      </c>
      <c r="C298" s="43" t="s">
        <v>469</v>
      </c>
      <c r="D298" s="43" t="s">
        <v>1227</v>
      </c>
      <c r="E298" s="78">
        <v>282.87</v>
      </c>
      <c r="F298" s="3" t="s">
        <v>468</v>
      </c>
      <c r="G298" s="78">
        <v>22.76</v>
      </c>
      <c r="H298" s="20">
        <f>ROUND(E298*G298,2)</f>
        <v>6438.12</v>
      </c>
    </row>
    <row r="299" spans="1:8" ht="20.100000000000001" customHeight="1" x14ac:dyDescent="0.25">
      <c r="A299" s="52"/>
      <c r="B299" s="9"/>
      <c r="C299" s="44" t="s">
        <v>1225</v>
      </c>
      <c r="D299" s="44" t="s">
        <v>1498</v>
      </c>
      <c r="E299" s="78">
        <v>1</v>
      </c>
      <c r="F299" s="9"/>
      <c r="G299" s="79">
        <f>SUM(H295:H298)</f>
        <v>24452.76</v>
      </c>
      <c r="H299" s="29">
        <f>ROUND(E299*G299,2)</f>
        <v>24452.76</v>
      </c>
    </row>
    <row r="300" spans="1:8" ht="20.100000000000001" customHeight="1" x14ac:dyDescent="0.25">
      <c r="A300" s="60"/>
      <c r="B300" s="12"/>
      <c r="C300" s="45"/>
      <c r="D300" s="45"/>
      <c r="E300" s="34"/>
      <c r="F300" s="12"/>
      <c r="G300" s="34"/>
      <c r="H300" s="30"/>
    </row>
    <row r="301" spans="1:8" ht="20.100000000000001" customHeight="1" x14ac:dyDescent="0.25">
      <c r="A301" s="52"/>
      <c r="B301" s="9"/>
      <c r="C301" s="44" t="s">
        <v>470</v>
      </c>
      <c r="D301" s="44" t="s">
        <v>470</v>
      </c>
      <c r="E301" s="78">
        <v>1</v>
      </c>
      <c r="F301" s="9"/>
      <c r="G301" s="79">
        <f>H285+H294</f>
        <v>93889.51</v>
      </c>
      <c r="H301" s="29">
        <f>ROUND(E301*G301,2)</f>
        <v>93889.51</v>
      </c>
    </row>
    <row r="302" spans="1:8" ht="20.100000000000001" customHeight="1" x14ac:dyDescent="0.25">
      <c r="A302" s="60"/>
      <c r="B302" s="12"/>
      <c r="C302" s="45"/>
      <c r="D302" s="45"/>
      <c r="E302" s="34"/>
      <c r="F302" s="12"/>
      <c r="G302" s="34"/>
      <c r="H302" s="30"/>
    </row>
    <row r="303" spans="1:8" ht="20.100000000000001" customHeight="1" x14ac:dyDescent="0.25">
      <c r="A303" s="62" t="s">
        <v>67</v>
      </c>
      <c r="B303" s="7" t="s">
        <v>9</v>
      </c>
      <c r="C303" s="47" t="s">
        <v>472</v>
      </c>
      <c r="D303" s="47" t="s">
        <v>1229</v>
      </c>
      <c r="E303" s="81">
        <f>E361</f>
        <v>1</v>
      </c>
      <c r="F303" s="7" t="s">
        <v>65</v>
      </c>
      <c r="G303" s="81">
        <f>G361</f>
        <v>54818.34</v>
      </c>
      <c r="H303" s="21">
        <f>H361</f>
        <v>54818.34</v>
      </c>
    </row>
    <row r="304" spans="1:8" ht="20.100000000000001" customHeight="1" x14ac:dyDescent="0.25">
      <c r="A304" s="63"/>
      <c r="B304" s="18" t="s">
        <v>9</v>
      </c>
      <c r="C304" s="48" t="s">
        <v>473</v>
      </c>
      <c r="D304" s="48" t="s">
        <v>1230</v>
      </c>
      <c r="E304" s="82">
        <f>E315</f>
        <v>1</v>
      </c>
      <c r="F304" s="18" t="s">
        <v>65</v>
      </c>
      <c r="G304" s="82">
        <f>G315</f>
        <v>15565.64</v>
      </c>
      <c r="H304" s="32">
        <f>H315</f>
        <v>15565.64</v>
      </c>
    </row>
    <row r="305" spans="1:8" ht="20.100000000000001" customHeight="1" x14ac:dyDescent="0.25">
      <c r="A305" s="59" t="s">
        <v>69</v>
      </c>
      <c r="B305" s="3" t="s">
        <v>17</v>
      </c>
      <c r="C305" s="43" t="s">
        <v>434</v>
      </c>
      <c r="D305" s="43" t="s">
        <v>1232</v>
      </c>
      <c r="E305" s="78">
        <v>22.32</v>
      </c>
      <c r="F305" s="3" t="s">
        <v>35</v>
      </c>
      <c r="G305" s="78">
        <v>75.62</v>
      </c>
      <c r="H305" s="20">
        <f t="shared" ref="H305:H315" si="2">ROUND(E305*G305,2)</f>
        <v>1687.84</v>
      </c>
    </row>
    <row r="306" spans="1:8" ht="20.100000000000001" customHeight="1" x14ac:dyDescent="0.25">
      <c r="A306" s="59" t="s">
        <v>72</v>
      </c>
      <c r="B306" s="3" t="s">
        <v>17</v>
      </c>
      <c r="C306" s="43" t="s">
        <v>476</v>
      </c>
      <c r="D306" s="43" t="s">
        <v>476</v>
      </c>
      <c r="E306" s="78">
        <v>7.64</v>
      </c>
      <c r="F306" s="3" t="s">
        <v>35</v>
      </c>
      <c r="G306" s="78">
        <v>75.62</v>
      </c>
      <c r="H306" s="20">
        <f t="shared" si="2"/>
        <v>577.74</v>
      </c>
    </row>
    <row r="307" spans="1:8" ht="20.100000000000001" customHeight="1" x14ac:dyDescent="0.25">
      <c r="A307" s="59" t="s">
        <v>74</v>
      </c>
      <c r="B307" s="3" t="s">
        <v>17</v>
      </c>
      <c r="C307" s="43" t="s">
        <v>438</v>
      </c>
      <c r="D307" s="43" t="s">
        <v>438</v>
      </c>
      <c r="E307" s="78">
        <v>27.83</v>
      </c>
      <c r="F307" s="3" t="s">
        <v>35</v>
      </c>
      <c r="G307" s="78">
        <v>75.62</v>
      </c>
      <c r="H307" s="20">
        <f t="shared" si="2"/>
        <v>2104.5</v>
      </c>
    </row>
    <row r="308" spans="1:8" ht="20.100000000000001" customHeight="1" x14ac:dyDescent="0.25">
      <c r="A308" s="59" t="s">
        <v>77</v>
      </c>
      <c r="B308" s="3" t="s">
        <v>17</v>
      </c>
      <c r="C308" s="43" t="s">
        <v>479</v>
      </c>
      <c r="D308" s="43" t="s">
        <v>479</v>
      </c>
      <c r="E308" s="78">
        <v>7.96</v>
      </c>
      <c r="F308" s="3" t="s">
        <v>35</v>
      </c>
      <c r="G308" s="78">
        <v>75.62</v>
      </c>
      <c r="H308" s="20">
        <f t="shared" si="2"/>
        <v>601.94000000000005</v>
      </c>
    </row>
    <row r="309" spans="1:8" ht="20.100000000000001" customHeight="1" x14ac:dyDescent="0.25">
      <c r="A309" s="59" t="s">
        <v>79</v>
      </c>
      <c r="B309" s="3" t="s">
        <v>17</v>
      </c>
      <c r="C309" s="43" t="s">
        <v>481</v>
      </c>
      <c r="D309" s="43" t="s">
        <v>481</v>
      </c>
      <c r="E309" s="78">
        <v>6.4</v>
      </c>
      <c r="F309" s="3" t="s">
        <v>35</v>
      </c>
      <c r="G309" s="78">
        <v>75.62</v>
      </c>
      <c r="H309" s="20">
        <f t="shared" si="2"/>
        <v>483.97</v>
      </c>
    </row>
    <row r="310" spans="1:8" ht="20.100000000000001" customHeight="1" x14ac:dyDescent="0.25">
      <c r="A310" s="59" t="s">
        <v>82</v>
      </c>
      <c r="B310" s="3" t="s">
        <v>17</v>
      </c>
      <c r="C310" s="43" t="s">
        <v>440</v>
      </c>
      <c r="D310" s="43" t="s">
        <v>440</v>
      </c>
      <c r="E310" s="78">
        <v>19.09</v>
      </c>
      <c r="F310" s="3" t="s">
        <v>35</v>
      </c>
      <c r="G310" s="78">
        <v>75.62</v>
      </c>
      <c r="H310" s="20">
        <f t="shared" si="2"/>
        <v>1443.59</v>
      </c>
    </row>
    <row r="311" spans="1:8" ht="20.100000000000001" customHeight="1" x14ac:dyDescent="0.25">
      <c r="A311" s="59" t="s">
        <v>84</v>
      </c>
      <c r="B311" s="3" t="s">
        <v>17</v>
      </c>
      <c r="C311" s="43" t="s">
        <v>484</v>
      </c>
      <c r="D311" s="43" t="s">
        <v>484</v>
      </c>
      <c r="E311" s="78">
        <v>7.25</v>
      </c>
      <c r="F311" s="3" t="s">
        <v>35</v>
      </c>
      <c r="G311" s="78">
        <v>75.62</v>
      </c>
      <c r="H311" s="20">
        <f t="shared" si="2"/>
        <v>548.25</v>
      </c>
    </row>
    <row r="312" spans="1:8" ht="20.100000000000001" customHeight="1" x14ac:dyDescent="0.25">
      <c r="A312" s="59" t="s">
        <v>1499</v>
      </c>
      <c r="B312" s="3" t="s">
        <v>17</v>
      </c>
      <c r="C312" s="43" t="s">
        <v>486</v>
      </c>
      <c r="D312" s="43" t="s">
        <v>486</v>
      </c>
      <c r="E312" s="78">
        <v>29.4</v>
      </c>
      <c r="F312" s="3" t="s">
        <v>35</v>
      </c>
      <c r="G312" s="78">
        <v>75.62</v>
      </c>
      <c r="H312" s="20">
        <f t="shared" si="2"/>
        <v>2223.23</v>
      </c>
    </row>
    <row r="313" spans="1:8" ht="20.100000000000001" customHeight="1" x14ac:dyDescent="0.25">
      <c r="A313" s="59" t="s">
        <v>1500</v>
      </c>
      <c r="B313" s="3" t="s">
        <v>17</v>
      </c>
      <c r="C313" s="43" t="s">
        <v>488</v>
      </c>
      <c r="D313" s="43" t="s">
        <v>488</v>
      </c>
      <c r="E313" s="78">
        <v>48.57</v>
      </c>
      <c r="F313" s="3" t="s">
        <v>35</v>
      </c>
      <c r="G313" s="78">
        <v>75.62</v>
      </c>
      <c r="H313" s="20">
        <f t="shared" si="2"/>
        <v>3672.86</v>
      </c>
    </row>
    <row r="314" spans="1:8" ht="20.100000000000001" customHeight="1" x14ac:dyDescent="0.25">
      <c r="A314" s="59" t="s">
        <v>1501</v>
      </c>
      <c r="B314" s="3" t="s">
        <v>17</v>
      </c>
      <c r="C314" s="43" t="s">
        <v>490</v>
      </c>
      <c r="D314" s="43" t="s">
        <v>490</v>
      </c>
      <c r="E314" s="78">
        <v>29.38</v>
      </c>
      <c r="F314" s="3" t="s">
        <v>35</v>
      </c>
      <c r="G314" s="78">
        <v>75.62</v>
      </c>
      <c r="H314" s="20">
        <f t="shared" si="2"/>
        <v>2221.7199999999998</v>
      </c>
    </row>
    <row r="315" spans="1:8" ht="20.100000000000001" customHeight="1" x14ac:dyDescent="0.25">
      <c r="A315" s="52"/>
      <c r="B315" s="9"/>
      <c r="C315" s="44" t="s">
        <v>1231</v>
      </c>
      <c r="D315" s="44" t="s">
        <v>1502</v>
      </c>
      <c r="E315" s="78">
        <v>1</v>
      </c>
      <c r="F315" s="9"/>
      <c r="G315" s="79">
        <f>SUM(H305:H314)</f>
        <v>15565.64</v>
      </c>
      <c r="H315" s="29">
        <f t="shared" si="2"/>
        <v>15565.64</v>
      </c>
    </row>
    <row r="316" spans="1:8" ht="20.100000000000001" customHeight="1" x14ac:dyDescent="0.25">
      <c r="A316" s="60"/>
      <c r="B316" s="12"/>
      <c r="C316" s="45"/>
      <c r="D316" s="45"/>
      <c r="E316" s="34"/>
      <c r="F316" s="12"/>
      <c r="G316" s="34"/>
      <c r="H316" s="30"/>
    </row>
    <row r="317" spans="1:8" ht="20.100000000000001" customHeight="1" x14ac:dyDescent="0.25">
      <c r="A317" s="63"/>
      <c r="B317" s="18" t="s">
        <v>9</v>
      </c>
      <c r="C317" s="48" t="s">
        <v>491</v>
      </c>
      <c r="D317" s="48" t="s">
        <v>1230</v>
      </c>
      <c r="E317" s="82">
        <f>E321</f>
        <v>1</v>
      </c>
      <c r="F317" s="18" t="s">
        <v>65</v>
      </c>
      <c r="G317" s="82">
        <f>G321</f>
        <v>15410.6</v>
      </c>
      <c r="H317" s="32">
        <f>H321</f>
        <v>15410.6</v>
      </c>
    </row>
    <row r="318" spans="1:8" ht="20.100000000000001" customHeight="1" x14ac:dyDescent="0.25">
      <c r="A318" s="59" t="s">
        <v>1503</v>
      </c>
      <c r="B318" s="3" t="s">
        <v>17</v>
      </c>
      <c r="C318" s="43" t="s">
        <v>493</v>
      </c>
      <c r="D318" s="43" t="s">
        <v>493</v>
      </c>
      <c r="E318" s="78">
        <v>109.94</v>
      </c>
      <c r="F318" s="3" t="s">
        <v>35</v>
      </c>
      <c r="G318" s="78">
        <v>75.62</v>
      </c>
      <c r="H318" s="20">
        <f>ROUND(E318*G318,2)</f>
        <v>8313.66</v>
      </c>
    </row>
    <row r="319" spans="1:8" ht="20.100000000000001" customHeight="1" x14ac:dyDescent="0.25">
      <c r="A319" s="59" t="s">
        <v>1504</v>
      </c>
      <c r="B319" s="3" t="s">
        <v>17</v>
      </c>
      <c r="C319" s="43" t="s">
        <v>495</v>
      </c>
      <c r="D319" s="43" t="s">
        <v>434</v>
      </c>
      <c r="E319" s="78">
        <v>24.11</v>
      </c>
      <c r="F319" s="3" t="s">
        <v>35</v>
      </c>
      <c r="G319" s="78">
        <v>75.62</v>
      </c>
      <c r="H319" s="20">
        <f>ROUND(E319*G319,2)</f>
        <v>1823.2</v>
      </c>
    </row>
    <row r="320" spans="1:8" ht="20.100000000000001" customHeight="1" x14ac:dyDescent="0.25">
      <c r="A320" s="59" t="s">
        <v>1505</v>
      </c>
      <c r="B320" s="3" t="s">
        <v>17</v>
      </c>
      <c r="C320" s="43" t="s">
        <v>497</v>
      </c>
      <c r="D320" s="43" t="s">
        <v>1317</v>
      </c>
      <c r="E320" s="78">
        <v>69.739999999999995</v>
      </c>
      <c r="F320" s="3" t="s">
        <v>35</v>
      </c>
      <c r="G320" s="78">
        <v>75.62</v>
      </c>
      <c r="H320" s="20">
        <f>ROUND(E320*G320,2)</f>
        <v>5273.74</v>
      </c>
    </row>
    <row r="321" spans="1:8" ht="20.100000000000001" customHeight="1" x14ac:dyDescent="0.25">
      <c r="A321" s="52"/>
      <c r="B321" s="9"/>
      <c r="C321" s="44" t="s">
        <v>1239</v>
      </c>
      <c r="D321" s="44" t="s">
        <v>1506</v>
      </c>
      <c r="E321" s="78">
        <v>1</v>
      </c>
      <c r="F321" s="9"/>
      <c r="G321" s="79">
        <f>SUM(H318:H320)</f>
        <v>15410.6</v>
      </c>
      <c r="H321" s="29">
        <f>ROUND(E321*G321,2)</f>
        <v>15410.6</v>
      </c>
    </row>
    <row r="322" spans="1:8" ht="20.100000000000001" customHeight="1" x14ac:dyDescent="0.25">
      <c r="A322" s="60"/>
      <c r="B322" s="12"/>
      <c r="C322" s="45"/>
      <c r="D322" s="45"/>
      <c r="E322" s="34"/>
      <c r="F322" s="12"/>
      <c r="G322" s="34"/>
      <c r="H322" s="30"/>
    </row>
    <row r="323" spans="1:8" ht="39.950000000000003" customHeight="1" x14ac:dyDescent="0.25">
      <c r="A323" s="63"/>
      <c r="B323" s="18" t="s">
        <v>9</v>
      </c>
      <c r="C323" s="48" t="s">
        <v>498</v>
      </c>
      <c r="D323" s="48" t="s">
        <v>1238</v>
      </c>
      <c r="E323" s="82">
        <f>E326</f>
        <v>1</v>
      </c>
      <c r="F323" s="18" t="s">
        <v>65</v>
      </c>
      <c r="G323" s="82">
        <f>G326</f>
        <v>2974.89</v>
      </c>
      <c r="H323" s="32">
        <f>H326</f>
        <v>2974.89</v>
      </c>
    </row>
    <row r="324" spans="1:8" ht="20.100000000000001" customHeight="1" x14ac:dyDescent="0.25">
      <c r="A324" s="59" t="s">
        <v>1507</v>
      </c>
      <c r="B324" s="3" t="s">
        <v>17</v>
      </c>
      <c r="C324" s="43" t="s">
        <v>500</v>
      </c>
      <c r="D324" s="43" t="s">
        <v>500</v>
      </c>
      <c r="E324" s="78">
        <v>25.76</v>
      </c>
      <c r="F324" s="3" t="s">
        <v>35</v>
      </c>
      <c r="G324" s="78">
        <v>75.89</v>
      </c>
      <c r="H324" s="20">
        <f>ROUND(E324*G324,2)</f>
        <v>1954.93</v>
      </c>
    </row>
    <row r="325" spans="1:8" ht="20.100000000000001" customHeight="1" x14ac:dyDescent="0.25">
      <c r="A325" s="59" t="s">
        <v>1508</v>
      </c>
      <c r="B325" s="3" t="s">
        <v>17</v>
      </c>
      <c r="C325" s="43" t="s">
        <v>502</v>
      </c>
      <c r="D325" s="43" t="s">
        <v>502</v>
      </c>
      <c r="E325" s="78">
        <v>13.44</v>
      </c>
      <c r="F325" s="3" t="s">
        <v>35</v>
      </c>
      <c r="G325" s="78">
        <v>75.89</v>
      </c>
      <c r="H325" s="20">
        <f>ROUND(E325*G325,2)</f>
        <v>1019.96</v>
      </c>
    </row>
    <row r="326" spans="1:8" ht="20.100000000000001" customHeight="1" x14ac:dyDescent="0.25">
      <c r="A326" s="52"/>
      <c r="B326" s="9"/>
      <c r="C326" s="44" t="s">
        <v>1240</v>
      </c>
      <c r="D326" s="44" t="s">
        <v>1509</v>
      </c>
      <c r="E326" s="78">
        <v>1</v>
      </c>
      <c r="F326" s="9"/>
      <c r="G326" s="79">
        <f>SUM(H324:H325)</f>
        <v>2974.89</v>
      </c>
      <c r="H326" s="29">
        <f>ROUND(E326*G326,2)</f>
        <v>2974.89</v>
      </c>
    </row>
    <row r="327" spans="1:8" ht="20.100000000000001" customHeight="1" x14ac:dyDescent="0.25">
      <c r="A327" s="60"/>
      <c r="B327" s="12"/>
      <c r="C327" s="45"/>
      <c r="D327" s="45"/>
      <c r="E327" s="34"/>
      <c r="F327" s="12"/>
      <c r="G327" s="34"/>
      <c r="H327" s="30"/>
    </row>
    <row r="328" spans="1:8" ht="20.100000000000001" customHeight="1" x14ac:dyDescent="0.25">
      <c r="A328" s="63"/>
      <c r="B328" s="18" t="s">
        <v>9</v>
      </c>
      <c r="C328" s="48" t="s">
        <v>503</v>
      </c>
      <c r="D328" s="48" t="s">
        <v>1241</v>
      </c>
      <c r="E328" s="82">
        <f>E337</f>
        <v>1</v>
      </c>
      <c r="F328" s="18" t="s">
        <v>65</v>
      </c>
      <c r="G328" s="82">
        <f>G337</f>
        <v>3526.88</v>
      </c>
      <c r="H328" s="32">
        <f>H337</f>
        <v>3526.88</v>
      </c>
    </row>
    <row r="329" spans="1:8" ht="20.100000000000001" customHeight="1" x14ac:dyDescent="0.25">
      <c r="A329" s="59" t="s">
        <v>1510</v>
      </c>
      <c r="B329" s="3" t="s">
        <v>17</v>
      </c>
      <c r="C329" s="43" t="s">
        <v>505</v>
      </c>
      <c r="D329" s="43" t="s">
        <v>505</v>
      </c>
      <c r="E329" s="78">
        <v>7.84</v>
      </c>
      <c r="F329" s="3" t="s">
        <v>35</v>
      </c>
      <c r="G329" s="78">
        <v>53.6</v>
      </c>
      <c r="H329" s="20">
        <f t="shared" ref="H329:H337" si="3">ROUND(E329*G329,2)</f>
        <v>420.22</v>
      </c>
    </row>
    <row r="330" spans="1:8" ht="20.100000000000001" customHeight="1" x14ac:dyDescent="0.25">
      <c r="A330" s="59" t="s">
        <v>1511</v>
      </c>
      <c r="B330" s="3" t="s">
        <v>17</v>
      </c>
      <c r="C330" s="43" t="s">
        <v>507</v>
      </c>
      <c r="D330" s="43" t="s">
        <v>507</v>
      </c>
      <c r="E330" s="78">
        <v>3.56</v>
      </c>
      <c r="F330" s="3" t="s">
        <v>35</v>
      </c>
      <c r="G330" s="78">
        <v>53.6</v>
      </c>
      <c r="H330" s="20">
        <f t="shared" si="3"/>
        <v>190.82</v>
      </c>
    </row>
    <row r="331" spans="1:8" ht="20.100000000000001" customHeight="1" x14ac:dyDescent="0.25">
      <c r="A331" s="59" t="s">
        <v>1512</v>
      </c>
      <c r="B331" s="3" t="s">
        <v>17</v>
      </c>
      <c r="C331" s="43" t="s">
        <v>509</v>
      </c>
      <c r="D331" s="43" t="s">
        <v>509</v>
      </c>
      <c r="E331" s="78">
        <v>2.7</v>
      </c>
      <c r="F331" s="3" t="s">
        <v>35</v>
      </c>
      <c r="G331" s="78">
        <v>53.6</v>
      </c>
      <c r="H331" s="20">
        <f t="shared" si="3"/>
        <v>144.72</v>
      </c>
    </row>
    <row r="332" spans="1:8" ht="20.100000000000001" customHeight="1" x14ac:dyDescent="0.25">
      <c r="A332" s="59" t="s">
        <v>1513</v>
      </c>
      <c r="B332" s="3" t="s">
        <v>17</v>
      </c>
      <c r="C332" s="43" t="s">
        <v>511</v>
      </c>
      <c r="D332" s="43" t="s">
        <v>511</v>
      </c>
      <c r="E332" s="78">
        <v>16.850000000000001</v>
      </c>
      <c r="F332" s="3" t="s">
        <v>35</v>
      </c>
      <c r="G332" s="78">
        <v>53.6</v>
      </c>
      <c r="H332" s="20">
        <f t="shared" si="3"/>
        <v>903.16</v>
      </c>
    </row>
    <row r="333" spans="1:8" ht="20.100000000000001" customHeight="1" x14ac:dyDescent="0.25">
      <c r="A333" s="59" t="s">
        <v>1514</v>
      </c>
      <c r="B333" s="3" t="s">
        <v>17</v>
      </c>
      <c r="C333" s="43" t="s">
        <v>513</v>
      </c>
      <c r="D333" s="43" t="s">
        <v>513</v>
      </c>
      <c r="E333" s="78">
        <v>7.82</v>
      </c>
      <c r="F333" s="3" t="s">
        <v>35</v>
      </c>
      <c r="G333" s="78">
        <v>53.6</v>
      </c>
      <c r="H333" s="20">
        <f t="shared" si="3"/>
        <v>419.15</v>
      </c>
    </row>
    <row r="334" spans="1:8" ht="20.100000000000001" customHeight="1" x14ac:dyDescent="0.25">
      <c r="A334" s="59" t="s">
        <v>1515</v>
      </c>
      <c r="B334" s="3" t="s">
        <v>17</v>
      </c>
      <c r="C334" s="43" t="s">
        <v>515</v>
      </c>
      <c r="D334" s="43" t="s">
        <v>515</v>
      </c>
      <c r="E334" s="78">
        <v>3.55</v>
      </c>
      <c r="F334" s="3" t="s">
        <v>35</v>
      </c>
      <c r="G334" s="78">
        <v>53.6</v>
      </c>
      <c r="H334" s="20">
        <f t="shared" si="3"/>
        <v>190.28</v>
      </c>
    </row>
    <row r="335" spans="1:8" ht="20.100000000000001" customHeight="1" x14ac:dyDescent="0.25">
      <c r="A335" s="59" t="s">
        <v>1516</v>
      </c>
      <c r="B335" s="3" t="s">
        <v>17</v>
      </c>
      <c r="C335" s="43" t="s">
        <v>517</v>
      </c>
      <c r="D335" s="43" t="s">
        <v>517</v>
      </c>
      <c r="E335" s="78">
        <v>9.61</v>
      </c>
      <c r="F335" s="3" t="s">
        <v>35</v>
      </c>
      <c r="G335" s="78">
        <v>53.6</v>
      </c>
      <c r="H335" s="20">
        <f t="shared" si="3"/>
        <v>515.1</v>
      </c>
    </row>
    <row r="336" spans="1:8" ht="20.100000000000001" customHeight="1" x14ac:dyDescent="0.25">
      <c r="A336" s="59" t="s">
        <v>1517</v>
      </c>
      <c r="B336" s="3" t="s">
        <v>17</v>
      </c>
      <c r="C336" s="43" t="s">
        <v>519</v>
      </c>
      <c r="D336" s="43" t="s">
        <v>519</v>
      </c>
      <c r="E336" s="78">
        <v>13.87</v>
      </c>
      <c r="F336" s="3" t="s">
        <v>35</v>
      </c>
      <c r="G336" s="78">
        <v>53.6</v>
      </c>
      <c r="H336" s="20">
        <f t="shared" si="3"/>
        <v>743.43</v>
      </c>
    </row>
    <row r="337" spans="1:8" ht="20.100000000000001" customHeight="1" x14ac:dyDescent="0.25">
      <c r="A337" s="52"/>
      <c r="B337" s="9"/>
      <c r="C337" s="44" t="s">
        <v>1242</v>
      </c>
      <c r="D337" s="44" t="s">
        <v>1518</v>
      </c>
      <c r="E337" s="78">
        <v>1</v>
      </c>
      <c r="F337" s="9"/>
      <c r="G337" s="79">
        <f>SUM(H329:H336)</f>
        <v>3526.88</v>
      </c>
      <c r="H337" s="29">
        <f t="shared" si="3"/>
        <v>3526.88</v>
      </c>
    </row>
    <row r="338" spans="1:8" ht="20.100000000000001" customHeight="1" x14ac:dyDescent="0.25">
      <c r="A338" s="60"/>
      <c r="B338" s="12"/>
      <c r="C338" s="45"/>
      <c r="D338" s="45"/>
      <c r="E338" s="34"/>
      <c r="F338" s="12"/>
      <c r="G338" s="34"/>
      <c r="H338" s="30"/>
    </row>
    <row r="339" spans="1:8" ht="20.100000000000001" customHeight="1" x14ac:dyDescent="0.25">
      <c r="A339" s="63"/>
      <c r="B339" s="18" t="s">
        <v>9</v>
      </c>
      <c r="C339" s="48" t="s">
        <v>520</v>
      </c>
      <c r="D339" s="48" t="s">
        <v>1244</v>
      </c>
      <c r="E339" s="82">
        <f>E341</f>
        <v>1</v>
      </c>
      <c r="F339" s="18" t="s">
        <v>65</v>
      </c>
      <c r="G339" s="82">
        <f>G341</f>
        <v>2637.09</v>
      </c>
      <c r="H339" s="32">
        <f>H341</f>
        <v>2637.09</v>
      </c>
    </row>
    <row r="340" spans="1:8" ht="20.100000000000001" customHeight="1" x14ac:dyDescent="0.25">
      <c r="A340" s="59" t="s">
        <v>1519</v>
      </c>
      <c r="B340" s="3" t="s">
        <v>17</v>
      </c>
      <c r="C340" s="43" t="s">
        <v>436</v>
      </c>
      <c r="D340" s="43" t="s">
        <v>436</v>
      </c>
      <c r="E340" s="78">
        <v>46.94</v>
      </c>
      <c r="F340" s="3" t="s">
        <v>35</v>
      </c>
      <c r="G340" s="78">
        <v>56.18</v>
      </c>
      <c r="H340" s="20">
        <f>ROUND(E340*G340,2)</f>
        <v>2637.09</v>
      </c>
    </row>
    <row r="341" spans="1:8" ht="20.100000000000001" customHeight="1" x14ac:dyDescent="0.25">
      <c r="A341" s="52"/>
      <c r="B341" s="9"/>
      <c r="C341" s="44" t="s">
        <v>1243</v>
      </c>
      <c r="D341" s="44" t="s">
        <v>1522</v>
      </c>
      <c r="E341" s="78">
        <v>1</v>
      </c>
      <c r="F341" s="9"/>
      <c r="G341" s="79">
        <f>H340</f>
        <v>2637.09</v>
      </c>
      <c r="H341" s="29">
        <f>ROUND(E341*G341,2)</f>
        <v>2637.09</v>
      </c>
    </row>
    <row r="342" spans="1:8" ht="20.100000000000001" customHeight="1" x14ac:dyDescent="0.25">
      <c r="A342" s="60"/>
      <c r="B342" s="12"/>
      <c r="C342" s="45"/>
      <c r="D342" s="45"/>
      <c r="E342" s="34"/>
      <c r="F342" s="12"/>
      <c r="G342" s="34"/>
      <c r="H342" s="30"/>
    </row>
    <row r="343" spans="1:8" ht="20.100000000000001" customHeight="1" x14ac:dyDescent="0.25">
      <c r="A343" s="63"/>
      <c r="B343" s="18" t="s">
        <v>9</v>
      </c>
      <c r="C343" s="48" t="s">
        <v>523</v>
      </c>
      <c r="D343" s="48" t="s">
        <v>1245</v>
      </c>
      <c r="E343" s="82">
        <f>E345</f>
        <v>1</v>
      </c>
      <c r="F343" s="18" t="s">
        <v>65</v>
      </c>
      <c r="G343" s="82">
        <f>G345</f>
        <v>2239.77</v>
      </c>
      <c r="H343" s="32">
        <f>H345</f>
        <v>2239.77</v>
      </c>
    </row>
    <row r="344" spans="1:8" ht="20.100000000000001" customHeight="1" x14ac:dyDescent="0.25">
      <c r="A344" s="59" t="s">
        <v>1520</v>
      </c>
      <c r="B344" s="3" t="s">
        <v>17</v>
      </c>
      <c r="C344" s="43" t="s">
        <v>525</v>
      </c>
      <c r="D344" s="43" t="s">
        <v>1246</v>
      </c>
      <c r="E344" s="78">
        <v>39.53</v>
      </c>
      <c r="F344" s="3" t="s">
        <v>18</v>
      </c>
      <c r="G344" s="78">
        <v>56.66</v>
      </c>
      <c r="H344" s="20">
        <f>ROUND(E344*G344,2)</f>
        <v>2239.77</v>
      </c>
    </row>
    <row r="345" spans="1:8" ht="20.100000000000001" customHeight="1" x14ac:dyDescent="0.25">
      <c r="A345" s="52"/>
      <c r="B345" s="9"/>
      <c r="C345" s="44" t="s">
        <v>1235</v>
      </c>
      <c r="D345" s="44" t="s">
        <v>1521</v>
      </c>
      <c r="E345" s="78">
        <v>1</v>
      </c>
      <c r="F345" s="9"/>
      <c r="G345" s="79">
        <f>H344</f>
        <v>2239.77</v>
      </c>
      <c r="H345" s="29">
        <f>ROUND(E345*G345,2)</f>
        <v>2239.77</v>
      </c>
    </row>
    <row r="346" spans="1:8" ht="20.100000000000001" customHeight="1" x14ac:dyDescent="0.25">
      <c r="A346" s="60"/>
      <c r="B346" s="12"/>
      <c r="C346" s="45"/>
      <c r="D346" s="45"/>
      <c r="E346" s="34"/>
      <c r="F346" s="12"/>
      <c r="G346" s="34"/>
      <c r="H346" s="30"/>
    </row>
    <row r="347" spans="1:8" ht="20.100000000000001" customHeight="1" x14ac:dyDescent="0.25">
      <c r="A347" s="63"/>
      <c r="B347" s="18" t="s">
        <v>9</v>
      </c>
      <c r="C347" s="48" t="s">
        <v>526</v>
      </c>
      <c r="D347" s="48" t="s">
        <v>1247</v>
      </c>
      <c r="E347" s="82">
        <f>E352</f>
        <v>1</v>
      </c>
      <c r="F347" s="18" t="s">
        <v>65</v>
      </c>
      <c r="G347" s="82">
        <f>G352</f>
        <v>7076.41</v>
      </c>
      <c r="H347" s="32">
        <f>H352</f>
        <v>7076.41</v>
      </c>
    </row>
    <row r="348" spans="1:8" ht="20.100000000000001" customHeight="1" x14ac:dyDescent="0.25">
      <c r="A348" s="59" t="s">
        <v>1523</v>
      </c>
      <c r="B348" s="3" t="s">
        <v>17</v>
      </c>
      <c r="C348" s="43" t="s">
        <v>528</v>
      </c>
      <c r="D348" s="43" t="s">
        <v>1267</v>
      </c>
      <c r="E348" s="78">
        <v>19.739999999999998</v>
      </c>
      <c r="F348" s="3" t="s">
        <v>277</v>
      </c>
      <c r="G348" s="78">
        <v>16.61</v>
      </c>
      <c r="H348" s="20">
        <f>ROUND(E348*G348,2)</f>
        <v>327.88</v>
      </c>
    </row>
    <row r="349" spans="1:8" ht="20.100000000000001" customHeight="1" x14ac:dyDescent="0.25">
      <c r="A349" s="59" t="s">
        <v>1524</v>
      </c>
      <c r="B349" s="3" t="s">
        <v>17</v>
      </c>
      <c r="C349" s="43" t="s">
        <v>530</v>
      </c>
      <c r="D349" s="43" t="s">
        <v>1268</v>
      </c>
      <c r="E349" s="78">
        <v>141.07</v>
      </c>
      <c r="F349" s="3" t="s">
        <v>277</v>
      </c>
      <c r="G349" s="78">
        <v>35.24</v>
      </c>
      <c r="H349" s="20">
        <f>ROUND(E349*G349,2)</f>
        <v>4971.3100000000004</v>
      </c>
    </row>
    <row r="350" spans="1:8" ht="20.100000000000001" customHeight="1" x14ac:dyDescent="0.25">
      <c r="A350" s="59" t="s">
        <v>1525</v>
      </c>
      <c r="B350" s="3" t="s">
        <v>17</v>
      </c>
      <c r="C350" s="43" t="s">
        <v>532</v>
      </c>
      <c r="D350" s="43" t="s">
        <v>1269</v>
      </c>
      <c r="E350" s="78">
        <v>50.37</v>
      </c>
      <c r="F350" s="3" t="s">
        <v>277</v>
      </c>
      <c r="G350" s="78">
        <v>15.66</v>
      </c>
      <c r="H350" s="20">
        <f>ROUND(E350*G350,2)</f>
        <v>788.79</v>
      </c>
    </row>
    <row r="351" spans="1:8" ht="20.100000000000001" customHeight="1" x14ac:dyDescent="0.25">
      <c r="A351" s="59" t="s">
        <v>1526</v>
      </c>
      <c r="B351" s="3" t="s">
        <v>17</v>
      </c>
      <c r="C351" s="43" t="s">
        <v>534</v>
      </c>
      <c r="D351" s="43" t="s">
        <v>1248</v>
      </c>
      <c r="E351" s="78">
        <v>63.28</v>
      </c>
      <c r="F351" s="3" t="s">
        <v>277</v>
      </c>
      <c r="G351" s="78">
        <v>15.62</v>
      </c>
      <c r="H351" s="20">
        <f>ROUND(E351*G351,2)</f>
        <v>988.43</v>
      </c>
    </row>
    <row r="352" spans="1:8" ht="20.100000000000001" customHeight="1" x14ac:dyDescent="0.25">
      <c r="A352" s="52"/>
      <c r="B352" s="9"/>
      <c r="C352" s="44" t="s">
        <v>1234</v>
      </c>
      <c r="D352" s="44" t="s">
        <v>1527</v>
      </c>
      <c r="E352" s="78">
        <v>1</v>
      </c>
      <c r="F352" s="9"/>
      <c r="G352" s="79">
        <f>SUM(H348:H351)</f>
        <v>7076.41</v>
      </c>
      <c r="H352" s="29">
        <f>ROUND(E352*G352,2)</f>
        <v>7076.41</v>
      </c>
    </row>
    <row r="353" spans="1:8" ht="20.100000000000001" customHeight="1" x14ac:dyDescent="0.25">
      <c r="A353" s="60"/>
      <c r="B353" s="12"/>
      <c r="C353" s="45"/>
      <c r="D353" s="45"/>
      <c r="E353" s="34"/>
      <c r="F353" s="12"/>
      <c r="G353" s="34"/>
      <c r="H353" s="30"/>
    </row>
    <row r="354" spans="1:8" ht="20.100000000000001" customHeight="1" x14ac:dyDescent="0.25">
      <c r="A354" s="63"/>
      <c r="B354" s="18" t="s">
        <v>9</v>
      </c>
      <c r="C354" s="48" t="s">
        <v>536</v>
      </c>
      <c r="D354" s="48" t="s">
        <v>1249</v>
      </c>
      <c r="E354" s="82">
        <f>E359</f>
        <v>1</v>
      </c>
      <c r="F354" s="18" t="s">
        <v>65</v>
      </c>
      <c r="G354" s="82">
        <f>G359</f>
        <v>5387.06</v>
      </c>
      <c r="H354" s="32">
        <f>H359</f>
        <v>5387.06</v>
      </c>
    </row>
    <row r="355" spans="1:8" ht="20.100000000000001" customHeight="1" x14ac:dyDescent="0.25">
      <c r="A355" s="59" t="s">
        <v>1529</v>
      </c>
      <c r="B355" s="3" t="s">
        <v>17</v>
      </c>
      <c r="C355" s="43" t="s">
        <v>538</v>
      </c>
      <c r="D355" s="43" t="s">
        <v>1250</v>
      </c>
      <c r="E355" s="78">
        <v>54.54</v>
      </c>
      <c r="F355" s="3" t="s">
        <v>277</v>
      </c>
      <c r="G355" s="78">
        <v>34.64</v>
      </c>
      <c r="H355" s="20">
        <f>ROUND(E355*G355,2)</f>
        <v>1889.27</v>
      </c>
    </row>
    <row r="356" spans="1:8" ht="20.100000000000001" customHeight="1" x14ac:dyDescent="0.25">
      <c r="A356" s="59" t="s">
        <v>1530</v>
      </c>
      <c r="B356" s="3" t="s">
        <v>17</v>
      </c>
      <c r="C356" s="43" t="s">
        <v>540</v>
      </c>
      <c r="D356" s="43" t="s">
        <v>1251</v>
      </c>
      <c r="E356" s="78">
        <v>7.05</v>
      </c>
      <c r="F356" s="3" t="s">
        <v>277</v>
      </c>
      <c r="G356" s="78">
        <v>20.96</v>
      </c>
      <c r="H356" s="20">
        <f>ROUND(E356*G356,2)</f>
        <v>147.77000000000001</v>
      </c>
    </row>
    <row r="357" spans="1:8" ht="20.100000000000001" customHeight="1" x14ac:dyDescent="0.25">
      <c r="A357" s="59" t="s">
        <v>1531</v>
      </c>
      <c r="B357" s="3" t="s">
        <v>17</v>
      </c>
      <c r="C357" s="43" t="s">
        <v>542</v>
      </c>
      <c r="D357" s="43" t="s">
        <v>1252</v>
      </c>
      <c r="E357" s="78">
        <v>8.15</v>
      </c>
      <c r="F357" s="3" t="s">
        <v>277</v>
      </c>
      <c r="G357" s="78">
        <v>50.29</v>
      </c>
      <c r="H357" s="20">
        <f>ROUND(E357*G357,2)</f>
        <v>409.86</v>
      </c>
    </row>
    <row r="358" spans="1:8" ht="20.100000000000001" customHeight="1" x14ac:dyDescent="0.25">
      <c r="A358" s="59" t="s">
        <v>1532</v>
      </c>
      <c r="B358" s="3" t="s">
        <v>17</v>
      </c>
      <c r="C358" s="43" t="s">
        <v>544</v>
      </c>
      <c r="D358" s="43" t="s">
        <v>1253</v>
      </c>
      <c r="E358" s="78">
        <v>81.22</v>
      </c>
      <c r="F358" s="3" t="s">
        <v>277</v>
      </c>
      <c r="G358" s="78">
        <v>36.200000000000003</v>
      </c>
      <c r="H358" s="20">
        <f>ROUND(E358*G358,2)</f>
        <v>2940.16</v>
      </c>
    </row>
    <row r="359" spans="1:8" ht="20.100000000000001" customHeight="1" x14ac:dyDescent="0.25">
      <c r="A359" s="52"/>
      <c r="B359" s="9"/>
      <c r="C359" s="44" t="s">
        <v>1233</v>
      </c>
      <c r="D359" s="44" t="s">
        <v>1533</v>
      </c>
      <c r="E359" s="78">
        <v>1</v>
      </c>
      <c r="F359" s="9"/>
      <c r="G359" s="79">
        <f>SUM(H355:H358)</f>
        <v>5387.06</v>
      </c>
      <c r="H359" s="29">
        <f>ROUND(E359*G359,2)</f>
        <v>5387.06</v>
      </c>
    </row>
    <row r="360" spans="1:8" ht="20.100000000000001" customHeight="1" x14ac:dyDescent="0.25">
      <c r="A360" s="60"/>
      <c r="B360" s="12"/>
      <c r="C360" s="45"/>
      <c r="D360" s="45"/>
      <c r="E360" s="34"/>
      <c r="F360" s="12"/>
      <c r="G360" s="34"/>
      <c r="H360" s="30"/>
    </row>
    <row r="361" spans="1:8" ht="20.100000000000001" customHeight="1" x14ac:dyDescent="0.25">
      <c r="A361" s="52"/>
      <c r="B361" s="9"/>
      <c r="C361" s="44" t="s">
        <v>545</v>
      </c>
      <c r="D361" s="44" t="s">
        <v>545</v>
      </c>
      <c r="E361" s="78">
        <v>1</v>
      </c>
      <c r="F361" s="9"/>
      <c r="G361" s="79">
        <f>H304+H317+H323+H328+H339+H343+H347+H354</f>
        <v>54818.34</v>
      </c>
      <c r="H361" s="29">
        <f>ROUND(E361*G361,2)</f>
        <v>54818.34</v>
      </c>
    </row>
    <row r="362" spans="1:8" ht="20.100000000000001" customHeight="1" x14ac:dyDescent="0.25">
      <c r="A362" s="60"/>
      <c r="B362" s="12"/>
      <c r="C362" s="45"/>
      <c r="D362" s="45"/>
      <c r="E362" s="34"/>
      <c r="F362" s="12"/>
      <c r="G362" s="34"/>
      <c r="H362" s="30"/>
    </row>
    <row r="363" spans="1:8" ht="20.100000000000001" customHeight="1" x14ac:dyDescent="0.25">
      <c r="A363" s="62" t="s">
        <v>87</v>
      </c>
      <c r="B363" s="7" t="s">
        <v>9</v>
      </c>
      <c r="C363" s="47" t="s">
        <v>547</v>
      </c>
      <c r="D363" s="47" t="s">
        <v>1254</v>
      </c>
      <c r="E363" s="81">
        <f>E372</f>
        <v>1</v>
      </c>
      <c r="F363" s="7" t="s">
        <v>65</v>
      </c>
      <c r="G363" s="81">
        <f>G372</f>
        <v>8736.61</v>
      </c>
      <c r="H363" s="21">
        <f>H372</f>
        <v>8736.61</v>
      </c>
    </row>
    <row r="364" spans="1:8" ht="20.100000000000001" customHeight="1" x14ac:dyDescent="0.25">
      <c r="A364" s="63"/>
      <c r="B364" s="18" t="s">
        <v>9</v>
      </c>
      <c r="C364" s="48" t="s">
        <v>548</v>
      </c>
      <c r="D364" s="48" t="s">
        <v>1256</v>
      </c>
      <c r="E364" s="82">
        <f>E366</f>
        <v>1</v>
      </c>
      <c r="F364" s="18" t="s">
        <v>65</v>
      </c>
      <c r="G364" s="82">
        <f>G366</f>
        <v>5663.25</v>
      </c>
      <c r="H364" s="32">
        <f>H366</f>
        <v>5663.25</v>
      </c>
    </row>
    <row r="365" spans="1:8" ht="20.100000000000001" customHeight="1" x14ac:dyDescent="0.25">
      <c r="A365" s="59" t="s">
        <v>89</v>
      </c>
      <c r="B365" s="3" t="s">
        <v>17</v>
      </c>
      <c r="C365" s="43" t="s">
        <v>550</v>
      </c>
      <c r="D365" s="43" t="s">
        <v>1255</v>
      </c>
      <c r="E365" s="78">
        <v>1</v>
      </c>
      <c r="F365" s="3" t="s">
        <v>10</v>
      </c>
      <c r="G365" s="78">
        <v>5663.25</v>
      </c>
      <c r="H365" s="20">
        <f>ROUND(E365*G365,2)</f>
        <v>5663.25</v>
      </c>
    </row>
    <row r="366" spans="1:8" ht="20.100000000000001" customHeight="1" x14ac:dyDescent="0.25">
      <c r="A366" s="52"/>
      <c r="B366" s="9"/>
      <c r="C366" s="44" t="s">
        <v>1257</v>
      </c>
      <c r="D366" s="44" t="s">
        <v>1535</v>
      </c>
      <c r="E366" s="78">
        <v>1</v>
      </c>
      <c r="F366" s="9"/>
      <c r="G366" s="79">
        <f>H365</f>
        <v>5663.25</v>
      </c>
      <c r="H366" s="29">
        <f>ROUND(E366*G366,2)</f>
        <v>5663.25</v>
      </c>
    </row>
    <row r="367" spans="1:8" ht="20.100000000000001" customHeight="1" x14ac:dyDescent="0.25">
      <c r="A367" s="60"/>
      <c r="B367" s="12"/>
      <c r="C367" s="45"/>
      <c r="D367" s="45"/>
      <c r="E367" s="34"/>
      <c r="F367" s="12"/>
      <c r="G367" s="34"/>
      <c r="H367" s="30"/>
    </row>
    <row r="368" spans="1:8" ht="20.100000000000001" customHeight="1" x14ac:dyDescent="0.25">
      <c r="A368" s="63"/>
      <c r="B368" s="18" t="s">
        <v>9</v>
      </c>
      <c r="C368" s="48" t="s">
        <v>551</v>
      </c>
      <c r="D368" s="48" t="s">
        <v>1259</v>
      </c>
      <c r="E368" s="82">
        <f>E370</f>
        <v>1</v>
      </c>
      <c r="F368" s="18" t="s">
        <v>65</v>
      </c>
      <c r="G368" s="82">
        <f>G370</f>
        <v>3073.36</v>
      </c>
      <c r="H368" s="32">
        <f>H370</f>
        <v>3073.36</v>
      </c>
    </row>
    <row r="369" spans="1:8" ht="20.100000000000001" customHeight="1" x14ac:dyDescent="0.25">
      <c r="A369" s="59" t="s">
        <v>91</v>
      </c>
      <c r="B369" s="3" t="s">
        <v>17</v>
      </c>
      <c r="C369" s="43" t="s">
        <v>553</v>
      </c>
      <c r="D369" s="43" t="s">
        <v>1259</v>
      </c>
      <c r="E369" s="78">
        <v>1</v>
      </c>
      <c r="F369" s="3" t="s">
        <v>433</v>
      </c>
      <c r="G369" s="78">
        <v>3073.36</v>
      </c>
      <c r="H369" s="20">
        <f>ROUND(E369*G369,2)</f>
        <v>3073.36</v>
      </c>
    </row>
    <row r="370" spans="1:8" ht="20.100000000000001" customHeight="1" x14ac:dyDescent="0.25">
      <c r="A370" s="52"/>
      <c r="B370" s="9"/>
      <c r="C370" s="44" t="s">
        <v>1258</v>
      </c>
      <c r="D370" s="44" t="s">
        <v>1536</v>
      </c>
      <c r="E370" s="78">
        <v>1</v>
      </c>
      <c r="F370" s="9"/>
      <c r="G370" s="79">
        <f>H369</f>
        <v>3073.36</v>
      </c>
      <c r="H370" s="29">
        <f>ROUND(E370*G370,2)</f>
        <v>3073.36</v>
      </c>
    </row>
    <row r="371" spans="1:8" ht="20.100000000000001" customHeight="1" x14ac:dyDescent="0.25">
      <c r="A371" s="60"/>
      <c r="B371" s="12"/>
      <c r="C371" s="45"/>
      <c r="D371" s="45"/>
      <c r="E371" s="34"/>
      <c r="F371" s="12"/>
      <c r="G371" s="34"/>
      <c r="H371" s="30"/>
    </row>
    <row r="372" spans="1:8" ht="20.100000000000001" customHeight="1" x14ac:dyDescent="0.25">
      <c r="A372" s="52"/>
      <c r="B372" s="9"/>
      <c r="C372" s="44" t="s">
        <v>554</v>
      </c>
      <c r="D372" s="44" t="s">
        <v>162</v>
      </c>
      <c r="E372" s="78">
        <v>1</v>
      </c>
      <c r="F372" s="9"/>
      <c r="G372" s="79">
        <f>H364+H368</f>
        <v>8736.61</v>
      </c>
      <c r="H372" s="29">
        <f>ROUND(E372*G372,2)</f>
        <v>8736.61</v>
      </c>
    </row>
    <row r="373" spans="1:8" ht="20.100000000000001" customHeight="1" x14ac:dyDescent="0.25">
      <c r="A373" s="60"/>
      <c r="B373" s="12"/>
      <c r="C373" s="45"/>
      <c r="D373" s="45"/>
      <c r="E373" s="34"/>
      <c r="F373" s="12"/>
      <c r="G373" s="34"/>
      <c r="H373" s="30"/>
    </row>
    <row r="374" spans="1:8" s="4" customFormat="1" ht="39.950000000000003" customHeight="1" x14ac:dyDescent="0.25">
      <c r="A374" s="62" t="s">
        <v>163</v>
      </c>
      <c r="B374" s="7" t="s">
        <v>9</v>
      </c>
      <c r="C374" s="47" t="s">
        <v>556</v>
      </c>
      <c r="D374" s="47" t="s">
        <v>1260</v>
      </c>
      <c r="E374" s="81">
        <f>E379</f>
        <v>1</v>
      </c>
      <c r="F374" s="7" t="s">
        <v>65</v>
      </c>
      <c r="G374" s="81">
        <f>G379</f>
        <v>2652.53</v>
      </c>
      <c r="H374" s="21">
        <f>H379</f>
        <v>2652.53</v>
      </c>
    </row>
    <row r="375" spans="1:8" ht="20.100000000000001" customHeight="1" x14ac:dyDescent="0.25">
      <c r="A375" s="59" t="s">
        <v>165</v>
      </c>
      <c r="B375" s="3" t="s">
        <v>17</v>
      </c>
      <c r="C375" s="43" t="s">
        <v>558</v>
      </c>
      <c r="D375" s="91" t="s">
        <v>1262</v>
      </c>
      <c r="E375" s="78">
        <v>5.48</v>
      </c>
      <c r="F375" s="3" t="s">
        <v>35</v>
      </c>
      <c r="G375" s="78">
        <v>14.65</v>
      </c>
      <c r="H375" s="20">
        <f>ROUND(E375*G375,2)</f>
        <v>80.28</v>
      </c>
    </row>
    <row r="376" spans="1:8" ht="20.100000000000001" customHeight="1" x14ac:dyDescent="0.25">
      <c r="A376" s="59" t="s">
        <v>167</v>
      </c>
      <c r="B376" s="3" t="s">
        <v>17</v>
      </c>
      <c r="C376" s="43" t="s">
        <v>560</v>
      </c>
      <c r="D376" s="91" t="s">
        <v>1261</v>
      </c>
      <c r="E376" s="78">
        <v>78.7</v>
      </c>
      <c r="F376" s="3" t="s">
        <v>35</v>
      </c>
      <c r="G376" s="78">
        <v>14.65</v>
      </c>
      <c r="H376" s="20">
        <f>ROUND(E376*G376,2)</f>
        <v>1152.96</v>
      </c>
    </row>
    <row r="377" spans="1:8" ht="20.100000000000001" customHeight="1" x14ac:dyDescent="0.25">
      <c r="A377" s="59" t="s">
        <v>1537</v>
      </c>
      <c r="B377" s="3" t="s">
        <v>17</v>
      </c>
      <c r="C377" s="43" t="s">
        <v>562</v>
      </c>
      <c r="D377" s="91" t="s">
        <v>1263</v>
      </c>
      <c r="E377" s="78">
        <v>66.56</v>
      </c>
      <c r="F377" s="3" t="s">
        <v>35</v>
      </c>
      <c r="G377" s="78">
        <v>14.65</v>
      </c>
      <c r="H377" s="20">
        <f>ROUND(E377*G377,2)</f>
        <v>975.1</v>
      </c>
    </row>
    <row r="378" spans="1:8" ht="20.100000000000001" customHeight="1" x14ac:dyDescent="0.25">
      <c r="A378" s="59" t="s">
        <v>1538</v>
      </c>
      <c r="B378" s="3" t="s">
        <v>17</v>
      </c>
      <c r="C378" s="43" t="s">
        <v>564</v>
      </c>
      <c r="D378" s="91" t="s">
        <v>1264</v>
      </c>
      <c r="E378" s="78">
        <v>30.32</v>
      </c>
      <c r="F378" s="3" t="s">
        <v>35</v>
      </c>
      <c r="G378" s="78">
        <v>14.65</v>
      </c>
      <c r="H378" s="20">
        <f>ROUND(E378*G378,2)</f>
        <v>444.19</v>
      </c>
    </row>
    <row r="379" spans="1:8" ht="20.100000000000001" customHeight="1" x14ac:dyDescent="0.25">
      <c r="A379" s="52"/>
      <c r="B379" s="9"/>
      <c r="C379" s="44" t="s">
        <v>565</v>
      </c>
      <c r="D379" s="44" t="s">
        <v>169</v>
      </c>
      <c r="E379" s="78">
        <v>1</v>
      </c>
      <c r="F379" s="9"/>
      <c r="G379" s="79">
        <f>SUM(H375:H378)</f>
        <v>2652.53</v>
      </c>
      <c r="H379" s="29">
        <f>ROUND(E379*G379,2)</f>
        <v>2652.53</v>
      </c>
    </row>
    <row r="380" spans="1:8" ht="20.100000000000001" customHeight="1" x14ac:dyDescent="0.25">
      <c r="A380" s="60"/>
      <c r="B380" s="12"/>
      <c r="C380" s="45"/>
      <c r="D380" s="45"/>
      <c r="E380" s="34"/>
      <c r="F380" s="12"/>
      <c r="G380" s="34"/>
      <c r="H380" s="30"/>
    </row>
    <row r="381" spans="1:8" ht="20.100000000000001" customHeight="1" x14ac:dyDescent="0.25">
      <c r="A381" s="62" t="s">
        <v>173</v>
      </c>
      <c r="B381" s="7" t="s">
        <v>9</v>
      </c>
      <c r="C381" s="47" t="s">
        <v>567</v>
      </c>
      <c r="D381" s="47" t="s">
        <v>1270</v>
      </c>
      <c r="E381" s="81">
        <f>E394</f>
        <v>1</v>
      </c>
      <c r="F381" s="7" t="s">
        <v>65</v>
      </c>
      <c r="G381" s="81">
        <f>G394</f>
        <v>19831.59</v>
      </c>
      <c r="H381" s="21">
        <f>H394</f>
        <v>19831.59</v>
      </c>
    </row>
    <row r="382" spans="1:8" ht="20.100000000000001" customHeight="1" x14ac:dyDescent="0.25">
      <c r="A382" s="63"/>
      <c r="B382" s="18" t="s">
        <v>9</v>
      </c>
      <c r="C382" s="48" t="s">
        <v>568</v>
      </c>
      <c r="D382" s="48" t="s">
        <v>1271</v>
      </c>
      <c r="E382" s="82">
        <f>E384</f>
        <v>1</v>
      </c>
      <c r="F382" s="18" t="s">
        <v>65</v>
      </c>
      <c r="G382" s="82">
        <f>G384</f>
        <v>5340.24</v>
      </c>
      <c r="H382" s="32">
        <f>H384</f>
        <v>5340.24</v>
      </c>
    </row>
    <row r="383" spans="1:8" ht="20.100000000000001" customHeight="1" x14ac:dyDescent="0.25">
      <c r="A383" s="59" t="s">
        <v>174</v>
      </c>
      <c r="B383" s="3" t="s">
        <v>17</v>
      </c>
      <c r="C383" s="43" t="s">
        <v>570</v>
      </c>
      <c r="D383" s="43" t="s">
        <v>1272</v>
      </c>
      <c r="E383" s="78">
        <v>48.42</v>
      </c>
      <c r="F383" s="3" t="s">
        <v>18</v>
      </c>
      <c r="G383" s="78">
        <v>110.29</v>
      </c>
      <c r="H383" s="20">
        <f>ROUND(E383*G383,2)</f>
        <v>5340.24</v>
      </c>
    </row>
    <row r="384" spans="1:8" ht="20.100000000000001" customHeight="1" x14ac:dyDescent="0.25">
      <c r="A384" s="52"/>
      <c r="B384" s="9"/>
      <c r="C384" s="44" t="s">
        <v>1265</v>
      </c>
      <c r="D384" s="44" t="s">
        <v>1539</v>
      </c>
      <c r="E384" s="78">
        <v>1</v>
      </c>
      <c r="F384" s="9"/>
      <c r="G384" s="79">
        <f>H383</f>
        <v>5340.24</v>
      </c>
      <c r="H384" s="29">
        <f>ROUND(E384*G384,2)</f>
        <v>5340.24</v>
      </c>
    </row>
    <row r="385" spans="1:8" ht="20.100000000000001" customHeight="1" x14ac:dyDescent="0.25">
      <c r="A385" s="60"/>
      <c r="B385" s="12"/>
      <c r="C385" s="45"/>
      <c r="D385" s="45"/>
      <c r="E385" s="34"/>
      <c r="F385" s="12"/>
      <c r="G385" s="34"/>
      <c r="H385" s="30"/>
    </row>
    <row r="386" spans="1:8" ht="20.100000000000001" customHeight="1" x14ac:dyDescent="0.25">
      <c r="A386" s="63"/>
      <c r="B386" s="18" t="s">
        <v>9</v>
      </c>
      <c r="C386" s="48" t="s">
        <v>571</v>
      </c>
      <c r="D386" s="48" t="s">
        <v>1273</v>
      </c>
      <c r="E386" s="82">
        <f>E392</f>
        <v>1</v>
      </c>
      <c r="F386" s="18" t="s">
        <v>65</v>
      </c>
      <c r="G386" s="82">
        <f>G392</f>
        <v>14491.35</v>
      </c>
      <c r="H386" s="32">
        <f>H392</f>
        <v>14491.35</v>
      </c>
    </row>
    <row r="387" spans="1:8" ht="20.100000000000001" customHeight="1" x14ac:dyDescent="0.25">
      <c r="A387" s="59" t="s">
        <v>175</v>
      </c>
      <c r="B387" s="3" t="s">
        <v>17</v>
      </c>
      <c r="C387" s="43" t="s">
        <v>573</v>
      </c>
      <c r="D387" s="43" t="s">
        <v>1275</v>
      </c>
      <c r="E387" s="78">
        <v>21.46</v>
      </c>
      <c r="F387" s="3" t="s">
        <v>18</v>
      </c>
      <c r="G387" s="78">
        <v>105.77</v>
      </c>
      <c r="H387" s="20">
        <f t="shared" ref="H387:H392" si="4">ROUND(E387*G387,2)</f>
        <v>2269.8200000000002</v>
      </c>
    </row>
    <row r="388" spans="1:8" ht="20.100000000000001" customHeight="1" x14ac:dyDescent="0.25">
      <c r="A388" s="59" t="s">
        <v>177</v>
      </c>
      <c r="B388" s="3" t="s">
        <v>17</v>
      </c>
      <c r="C388" s="43" t="s">
        <v>575</v>
      </c>
      <c r="D388" s="43" t="s">
        <v>1277</v>
      </c>
      <c r="E388" s="78">
        <v>51.28</v>
      </c>
      <c r="F388" s="3" t="s">
        <v>18</v>
      </c>
      <c r="G388" s="78">
        <v>96.59</v>
      </c>
      <c r="H388" s="20">
        <f t="shared" si="4"/>
        <v>4953.1400000000003</v>
      </c>
    </row>
    <row r="389" spans="1:8" ht="20.100000000000001" customHeight="1" x14ac:dyDescent="0.25">
      <c r="A389" s="59" t="s">
        <v>178</v>
      </c>
      <c r="B389" s="3" t="s">
        <v>17</v>
      </c>
      <c r="C389" s="43" t="s">
        <v>577</v>
      </c>
      <c r="D389" s="43" t="s">
        <v>1276</v>
      </c>
      <c r="E389" s="78">
        <v>63.98</v>
      </c>
      <c r="F389" s="3" t="s">
        <v>18</v>
      </c>
      <c r="G389" s="78">
        <v>54.13</v>
      </c>
      <c r="H389" s="20">
        <f t="shared" si="4"/>
        <v>3463.24</v>
      </c>
    </row>
    <row r="390" spans="1:8" ht="20.100000000000001" customHeight="1" x14ac:dyDescent="0.25">
      <c r="A390" s="59" t="s">
        <v>179</v>
      </c>
      <c r="B390" s="3" t="s">
        <v>17</v>
      </c>
      <c r="C390" s="43" t="s">
        <v>579</v>
      </c>
      <c r="D390" s="43" t="s">
        <v>1275</v>
      </c>
      <c r="E390" s="78">
        <v>33.36</v>
      </c>
      <c r="F390" s="3" t="s">
        <v>18</v>
      </c>
      <c r="G390" s="78">
        <v>105.77</v>
      </c>
      <c r="H390" s="20">
        <f t="shared" si="4"/>
        <v>3528.49</v>
      </c>
    </row>
    <row r="391" spans="1:8" ht="20.100000000000001" customHeight="1" x14ac:dyDescent="0.25">
      <c r="A391" s="59" t="s">
        <v>180</v>
      </c>
      <c r="B391" s="3" t="s">
        <v>17</v>
      </c>
      <c r="C391" s="43" t="s">
        <v>581</v>
      </c>
      <c r="D391" s="91" t="s">
        <v>1274</v>
      </c>
      <c r="E391" s="78">
        <v>2</v>
      </c>
      <c r="F391" s="3" t="s">
        <v>10</v>
      </c>
      <c r="G391" s="78">
        <v>138.33000000000001</v>
      </c>
      <c r="H391" s="20">
        <f t="shared" si="4"/>
        <v>276.66000000000003</v>
      </c>
    </row>
    <row r="392" spans="1:8" ht="20.100000000000001" customHeight="1" x14ac:dyDescent="0.25">
      <c r="A392" s="52"/>
      <c r="B392" s="9"/>
      <c r="C392" s="44" t="s">
        <v>1266</v>
      </c>
      <c r="D392" s="44" t="s">
        <v>1540</v>
      </c>
      <c r="E392" s="78">
        <v>1</v>
      </c>
      <c r="F392" s="9"/>
      <c r="G392" s="79">
        <f>SUM(H387:H391)</f>
        <v>14491.35</v>
      </c>
      <c r="H392" s="29">
        <f t="shared" si="4"/>
        <v>14491.35</v>
      </c>
    </row>
    <row r="393" spans="1:8" ht="20.100000000000001" customHeight="1" x14ac:dyDescent="0.25">
      <c r="A393" s="60"/>
      <c r="B393" s="12"/>
      <c r="C393" s="45"/>
      <c r="D393" s="45"/>
      <c r="E393" s="34"/>
      <c r="F393" s="12"/>
      <c r="G393" s="34"/>
      <c r="H393" s="30"/>
    </row>
    <row r="394" spans="1:8" ht="20.100000000000001" customHeight="1" x14ac:dyDescent="0.25">
      <c r="A394" s="52"/>
      <c r="B394" s="9"/>
      <c r="C394" s="44" t="s">
        <v>582</v>
      </c>
      <c r="D394" s="44" t="s">
        <v>279</v>
      </c>
      <c r="E394" s="78">
        <v>1</v>
      </c>
      <c r="F394" s="9"/>
      <c r="G394" s="79">
        <f>H382+H386</f>
        <v>19831.59</v>
      </c>
      <c r="H394" s="29">
        <f>ROUND(E394*G394,2)</f>
        <v>19831.59</v>
      </c>
    </row>
    <row r="395" spans="1:8" ht="20.100000000000001" customHeight="1" x14ac:dyDescent="0.25">
      <c r="A395" s="60"/>
      <c r="B395" s="12"/>
      <c r="C395" s="45"/>
      <c r="D395" s="45"/>
      <c r="E395" s="34"/>
      <c r="F395" s="12"/>
      <c r="G395" s="34"/>
      <c r="H395" s="30"/>
    </row>
    <row r="396" spans="1:8" ht="20.100000000000001" customHeight="1" x14ac:dyDescent="0.25">
      <c r="A396" s="62" t="s">
        <v>280</v>
      </c>
      <c r="B396" s="7" t="s">
        <v>9</v>
      </c>
      <c r="C396" s="47" t="s">
        <v>584</v>
      </c>
      <c r="D396" s="47" t="s">
        <v>1278</v>
      </c>
      <c r="E396" s="81">
        <f>E428</f>
        <v>1</v>
      </c>
      <c r="F396" s="7" t="s">
        <v>65</v>
      </c>
      <c r="G396" s="81">
        <f>G428</f>
        <v>26059.42</v>
      </c>
      <c r="H396" s="21">
        <f>H428</f>
        <v>26059.42</v>
      </c>
    </row>
    <row r="397" spans="1:8" ht="20.100000000000001" customHeight="1" x14ac:dyDescent="0.25">
      <c r="A397" s="63"/>
      <c r="B397" s="18" t="s">
        <v>9</v>
      </c>
      <c r="C397" s="48" t="s">
        <v>1279</v>
      </c>
      <c r="D397" s="48" t="s">
        <v>1280</v>
      </c>
      <c r="E397" s="82">
        <f>E411</f>
        <v>1</v>
      </c>
      <c r="F397" s="18" t="s">
        <v>433</v>
      </c>
      <c r="G397" s="82">
        <f>G411</f>
        <v>21286.35</v>
      </c>
      <c r="H397" s="32">
        <f>H411</f>
        <v>21286.35</v>
      </c>
    </row>
    <row r="398" spans="1:8" ht="20.100000000000001" customHeight="1" x14ac:dyDescent="0.25">
      <c r="A398" s="59" t="s">
        <v>281</v>
      </c>
      <c r="B398" s="3" t="s">
        <v>17</v>
      </c>
      <c r="C398" s="43" t="s">
        <v>586</v>
      </c>
      <c r="D398" s="43" t="s">
        <v>1281</v>
      </c>
      <c r="E398" s="78">
        <v>3</v>
      </c>
      <c r="F398" s="3" t="s">
        <v>10</v>
      </c>
      <c r="G398" s="78">
        <v>521.42999999999995</v>
      </c>
      <c r="H398" s="20">
        <f t="shared" ref="H398:H411" si="5">ROUND(E398*G398,2)</f>
        <v>1564.29</v>
      </c>
    </row>
    <row r="399" spans="1:8" ht="20.100000000000001" customHeight="1" x14ac:dyDescent="0.25">
      <c r="A399" s="59" t="s">
        <v>283</v>
      </c>
      <c r="B399" s="3" t="s">
        <v>17</v>
      </c>
      <c r="C399" s="43" t="s">
        <v>588</v>
      </c>
      <c r="D399" s="43" t="s">
        <v>1282</v>
      </c>
      <c r="E399" s="78">
        <v>4</v>
      </c>
      <c r="F399" s="3" t="s">
        <v>10</v>
      </c>
      <c r="G399" s="78">
        <v>543.73</v>
      </c>
      <c r="H399" s="20">
        <f t="shared" si="5"/>
        <v>2174.92</v>
      </c>
    </row>
    <row r="400" spans="1:8" ht="20.100000000000001" customHeight="1" x14ac:dyDescent="0.25">
      <c r="A400" s="59" t="s">
        <v>285</v>
      </c>
      <c r="B400" s="3" t="s">
        <v>17</v>
      </c>
      <c r="C400" s="43" t="s">
        <v>590</v>
      </c>
      <c r="D400" s="43" t="s">
        <v>1283</v>
      </c>
      <c r="E400" s="78">
        <v>4</v>
      </c>
      <c r="F400" s="3" t="s">
        <v>10</v>
      </c>
      <c r="G400" s="78">
        <v>1661.35</v>
      </c>
      <c r="H400" s="20">
        <f t="shared" si="5"/>
        <v>6645.4</v>
      </c>
    </row>
    <row r="401" spans="1:8" ht="20.100000000000001" customHeight="1" x14ac:dyDescent="0.25">
      <c r="A401" s="59" t="s">
        <v>287</v>
      </c>
      <c r="B401" s="3" t="s">
        <v>17</v>
      </c>
      <c r="C401" s="43" t="s">
        <v>592</v>
      </c>
      <c r="D401" s="43" t="s">
        <v>1284</v>
      </c>
      <c r="E401" s="78">
        <v>2</v>
      </c>
      <c r="F401" s="3" t="s">
        <v>10</v>
      </c>
      <c r="G401" s="78">
        <v>2093.44</v>
      </c>
      <c r="H401" s="20">
        <f t="shared" si="5"/>
        <v>4186.88</v>
      </c>
    </row>
    <row r="402" spans="1:8" ht="20.100000000000001" customHeight="1" x14ac:dyDescent="0.25">
      <c r="A402" s="59" t="s">
        <v>1541</v>
      </c>
      <c r="B402" s="3" t="s">
        <v>17</v>
      </c>
      <c r="C402" s="43" t="s">
        <v>594</v>
      </c>
      <c r="D402" s="43" t="s">
        <v>1285</v>
      </c>
      <c r="E402" s="78">
        <v>2</v>
      </c>
      <c r="F402" s="3" t="s">
        <v>10</v>
      </c>
      <c r="G402" s="78">
        <v>1360.57</v>
      </c>
      <c r="H402" s="20">
        <f t="shared" si="5"/>
        <v>2721.14</v>
      </c>
    </row>
    <row r="403" spans="1:8" ht="20.100000000000001" customHeight="1" x14ac:dyDescent="0.25">
      <c r="A403" s="59" t="s">
        <v>1542</v>
      </c>
      <c r="B403" s="3" t="s">
        <v>17</v>
      </c>
      <c r="C403" s="43" t="s">
        <v>596</v>
      </c>
      <c r="D403" s="43" t="s">
        <v>1291</v>
      </c>
      <c r="E403" s="78">
        <v>2</v>
      </c>
      <c r="F403" s="3" t="s">
        <v>10</v>
      </c>
      <c r="G403" s="78">
        <v>307.58</v>
      </c>
      <c r="H403" s="20">
        <f t="shared" si="5"/>
        <v>615.16</v>
      </c>
    </row>
    <row r="404" spans="1:8" ht="20.100000000000001" customHeight="1" x14ac:dyDescent="0.25">
      <c r="A404" s="59" t="s">
        <v>1543</v>
      </c>
      <c r="B404" s="3" t="s">
        <v>17</v>
      </c>
      <c r="C404" s="43" t="s">
        <v>598</v>
      </c>
      <c r="D404" s="43" t="s">
        <v>1292</v>
      </c>
      <c r="E404" s="78">
        <v>8</v>
      </c>
      <c r="F404" s="3" t="s">
        <v>10</v>
      </c>
      <c r="G404" s="78">
        <v>162.97999999999999</v>
      </c>
      <c r="H404" s="20">
        <f t="shared" si="5"/>
        <v>1303.8399999999999</v>
      </c>
    </row>
    <row r="405" spans="1:8" ht="20.100000000000001" customHeight="1" x14ac:dyDescent="0.25">
      <c r="A405" s="59" t="s">
        <v>1544</v>
      </c>
      <c r="B405" s="3" t="s">
        <v>17</v>
      </c>
      <c r="C405" s="43" t="s">
        <v>600</v>
      </c>
      <c r="D405" s="43" t="s">
        <v>1290</v>
      </c>
      <c r="E405" s="78">
        <v>3</v>
      </c>
      <c r="F405" s="3" t="s">
        <v>10</v>
      </c>
      <c r="G405" s="78">
        <v>118.2</v>
      </c>
      <c r="H405" s="20">
        <f t="shared" si="5"/>
        <v>354.6</v>
      </c>
    </row>
    <row r="406" spans="1:8" ht="20.100000000000001" customHeight="1" x14ac:dyDescent="0.25">
      <c r="A406" s="59" t="s">
        <v>1545</v>
      </c>
      <c r="B406" s="3" t="s">
        <v>17</v>
      </c>
      <c r="C406" s="43" t="s">
        <v>602</v>
      </c>
      <c r="D406" s="43" t="s">
        <v>1289</v>
      </c>
      <c r="E406" s="78">
        <v>2</v>
      </c>
      <c r="F406" s="3" t="s">
        <v>10</v>
      </c>
      <c r="G406" s="78">
        <v>69.52</v>
      </c>
      <c r="H406" s="20">
        <f t="shared" si="5"/>
        <v>139.04</v>
      </c>
    </row>
    <row r="407" spans="1:8" ht="20.100000000000001" customHeight="1" x14ac:dyDescent="0.25">
      <c r="A407" s="59" t="s">
        <v>1546</v>
      </c>
      <c r="B407" s="3" t="s">
        <v>17</v>
      </c>
      <c r="C407" s="43" t="s">
        <v>604</v>
      </c>
      <c r="D407" s="43" t="s">
        <v>1288</v>
      </c>
      <c r="E407" s="78">
        <v>2</v>
      </c>
      <c r="F407" s="3" t="s">
        <v>10</v>
      </c>
      <c r="G407" s="78">
        <v>98.18</v>
      </c>
      <c r="H407" s="20">
        <f t="shared" si="5"/>
        <v>196.36</v>
      </c>
    </row>
    <row r="408" spans="1:8" ht="20.100000000000001" customHeight="1" x14ac:dyDescent="0.25">
      <c r="A408" s="59" t="s">
        <v>1547</v>
      </c>
      <c r="B408" s="3" t="s">
        <v>17</v>
      </c>
      <c r="C408" s="43" t="s">
        <v>1295</v>
      </c>
      <c r="D408" s="43" t="s">
        <v>1294</v>
      </c>
      <c r="E408" s="78">
        <v>2</v>
      </c>
      <c r="F408" s="3" t="s">
        <v>10</v>
      </c>
      <c r="G408" s="92">
        <v>127.22</v>
      </c>
      <c r="H408" s="20">
        <f t="shared" si="5"/>
        <v>254.44</v>
      </c>
    </row>
    <row r="409" spans="1:8" ht="20.100000000000001" customHeight="1" x14ac:dyDescent="0.25">
      <c r="A409" s="59" t="s">
        <v>1548</v>
      </c>
      <c r="B409" s="3" t="s">
        <v>17</v>
      </c>
      <c r="C409" s="43" t="s">
        <v>606</v>
      </c>
      <c r="D409" s="43" t="s">
        <v>1286</v>
      </c>
      <c r="E409" s="78">
        <v>2</v>
      </c>
      <c r="F409" s="3" t="s">
        <v>10</v>
      </c>
      <c r="G409" s="78">
        <v>499.09</v>
      </c>
      <c r="H409" s="20">
        <f t="shared" si="5"/>
        <v>998.18</v>
      </c>
    </row>
    <row r="410" spans="1:8" ht="20.100000000000001" customHeight="1" x14ac:dyDescent="0.25">
      <c r="A410" s="59" t="s">
        <v>1549</v>
      </c>
      <c r="B410" s="3" t="s">
        <v>17</v>
      </c>
      <c r="C410" s="43" t="s">
        <v>608</v>
      </c>
      <c r="D410" s="43" t="s">
        <v>1287</v>
      </c>
      <c r="E410" s="78">
        <v>2</v>
      </c>
      <c r="F410" s="3" t="s">
        <v>10</v>
      </c>
      <c r="G410" s="78">
        <v>66.05</v>
      </c>
      <c r="H410" s="20">
        <f t="shared" si="5"/>
        <v>132.1</v>
      </c>
    </row>
    <row r="411" spans="1:8" ht="20.100000000000001" customHeight="1" x14ac:dyDescent="0.25">
      <c r="A411" s="52"/>
      <c r="B411" s="9"/>
      <c r="C411" s="44" t="s">
        <v>1293</v>
      </c>
      <c r="D411" s="44" t="s">
        <v>1550</v>
      </c>
      <c r="E411" s="78">
        <v>1</v>
      </c>
      <c r="F411" s="9"/>
      <c r="G411" s="79">
        <f>SUM(H398:H410)</f>
        <v>21286.35</v>
      </c>
      <c r="H411" s="29">
        <f t="shared" si="5"/>
        <v>21286.35</v>
      </c>
    </row>
    <row r="412" spans="1:8" ht="20.100000000000001" customHeight="1" x14ac:dyDescent="0.25">
      <c r="A412" s="60"/>
      <c r="B412" s="12"/>
      <c r="C412" s="45"/>
      <c r="D412" s="45"/>
      <c r="E412" s="34"/>
      <c r="F412" s="12"/>
      <c r="G412" s="34"/>
      <c r="H412" s="30"/>
    </row>
    <row r="413" spans="1:8" ht="20.100000000000001" customHeight="1" x14ac:dyDescent="0.25">
      <c r="A413" s="63"/>
      <c r="B413" s="18" t="s">
        <v>9</v>
      </c>
      <c r="C413" s="48" t="s">
        <v>609</v>
      </c>
      <c r="D413" s="48" t="s">
        <v>1296</v>
      </c>
      <c r="E413" s="82">
        <f>E420</f>
        <v>1</v>
      </c>
      <c r="F413" s="18" t="s">
        <v>433</v>
      </c>
      <c r="G413" s="82">
        <f>G420</f>
        <v>2934.25</v>
      </c>
      <c r="H413" s="32">
        <f>H420</f>
        <v>2934.25</v>
      </c>
    </row>
    <row r="414" spans="1:8" ht="20.100000000000001" customHeight="1" x14ac:dyDescent="0.25">
      <c r="A414" s="59" t="s">
        <v>1552</v>
      </c>
      <c r="B414" s="3" t="s">
        <v>17</v>
      </c>
      <c r="C414" s="43" t="s">
        <v>611</v>
      </c>
      <c r="D414" s="91" t="s">
        <v>1301</v>
      </c>
      <c r="E414" s="78">
        <v>1</v>
      </c>
      <c r="F414" s="3" t="s">
        <v>154</v>
      </c>
      <c r="G414" s="78">
        <v>536.03</v>
      </c>
      <c r="H414" s="20">
        <f t="shared" ref="H414:H420" si="6">ROUND(E414*G414,2)</f>
        <v>536.03</v>
      </c>
    </row>
    <row r="415" spans="1:8" ht="20.100000000000001" customHeight="1" x14ac:dyDescent="0.25">
      <c r="A415" s="59" t="s">
        <v>1553</v>
      </c>
      <c r="B415" s="3" t="s">
        <v>17</v>
      </c>
      <c r="C415" s="43" t="s">
        <v>613</v>
      </c>
      <c r="D415" s="91" t="s">
        <v>1299</v>
      </c>
      <c r="E415" s="78">
        <v>2</v>
      </c>
      <c r="F415" s="3" t="s">
        <v>154</v>
      </c>
      <c r="G415" s="78">
        <v>693.35</v>
      </c>
      <c r="H415" s="20">
        <f t="shared" si="6"/>
        <v>1386.7</v>
      </c>
    </row>
    <row r="416" spans="1:8" ht="20.100000000000001" customHeight="1" x14ac:dyDescent="0.25">
      <c r="A416" s="59" t="s">
        <v>1554</v>
      </c>
      <c r="B416" s="3" t="s">
        <v>17</v>
      </c>
      <c r="C416" s="43" t="s">
        <v>615</v>
      </c>
      <c r="D416" s="91" t="s">
        <v>1298</v>
      </c>
      <c r="E416" s="78">
        <v>1</v>
      </c>
      <c r="F416" s="3" t="s">
        <v>154</v>
      </c>
      <c r="G416" s="78">
        <v>274.48</v>
      </c>
      <c r="H416" s="20">
        <f t="shared" si="6"/>
        <v>274.48</v>
      </c>
    </row>
    <row r="417" spans="1:8" ht="20.100000000000001" customHeight="1" x14ac:dyDescent="0.25">
      <c r="A417" s="59" t="s">
        <v>1555</v>
      </c>
      <c r="B417" s="3" t="s">
        <v>17</v>
      </c>
      <c r="C417" s="43" t="s">
        <v>617</v>
      </c>
      <c r="D417" s="91" t="s">
        <v>1297</v>
      </c>
      <c r="E417" s="78">
        <v>1</v>
      </c>
      <c r="F417" s="3" t="s">
        <v>154</v>
      </c>
      <c r="G417" s="78">
        <v>120.75</v>
      </c>
      <c r="H417" s="20">
        <f t="shared" si="6"/>
        <v>120.75</v>
      </c>
    </row>
    <row r="418" spans="1:8" ht="20.100000000000001" customHeight="1" x14ac:dyDescent="0.25">
      <c r="A418" s="59" t="s">
        <v>1556</v>
      </c>
      <c r="B418" s="3" t="s">
        <v>17</v>
      </c>
      <c r="C418" s="43" t="s">
        <v>619</v>
      </c>
      <c r="D418" s="91" t="s">
        <v>1300</v>
      </c>
      <c r="E418" s="78">
        <v>2</v>
      </c>
      <c r="F418" s="3" t="s">
        <v>154</v>
      </c>
      <c r="G418" s="78">
        <v>269.72000000000003</v>
      </c>
      <c r="H418" s="20">
        <f t="shared" si="6"/>
        <v>539.44000000000005</v>
      </c>
    </row>
    <row r="419" spans="1:8" ht="20.100000000000001" customHeight="1" x14ac:dyDescent="0.25">
      <c r="A419" s="59" t="s">
        <v>1557</v>
      </c>
      <c r="B419" s="3" t="s">
        <v>17</v>
      </c>
      <c r="C419" s="43" t="s">
        <v>621</v>
      </c>
      <c r="D419" s="43" t="s">
        <v>1302</v>
      </c>
      <c r="E419" s="78">
        <v>1</v>
      </c>
      <c r="F419" s="3" t="s">
        <v>154</v>
      </c>
      <c r="G419" s="78">
        <v>76.849999999999994</v>
      </c>
      <c r="H419" s="20">
        <f t="shared" si="6"/>
        <v>76.849999999999994</v>
      </c>
    </row>
    <row r="420" spans="1:8" ht="20.100000000000001" customHeight="1" x14ac:dyDescent="0.25">
      <c r="A420" s="52"/>
      <c r="B420" s="9"/>
      <c r="C420" s="44" t="s">
        <v>1303</v>
      </c>
      <c r="D420" s="44" t="s">
        <v>1558</v>
      </c>
      <c r="E420" s="78">
        <v>1</v>
      </c>
      <c r="F420" s="9"/>
      <c r="G420" s="79">
        <f>SUM(H414:H419)</f>
        <v>2934.25</v>
      </c>
      <c r="H420" s="29">
        <f t="shared" si="6"/>
        <v>2934.25</v>
      </c>
    </row>
    <row r="421" spans="1:8" ht="20.100000000000001" customHeight="1" x14ac:dyDescent="0.25">
      <c r="A421" s="60"/>
      <c r="B421" s="12"/>
      <c r="C421" s="45"/>
      <c r="D421" s="45"/>
      <c r="E421" s="34"/>
      <c r="F421" s="12"/>
      <c r="G421" s="34"/>
      <c r="H421" s="30"/>
    </row>
    <row r="422" spans="1:8" ht="20.100000000000001" customHeight="1" x14ac:dyDescent="0.25">
      <c r="A422" s="63"/>
      <c r="B422" s="18" t="s">
        <v>9</v>
      </c>
      <c r="C422" s="48" t="s">
        <v>622</v>
      </c>
      <c r="D422" s="48" t="s">
        <v>1308</v>
      </c>
      <c r="E422" s="82">
        <f>E426</f>
        <v>1</v>
      </c>
      <c r="F422" s="18" t="s">
        <v>433</v>
      </c>
      <c r="G422" s="82">
        <f>G426</f>
        <v>1838.82</v>
      </c>
      <c r="H422" s="32">
        <f>H426</f>
        <v>1838.82</v>
      </c>
    </row>
    <row r="423" spans="1:8" ht="20.100000000000001" customHeight="1" x14ac:dyDescent="0.25">
      <c r="A423" s="59" t="s">
        <v>1559</v>
      </c>
      <c r="B423" s="3" t="s">
        <v>17</v>
      </c>
      <c r="C423" s="43" t="s">
        <v>624</v>
      </c>
      <c r="D423" s="43" t="s">
        <v>1305</v>
      </c>
      <c r="E423" s="78">
        <v>1</v>
      </c>
      <c r="F423" s="3" t="s">
        <v>10</v>
      </c>
      <c r="G423" s="78">
        <v>605.73</v>
      </c>
      <c r="H423" s="20">
        <f>ROUND(E423*G423,2)</f>
        <v>605.73</v>
      </c>
    </row>
    <row r="424" spans="1:8" ht="20.100000000000001" customHeight="1" x14ac:dyDescent="0.25">
      <c r="A424" s="59" t="s">
        <v>1560</v>
      </c>
      <c r="B424" s="3" t="s">
        <v>17</v>
      </c>
      <c r="C424" s="43" t="s">
        <v>626</v>
      </c>
      <c r="D424" s="43" t="s">
        <v>1306</v>
      </c>
      <c r="E424" s="78">
        <v>1</v>
      </c>
      <c r="F424" s="3" t="s">
        <v>10</v>
      </c>
      <c r="G424" s="78">
        <v>411.03</v>
      </c>
      <c r="H424" s="20">
        <f>ROUND(E424*G424,2)</f>
        <v>411.03</v>
      </c>
    </row>
    <row r="425" spans="1:8" s="4" customFormat="1" ht="39.950000000000003" customHeight="1" x14ac:dyDescent="0.25">
      <c r="A425" s="59" t="s">
        <v>1561</v>
      </c>
      <c r="B425" s="3" t="s">
        <v>17</v>
      </c>
      <c r="C425" s="43" t="s">
        <v>628</v>
      </c>
      <c r="D425" s="43" t="s">
        <v>1307</v>
      </c>
      <c r="E425" s="78">
        <v>2</v>
      </c>
      <c r="F425" s="3" t="s">
        <v>10</v>
      </c>
      <c r="G425" s="78">
        <v>411.03</v>
      </c>
      <c r="H425" s="20">
        <f>ROUND(E425*G425,2)</f>
        <v>822.06</v>
      </c>
    </row>
    <row r="426" spans="1:8" ht="20.100000000000001" customHeight="1" x14ac:dyDescent="0.25">
      <c r="A426" s="52"/>
      <c r="B426" s="9"/>
      <c r="C426" s="44" t="s">
        <v>1304</v>
      </c>
      <c r="D426" s="44" t="s">
        <v>1562</v>
      </c>
      <c r="E426" s="78">
        <v>1</v>
      </c>
      <c r="F426" s="9"/>
      <c r="G426" s="79">
        <f>SUM(H423:H425)</f>
        <v>1838.82</v>
      </c>
      <c r="H426" s="29">
        <f>ROUND(E426*G426,2)</f>
        <v>1838.82</v>
      </c>
    </row>
    <row r="427" spans="1:8" ht="20.100000000000001" customHeight="1" x14ac:dyDescent="0.25">
      <c r="A427" s="60"/>
      <c r="B427" s="12"/>
      <c r="C427" s="45"/>
      <c r="D427" s="45"/>
      <c r="E427" s="34"/>
      <c r="F427" s="12"/>
      <c r="G427" s="34"/>
      <c r="H427" s="30"/>
    </row>
    <row r="428" spans="1:8" ht="20.100000000000001" customHeight="1" x14ac:dyDescent="0.25">
      <c r="A428" s="52"/>
      <c r="B428" s="9"/>
      <c r="C428" s="44" t="s">
        <v>629</v>
      </c>
      <c r="D428" s="44" t="s">
        <v>289</v>
      </c>
      <c r="E428" s="78">
        <v>1</v>
      </c>
      <c r="F428" s="9"/>
      <c r="G428" s="79">
        <f>H397+H413+H422</f>
        <v>26059.42</v>
      </c>
      <c r="H428" s="29">
        <f>ROUND(E428*G428,2)</f>
        <v>26059.42</v>
      </c>
    </row>
    <row r="429" spans="1:8" ht="20.100000000000001" customHeight="1" x14ac:dyDescent="0.25">
      <c r="A429" s="60"/>
      <c r="B429" s="12"/>
      <c r="C429" s="45"/>
      <c r="D429" s="45"/>
      <c r="E429" s="34"/>
      <c r="F429" s="12"/>
      <c r="G429" s="34"/>
      <c r="H429" s="30"/>
    </row>
    <row r="430" spans="1:8" ht="20.100000000000001" customHeight="1" x14ac:dyDescent="0.25">
      <c r="A430" s="52"/>
      <c r="B430" s="9"/>
      <c r="C430" s="44" t="s">
        <v>630</v>
      </c>
      <c r="D430" s="44" t="s">
        <v>630</v>
      </c>
      <c r="E430" s="78">
        <v>1</v>
      </c>
      <c r="F430" s="9"/>
      <c r="G430" s="79">
        <f>H225+H239+H252+H270+H284+H303+H363+H374+H381+H396</f>
        <v>253643.88</v>
      </c>
      <c r="H430" s="29">
        <f>ROUND(E430*G430,2)</f>
        <v>253643.88</v>
      </c>
    </row>
    <row r="431" spans="1:8" ht="20.100000000000001" customHeight="1" x14ac:dyDescent="0.25">
      <c r="A431" s="60"/>
      <c r="B431" s="12"/>
      <c r="C431" s="45"/>
      <c r="D431" s="45"/>
      <c r="E431" s="34"/>
      <c r="F431" s="12"/>
      <c r="G431" s="34"/>
      <c r="H431" s="30"/>
    </row>
    <row r="432" spans="1:8" ht="20.100000000000001" customHeight="1" x14ac:dyDescent="0.25">
      <c r="A432" s="61" t="s">
        <v>631</v>
      </c>
      <c r="B432" s="17" t="s">
        <v>9</v>
      </c>
      <c r="C432" s="46" t="s">
        <v>292</v>
      </c>
      <c r="D432" s="46" t="s">
        <v>1152</v>
      </c>
      <c r="E432" s="80">
        <f>E601</f>
        <v>1</v>
      </c>
      <c r="F432" s="17" t="s">
        <v>10</v>
      </c>
      <c r="G432" s="80">
        <f>G601</f>
        <v>317378.89</v>
      </c>
      <c r="H432" s="31">
        <f>H601</f>
        <v>317378.89</v>
      </c>
    </row>
    <row r="433" spans="1:8" ht="20.100000000000001" hidden="1" customHeight="1" outlineLevel="1" x14ac:dyDescent="0.25">
      <c r="A433" s="62" t="s">
        <v>632</v>
      </c>
      <c r="B433" s="7" t="s">
        <v>9</v>
      </c>
      <c r="C433" s="47" t="s">
        <v>359</v>
      </c>
      <c r="D433" s="47" t="s">
        <v>1183</v>
      </c>
      <c r="E433" s="81">
        <f>E444</f>
        <v>1</v>
      </c>
      <c r="F433" s="7" t="s">
        <v>10</v>
      </c>
      <c r="G433" s="81">
        <f>G444</f>
        <v>0</v>
      </c>
      <c r="H433" s="21">
        <f>H444</f>
        <v>0</v>
      </c>
    </row>
    <row r="434" spans="1:8" ht="39.950000000000003" hidden="1" customHeight="1" outlineLevel="1" x14ac:dyDescent="0.25">
      <c r="A434" s="59" t="s">
        <v>633</v>
      </c>
      <c r="B434" s="3" t="s">
        <v>17</v>
      </c>
      <c r="C434" s="43" t="s">
        <v>361</v>
      </c>
      <c r="D434" s="43" t="s">
        <v>1171</v>
      </c>
      <c r="E434" s="78">
        <v>1057.68</v>
      </c>
      <c r="F434" s="3" t="s">
        <v>277</v>
      </c>
      <c r="G434" s="78"/>
      <c r="H434" s="20"/>
    </row>
    <row r="435" spans="1:8" ht="20.100000000000001" hidden="1" customHeight="1" outlineLevel="1" x14ac:dyDescent="0.25">
      <c r="A435" s="59" t="s">
        <v>634</v>
      </c>
      <c r="B435" s="3" t="s">
        <v>17</v>
      </c>
      <c r="C435" s="43" t="s">
        <v>363</v>
      </c>
      <c r="D435" s="43" t="s">
        <v>1172</v>
      </c>
      <c r="E435" s="78">
        <v>157.19</v>
      </c>
      <c r="F435" s="3" t="s">
        <v>35</v>
      </c>
      <c r="G435" s="78"/>
      <c r="H435" s="20"/>
    </row>
    <row r="436" spans="1:8" ht="20.100000000000001" hidden="1" customHeight="1" outlineLevel="1" x14ac:dyDescent="0.25">
      <c r="A436" s="59" t="s">
        <v>635</v>
      </c>
      <c r="B436" s="3" t="s">
        <v>17</v>
      </c>
      <c r="C436" s="43" t="s">
        <v>365</v>
      </c>
      <c r="D436" s="43" t="s">
        <v>1173</v>
      </c>
      <c r="E436" s="78">
        <v>352.94</v>
      </c>
      <c r="F436" s="3" t="s">
        <v>277</v>
      </c>
      <c r="G436" s="78"/>
      <c r="H436" s="20"/>
    </row>
    <row r="437" spans="1:8" ht="20.100000000000001" hidden="1" customHeight="1" outlineLevel="1" x14ac:dyDescent="0.25">
      <c r="A437" s="59" t="s">
        <v>636</v>
      </c>
      <c r="B437" s="3" t="s">
        <v>17</v>
      </c>
      <c r="C437" s="43" t="s">
        <v>367</v>
      </c>
      <c r="D437" s="43" t="s">
        <v>1174</v>
      </c>
      <c r="E437" s="78">
        <v>157.19</v>
      </c>
      <c r="F437" s="3" t="s">
        <v>35</v>
      </c>
      <c r="G437" s="78"/>
      <c r="H437" s="20"/>
    </row>
    <row r="438" spans="1:8" ht="20.100000000000001" hidden="1" customHeight="1" outlineLevel="1" x14ac:dyDescent="0.25">
      <c r="A438" s="59" t="s">
        <v>637</v>
      </c>
      <c r="B438" s="3" t="s">
        <v>17</v>
      </c>
      <c r="C438" s="43" t="s">
        <v>369</v>
      </c>
      <c r="D438" s="43" t="s">
        <v>1175</v>
      </c>
      <c r="E438" s="78">
        <v>976.87</v>
      </c>
      <c r="F438" s="3" t="s">
        <v>35</v>
      </c>
      <c r="G438" s="78"/>
      <c r="H438" s="20"/>
    </row>
    <row r="439" spans="1:8" ht="20.100000000000001" hidden="1" customHeight="1" outlineLevel="1" x14ac:dyDescent="0.25">
      <c r="A439" s="59" t="s">
        <v>638</v>
      </c>
      <c r="B439" s="3" t="s">
        <v>17</v>
      </c>
      <c r="C439" s="43" t="s">
        <v>371</v>
      </c>
      <c r="D439" s="43" t="s">
        <v>1176</v>
      </c>
      <c r="E439" s="78">
        <v>277.33999999999997</v>
      </c>
      <c r="F439" s="3" t="s">
        <v>35</v>
      </c>
      <c r="G439" s="78"/>
      <c r="H439" s="20"/>
    </row>
    <row r="440" spans="1:8" ht="20.100000000000001" hidden="1" customHeight="1" outlineLevel="1" x14ac:dyDescent="0.25">
      <c r="A440" s="59" t="s">
        <v>639</v>
      </c>
      <c r="B440" s="3" t="s">
        <v>17</v>
      </c>
      <c r="C440" s="43" t="s">
        <v>373</v>
      </c>
      <c r="D440" s="43" t="s">
        <v>1177</v>
      </c>
      <c r="E440" s="78">
        <v>116.71</v>
      </c>
      <c r="F440" s="3" t="s">
        <v>35</v>
      </c>
      <c r="G440" s="78"/>
      <c r="H440" s="20"/>
    </row>
    <row r="441" spans="1:8" ht="20.100000000000001" hidden="1" customHeight="1" outlineLevel="1" x14ac:dyDescent="0.25">
      <c r="A441" s="59" t="s">
        <v>640</v>
      </c>
      <c r="B441" s="3" t="s">
        <v>17</v>
      </c>
      <c r="C441" s="43" t="s">
        <v>377</v>
      </c>
      <c r="D441" s="43" t="s">
        <v>1179</v>
      </c>
      <c r="E441" s="78">
        <v>820.37</v>
      </c>
      <c r="F441" s="3" t="s">
        <v>277</v>
      </c>
      <c r="G441" s="78"/>
      <c r="H441" s="20"/>
    </row>
    <row r="442" spans="1:8" ht="20.100000000000001" hidden="1" customHeight="1" outlineLevel="1" x14ac:dyDescent="0.25">
      <c r="A442" s="59" t="s">
        <v>641</v>
      </c>
      <c r="B442" s="3" t="s">
        <v>17</v>
      </c>
      <c r="C442" s="43" t="s">
        <v>379</v>
      </c>
      <c r="D442" s="43" t="s">
        <v>1180</v>
      </c>
      <c r="E442" s="78">
        <v>424.74</v>
      </c>
      <c r="F442" s="3" t="s">
        <v>277</v>
      </c>
      <c r="G442" s="78"/>
      <c r="H442" s="20"/>
    </row>
    <row r="443" spans="1:8" ht="20.100000000000001" hidden="1" customHeight="1" outlineLevel="1" x14ac:dyDescent="0.25">
      <c r="A443" s="59" t="s">
        <v>642</v>
      </c>
      <c r="B443" s="3" t="s">
        <v>17</v>
      </c>
      <c r="C443" s="43" t="s">
        <v>381</v>
      </c>
      <c r="D443" s="43" t="s">
        <v>1181</v>
      </c>
      <c r="E443" s="78">
        <v>359.84</v>
      </c>
      <c r="F443" s="3" t="s">
        <v>35</v>
      </c>
      <c r="G443" s="78"/>
      <c r="H443" s="20"/>
    </row>
    <row r="444" spans="1:8" ht="20.100000000000001" hidden="1" customHeight="1" outlineLevel="1" x14ac:dyDescent="0.25">
      <c r="A444" s="52"/>
      <c r="B444" s="9"/>
      <c r="C444" s="44" t="s">
        <v>643</v>
      </c>
      <c r="D444" s="44" t="s">
        <v>643</v>
      </c>
      <c r="E444" s="78">
        <v>1</v>
      </c>
      <c r="F444" s="9"/>
      <c r="G444" s="79">
        <f>SUM(H434:H443)</f>
        <v>0</v>
      </c>
      <c r="H444" s="29">
        <f>ROUND(E444*G444,2)</f>
        <v>0</v>
      </c>
    </row>
    <row r="445" spans="1:8" ht="20.100000000000001" hidden="1" customHeight="1" outlineLevel="1" x14ac:dyDescent="0.25">
      <c r="A445" s="60"/>
      <c r="B445" s="12"/>
      <c r="C445" s="45"/>
      <c r="D445" s="45"/>
      <c r="E445" s="34"/>
      <c r="F445" s="12"/>
      <c r="G445" s="34"/>
      <c r="H445" s="30"/>
    </row>
    <row r="446" spans="1:8" ht="20.100000000000001" hidden="1" customHeight="1" outlineLevel="1" x14ac:dyDescent="0.25">
      <c r="A446" s="62" t="s">
        <v>644</v>
      </c>
      <c r="B446" s="7" t="s">
        <v>9</v>
      </c>
      <c r="C446" s="47" t="s">
        <v>384</v>
      </c>
      <c r="D446" s="47" t="s">
        <v>1184</v>
      </c>
      <c r="E446" s="81">
        <f>E457</f>
        <v>1</v>
      </c>
      <c r="F446" s="7" t="s">
        <v>10</v>
      </c>
      <c r="G446" s="81">
        <f>G457</f>
        <v>0</v>
      </c>
      <c r="H446" s="21">
        <f>H457</f>
        <v>0</v>
      </c>
    </row>
    <row r="447" spans="1:8" ht="20.100000000000001" hidden="1" customHeight="1" outlineLevel="1" x14ac:dyDescent="0.25">
      <c r="A447" s="59" t="s">
        <v>645</v>
      </c>
      <c r="B447" s="3" t="s">
        <v>17</v>
      </c>
      <c r="C447" s="43" t="s">
        <v>386</v>
      </c>
      <c r="D447" s="43" t="s">
        <v>1185</v>
      </c>
      <c r="E447" s="78">
        <v>616.38</v>
      </c>
      <c r="F447" s="3" t="s">
        <v>18</v>
      </c>
      <c r="G447" s="78"/>
      <c r="H447" s="20"/>
    </row>
    <row r="448" spans="1:8" ht="20.100000000000001" hidden="1" customHeight="1" outlineLevel="1" x14ac:dyDescent="0.25">
      <c r="A448" s="59" t="s">
        <v>646</v>
      </c>
      <c r="B448" s="3" t="s">
        <v>17</v>
      </c>
      <c r="C448" s="43" t="s">
        <v>388</v>
      </c>
      <c r="D448" s="43" t="s">
        <v>1194</v>
      </c>
      <c r="E448" s="78">
        <v>161.07</v>
      </c>
      <c r="F448" s="3" t="s">
        <v>18</v>
      </c>
      <c r="G448" s="78"/>
      <c r="H448" s="20"/>
    </row>
    <row r="449" spans="1:8" ht="20.100000000000001" hidden="1" customHeight="1" outlineLevel="1" x14ac:dyDescent="0.25">
      <c r="A449" s="59" t="s">
        <v>647</v>
      </c>
      <c r="B449" s="3" t="s">
        <v>17</v>
      </c>
      <c r="C449" s="43" t="s">
        <v>390</v>
      </c>
      <c r="D449" s="43" t="s">
        <v>1186</v>
      </c>
      <c r="E449" s="78">
        <v>123.99</v>
      </c>
      <c r="F449" s="3" t="s">
        <v>29</v>
      </c>
      <c r="G449" s="78"/>
      <c r="H449" s="20"/>
    </row>
    <row r="450" spans="1:8" ht="20.100000000000001" hidden="1" customHeight="1" outlineLevel="1" x14ac:dyDescent="0.25">
      <c r="A450" s="59" t="s">
        <v>648</v>
      </c>
      <c r="B450" s="3" t="s">
        <v>17</v>
      </c>
      <c r="C450" s="43" t="s">
        <v>392</v>
      </c>
      <c r="D450" s="43" t="s">
        <v>1190</v>
      </c>
      <c r="E450" s="78">
        <v>49.76</v>
      </c>
      <c r="F450" s="3" t="s">
        <v>29</v>
      </c>
      <c r="G450" s="78"/>
      <c r="H450" s="20"/>
    </row>
    <row r="451" spans="1:8" ht="20.100000000000001" hidden="1" customHeight="1" outlineLevel="1" x14ac:dyDescent="0.25">
      <c r="A451" s="59" t="s">
        <v>649</v>
      </c>
      <c r="B451" s="3" t="s">
        <v>17</v>
      </c>
      <c r="C451" s="43" t="s">
        <v>394</v>
      </c>
      <c r="D451" s="43" t="s">
        <v>1189</v>
      </c>
      <c r="E451" s="78">
        <v>92.52</v>
      </c>
      <c r="F451" s="3" t="s">
        <v>18</v>
      </c>
      <c r="G451" s="78"/>
      <c r="H451" s="20"/>
    </row>
    <row r="452" spans="1:8" ht="20.100000000000001" hidden="1" customHeight="1" outlineLevel="1" x14ac:dyDescent="0.25">
      <c r="A452" s="59" t="s">
        <v>650</v>
      </c>
      <c r="B452" s="3" t="s">
        <v>17</v>
      </c>
      <c r="C452" s="43" t="s">
        <v>396</v>
      </c>
      <c r="D452" s="43" t="s">
        <v>1188</v>
      </c>
      <c r="E452" s="78">
        <v>523.87</v>
      </c>
      <c r="F452" s="3" t="s">
        <v>18</v>
      </c>
      <c r="G452" s="78"/>
      <c r="H452" s="20"/>
    </row>
    <row r="453" spans="1:8" ht="20.100000000000001" hidden="1" customHeight="1" outlineLevel="1" x14ac:dyDescent="0.25">
      <c r="A453" s="59" t="s">
        <v>651</v>
      </c>
      <c r="B453" s="3" t="s">
        <v>17</v>
      </c>
      <c r="C453" s="43" t="s">
        <v>398</v>
      </c>
      <c r="D453" s="43" t="s">
        <v>1191</v>
      </c>
      <c r="E453" s="78">
        <v>52.09</v>
      </c>
      <c r="F453" s="3" t="s">
        <v>29</v>
      </c>
      <c r="G453" s="78"/>
      <c r="H453" s="20"/>
    </row>
    <row r="454" spans="1:8" ht="20.100000000000001" hidden="1" customHeight="1" outlineLevel="1" x14ac:dyDescent="0.25">
      <c r="A454" s="59" t="s">
        <v>652</v>
      </c>
      <c r="B454" s="3" t="s">
        <v>17</v>
      </c>
      <c r="C454" s="43" t="s">
        <v>400</v>
      </c>
      <c r="D454" s="43" t="s">
        <v>1192</v>
      </c>
      <c r="E454" s="78">
        <v>102.93</v>
      </c>
      <c r="F454" s="3" t="s">
        <v>18</v>
      </c>
      <c r="G454" s="78"/>
      <c r="H454" s="20"/>
    </row>
    <row r="455" spans="1:8" ht="20.100000000000001" hidden="1" customHeight="1" outlineLevel="1" x14ac:dyDescent="0.25">
      <c r="A455" s="59" t="s">
        <v>653</v>
      </c>
      <c r="B455" s="3" t="s">
        <v>17</v>
      </c>
      <c r="C455" s="43" t="s">
        <v>402</v>
      </c>
      <c r="D455" s="43" t="s">
        <v>1193</v>
      </c>
      <c r="E455" s="78">
        <v>534.28</v>
      </c>
      <c r="F455" s="3" t="s">
        <v>35</v>
      </c>
      <c r="G455" s="78"/>
      <c r="H455" s="20"/>
    </row>
    <row r="456" spans="1:8" ht="20.100000000000001" hidden="1" customHeight="1" outlineLevel="1" x14ac:dyDescent="0.25">
      <c r="A456" s="59" t="s">
        <v>654</v>
      </c>
      <c r="B456" s="3" t="s">
        <v>17</v>
      </c>
      <c r="C456" s="43" t="s">
        <v>404</v>
      </c>
      <c r="D456" s="43"/>
      <c r="E456" s="78">
        <v>21.16</v>
      </c>
      <c r="F456" s="3" t="s">
        <v>277</v>
      </c>
      <c r="G456" s="78"/>
      <c r="H456" s="20"/>
    </row>
    <row r="457" spans="1:8" ht="20.100000000000001" hidden="1" customHeight="1" outlineLevel="1" x14ac:dyDescent="0.25">
      <c r="A457" s="52"/>
      <c r="B457" s="9"/>
      <c r="C457" s="44" t="s">
        <v>655</v>
      </c>
      <c r="D457" s="44" t="s">
        <v>655</v>
      </c>
      <c r="E457" s="78">
        <v>1</v>
      </c>
      <c r="F457" s="9"/>
      <c r="G457" s="79">
        <f>SUM(H447:H456)</f>
        <v>0</v>
      </c>
      <c r="H457" s="29">
        <f>ROUND(E457*G457,2)</f>
        <v>0</v>
      </c>
    </row>
    <row r="458" spans="1:8" ht="20.100000000000001" hidden="1" customHeight="1" outlineLevel="1" x14ac:dyDescent="0.25">
      <c r="A458" s="60"/>
      <c r="B458" s="12"/>
      <c r="C458" s="45"/>
      <c r="D458" s="45"/>
      <c r="E458" s="34"/>
      <c r="F458" s="12"/>
      <c r="G458" s="34"/>
      <c r="H458" s="30"/>
    </row>
    <row r="459" spans="1:8" ht="20.100000000000001" customHeight="1" collapsed="1" x14ac:dyDescent="0.25">
      <c r="A459" s="62" t="s">
        <v>293</v>
      </c>
      <c r="B459" s="7" t="s">
        <v>9</v>
      </c>
      <c r="C459" s="47" t="s">
        <v>407</v>
      </c>
      <c r="D459" s="47"/>
      <c r="E459" s="81">
        <f>E476</f>
        <v>1</v>
      </c>
      <c r="F459" s="7" t="s">
        <v>10</v>
      </c>
      <c r="G459" s="81">
        <f>G476</f>
        <v>34235.870000000003</v>
      </c>
      <c r="H459" s="21">
        <f>H476</f>
        <v>34235.870000000003</v>
      </c>
    </row>
    <row r="460" spans="1:8" ht="20.100000000000001" customHeight="1" x14ac:dyDescent="0.25">
      <c r="A460" s="63"/>
      <c r="B460" s="18" t="s">
        <v>9</v>
      </c>
      <c r="C460" s="48" t="s">
        <v>408</v>
      </c>
      <c r="D460" s="48" t="s">
        <v>1196</v>
      </c>
      <c r="E460" s="82">
        <f>E464</f>
        <v>1</v>
      </c>
      <c r="F460" s="18" t="s">
        <v>65</v>
      </c>
      <c r="G460" s="82">
        <f>G464</f>
        <v>1832.48</v>
      </c>
      <c r="H460" s="32">
        <f>H464</f>
        <v>1832.48</v>
      </c>
    </row>
    <row r="461" spans="1:8" ht="20.100000000000001" customHeight="1" x14ac:dyDescent="0.25">
      <c r="A461" s="59" t="s">
        <v>294</v>
      </c>
      <c r="B461" s="3" t="s">
        <v>17</v>
      </c>
      <c r="C461" s="43" t="s">
        <v>658</v>
      </c>
      <c r="D461" s="43" t="s">
        <v>1309</v>
      </c>
      <c r="E461" s="78">
        <v>1</v>
      </c>
      <c r="F461" s="3" t="s">
        <v>433</v>
      </c>
      <c r="G461" s="78">
        <v>680.49</v>
      </c>
      <c r="H461" s="20">
        <f>ROUND(E461*G461,2)</f>
        <v>680.49</v>
      </c>
    </row>
    <row r="462" spans="1:8" ht="20.100000000000001" customHeight="1" x14ac:dyDescent="0.25">
      <c r="A462" s="59" t="s">
        <v>295</v>
      </c>
      <c r="B462" s="3" t="s">
        <v>17</v>
      </c>
      <c r="C462" s="43" t="s">
        <v>660</v>
      </c>
      <c r="D462" s="43" t="s">
        <v>1198</v>
      </c>
      <c r="E462" s="78">
        <v>15.94</v>
      </c>
      <c r="F462" s="3" t="s">
        <v>18</v>
      </c>
      <c r="G462" s="78">
        <v>49.01</v>
      </c>
      <c r="H462" s="20">
        <f>ROUND(E462*G462,2)</f>
        <v>781.22</v>
      </c>
    </row>
    <row r="463" spans="1:8" ht="20.100000000000001" customHeight="1" x14ac:dyDescent="0.25">
      <c r="A463" s="59" t="s">
        <v>296</v>
      </c>
      <c r="B463" s="3" t="s">
        <v>17</v>
      </c>
      <c r="C463" s="43" t="s">
        <v>412</v>
      </c>
      <c r="D463" s="91" t="s">
        <v>1200</v>
      </c>
      <c r="E463" s="78">
        <v>17.8</v>
      </c>
      <c r="F463" s="3" t="s">
        <v>29</v>
      </c>
      <c r="G463" s="78">
        <v>20.83</v>
      </c>
      <c r="H463" s="20">
        <f>ROUND(E463*G463,2)</f>
        <v>370.77</v>
      </c>
    </row>
    <row r="464" spans="1:8" ht="20.100000000000001" customHeight="1" x14ac:dyDescent="0.25">
      <c r="A464" s="52"/>
      <c r="B464" s="9"/>
      <c r="C464" s="44" t="s">
        <v>1310</v>
      </c>
      <c r="D464" s="44" t="s">
        <v>1565</v>
      </c>
      <c r="E464" s="78">
        <v>1</v>
      </c>
      <c r="F464" s="9"/>
      <c r="G464" s="79">
        <f>SUM(H461:H463)</f>
        <v>1832.48</v>
      </c>
      <c r="H464" s="29">
        <f>ROUND(E464*G464,2)</f>
        <v>1832.48</v>
      </c>
    </row>
    <row r="465" spans="1:8" ht="20.100000000000001" customHeight="1" x14ac:dyDescent="0.25">
      <c r="A465" s="60"/>
      <c r="B465" s="12"/>
      <c r="C465" s="45"/>
      <c r="D465" s="45"/>
      <c r="E465" s="34"/>
      <c r="F465" s="12"/>
      <c r="G465" s="34"/>
      <c r="H465" s="30"/>
    </row>
    <row r="466" spans="1:8" ht="20.100000000000001" customHeight="1" x14ac:dyDescent="0.25">
      <c r="A466" s="63"/>
      <c r="B466" s="18" t="s">
        <v>9</v>
      </c>
      <c r="C466" s="48" t="s">
        <v>413</v>
      </c>
      <c r="D466" s="48" t="s">
        <v>1197</v>
      </c>
      <c r="E466" s="82">
        <f>E474</f>
        <v>1</v>
      </c>
      <c r="F466" s="18" t="s">
        <v>65</v>
      </c>
      <c r="G466" s="82">
        <f>G474</f>
        <v>32403.39</v>
      </c>
      <c r="H466" s="32">
        <f>H474</f>
        <v>32403.39</v>
      </c>
    </row>
    <row r="467" spans="1:8" ht="20.100000000000001" customHeight="1" x14ac:dyDescent="0.25">
      <c r="A467" s="59" t="s">
        <v>297</v>
      </c>
      <c r="B467" s="3" t="s">
        <v>17</v>
      </c>
      <c r="C467" s="43" t="s">
        <v>663</v>
      </c>
      <c r="D467" s="43" t="s">
        <v>1202</v>
      </c>
      <c r="E467" s="78">
        <v>243.78</v>
      </c>
      <c r="F467" s="3" t="s">
        <v>35</v>
      </c>
      <c r="G467" s="78">
        <v>46.87</v>
      </c>
      <c r="H467" s="20">
        <f t="shared" ref="H467:H474" si="7">ROUND(E467*G467,2)</f>
        <v>11425.97</v>
      </c>
    </row>
    <row r="468" spans="1:8" ht="20.100000000000001" customHeight="1" x14ac:dyDescent="0.25">
      <c r="A468" s="59" t="s">
        <v>298</v>
      </c>
      <c r="B468" s="3" t="s">
        <v>17</v>
      </c>
      <c r="C468" s="43" t="s">
        <v>665</v>
      </c>
      <c r="D468" s="43" t="s">
        <v>1311</v>
      </c>
      <c r="E468" s="78">
        <v>138.75</v>
      </c>
      <c r="F468" s="3" t="s">
        <v>35</v>
      </c>
      <c r="G468" s="78">
        <v>65</v>
      </c>
      <c r="H468" s="20">
        <f t="shared" si="7"/>
        <v>9018.75</v>
      </c>
    </row>
    <row r="469" spans="1:8" ht="20.100000000000001" customHeight="1" x14ac:dyDescent="0.25">
      <c r="A469" s="59" t="s">
        <v>299</v>
      </c>
      <c r="B469" s="3" t="s">
        <v>17</v>
      </c>
      <c r="C469" s="43" t="s">
        <v>667</v>
      </c>
      <c r="D469" s="43" t="s">
        <v>1205</v>
      </c>
      <c r="E469" s="78">
        <v>18.86</v>
      </c>
      <c r="F469" s="3" t="s">
        <v>35</v>
      </c>
      <c r="G469" s="78">
        <v>35.74</v>
      </c>
      <c r="H469" s="20">
        <f t="shared" si="7"/>
        <v>674.06</v>
      </c>
    </row>
    <row r="470" spans="1:8" ht="20.100000000000001" customHeight="1" x14ac:dyDescent="0.25">
      <c r="A470" s="59" t="s">
        <v>300</v>
      </c>
      <c r="B470" s="3" t="s">
        <v>17</v>
      </c>
      <c r="C470" s="43" t="s">
        <v>669</v>
      </c>
      <c r="D470" s="43" t="s">
        <v>1206</v>
      </c>
      <c r="E470" s="78">
        <v>40.31</v>
      </c>
      <c r="F470" s="3" t="s">
        <v>18</v>
      </c>
      <c r="G470" s="78">
        <v>37.72</v>
      </c>
      <c r="H470" s="20">
        <f t="shared" si="7"/>
        <v>1520.49</v>
      </c>
    </row>
    <row r="471" spans="1:8" ht="20.100000000000001" customHeight="1" x14ac:dyDescent="0.25">
      <c r="A471" s="59" t="s">
        <v>301</v>
      </c>
      <c r="B471" s="3" t="s">
        <v>17</v>
      </c>
      <c r="C471" s="43" t="s">
        <v>425</v>
      </c>
      <c r="D471" s="43" t="s">
        <v>1207</v>
      </c>
      <c r="E471" s="78">
        <v>61.32</v>
      </c>
      <c r="F471" s="3" t="s">
        <v>18</v>
      </c>
      <c r="G471" s="78">
        <v>52.23</v>
      </c>
      <c r="H471" s="20">
        <f t="shared" si="7"/>
        <v>3202.74</v>
      </c>
    </row>
    <row r="472" spans="1:8" ht="20.100000000000001" customHeight="1" x14ac:dyDescent="0.25">
      <c r="A472" s="59" t="s">
        <v>302</v>
      </c>
      <c r="B472" s="3" t="s">
        <v>17</v>
      </c>
      <c r="C472" s="43" t="s">
        <v>427</v>
      </c>
      <c r="D472" s="43" t="s">
        <v>1208</v>
      </c>
      <c r="E472" s="78">
        <v>111.59</v>
      </c>
      <c r="F472" s="3" t="s">
        <v>18</v>
      </c>
      <c r="G472" s="78">
        <v>52.23</v>
      </c>
      <c r="H472" s="20">
        <f t="shared" si="7"/>
        <v>5828.35</v>
      </c>
    </row>
    <row r="473" spans="1:8" ht="20.100000000000001" customHeight="1" x14ac:dyDescent="0.25">
      <c r="A473" s="59" t="s">
        <v>303</v>
      </c>
      <c r="B473" s="3" t="s">
        <v>17</v>
      </c>
      <c r="C473" s="43" t="s">
        <v>421</v>
      </c>
      <c r="D473" s="43" t="s">
        <v>1203</v>
      </c>
      <c r="E473" s="78">
        <v>21.7</v>
      </c>
      <c r="F473" s="3" t="s">
        <v>29</v>
      </c>
      <c r="G473" s="78">
        <v>33.78</v>
      </c>
      <c r="H473" s="20">
        <f t="shared" si="7"/>
        <v>733.03</v>
      </c>
    </row>
    <row r="474" spans="1:8" ht="20.100000000000001" customHeight="1" x14ac:dyDescent="0.25">
      <c r="A474" s="52"/>
      <c r="B474" s="9"/>
      <c r="C474" s="44" t="s">
        <v>1312</v>
      </c>
      <c r="D474" s="44" t="s">
        <v>1566</v>
      </c>
      <c r="E474" s="78">
        <v>1</v>
      </c>
      <c r="F474" s="9"/>
      <c r="G474" s="79">
        <f>SUM(H467:H473)</f>
        <v>32403.39</v>
      </c>
      <c r="H474" s="29">
        <f t="shared" si="7"/>
        <v>32403.39</v>
      </c>
    </row>
    <row r="475" spans="1:8" ht="20.100000000000001" customHeight="1" x14ac:dyDescent="0.25">
      <c r="A475" s="60"/>
      <c r="B475" s="12"/>
      <c r="C475" s="45"/>
      <c r="D475" s="45"/>
      <c r="E475" s="34"/>
      <c r="F475" s="12"/>
      <c r="G475" s="34"/>
      <c r="H475" s="30"/>
    </row>
    <row r="476" spans="1:8" ht="20.100000000000001" customHeight="1" x14ac:dyDescent="0.25">
      <c r="A476" s="52"/>
      <c r="B476" s="9"/>
      <c r="C476" s="44" t="s">
        <v>673</v>
      </c>
      <c r="D476" s="44"/>
      <c r="E476" s="78">
        <v>1</v>
      </c>
      <c r="F476" s="9"/>
      <c r="G476" s="79">
        <f>H460+H466</f>
        <v>34235.870000000003</v>
      </c>
      <c r="H476" s="29">
        <f>ROUND(E476*G476,2)</f>
        <v>34235.870000000003</v>
      </c>
    </row>
    <row r="477" spans="1:8" ht="20.100000000000001" customHeight="1" x14ac:dyDescent="0.25">
      <c r="A477" s="60"/>
      <c r="B477" s="12"/>
      <c r="C477" s="45"/>
      <c r="D477" s="45"/>
      <c r="E477" s="34"/>
      <c r="F477" s="12"/>
      <c r="G477" s="34"/>
      <c r="H477" s="30"/>
    </row>
    <row r="478" spans="1:8" ht="20.100000000000001" customHeight="1" x14ac:dyDescent="0.25">
      <c r="A478" s="62" t="s">
        <v>345</v>
      </c>
      <c r="B478" s="7" t="s">
        <v>9</v>
      </c>
      <c r="C478" s="47" t="s">
        <v>430</v>
      </c>
      <c r="D478" s="47" t="s">
        <v>1211</v>
      </c>
      <c r="E478" s="81">
        <f>E493</f>
        <v>1</v>
      </c>
      <c r="F478" s="7" t="s">
        <v>10</v>
      </c>
      <c r="G478" s="81">
        <f>G493</f>
        <v>59219.05</v>
      </c>
      <c r="H478" s="21">
        <f>H493</f>
        <v>59219.05</v>
      </c>
    </row>
    <row r="479" spans="1:8" ht="20.100000000000001" customHeight="1" x14ac:dyDescent="0.25">
      <c r="A479" s="63"/>
      <c r="B479" s="18" t="s">
        <v>9</v>
      </c>
      <c r="C479" s="48" t="s">
        <v>431</v>
      </c>
      <c r="D479" s="48" t="s">
        <v>1212</v>
      </c>
      <c r="E479" s="82">
        <f>E487</f>
        <v>1</v>
      </c>
      <c r="F479" s="18" t="s">
        <v>65</v>
      </c>
      <c r="G479" s="82">
        <f>G487</f>
        <v>49602.36</v>
      </c>
      <c r="H479" s="32">
        <f>H487</f>
        <v>49602.36</v>
      </c>
    </row>
    <row r="480" spans="1:8" ht="20.100000000000001" customHeight="1" x14ac:dyDescent="0.25">
      <c r="A480" s="59" t="s">
        <v>346</v>
      </c>
      <c r="B480" s="3" t="s">
        <v>17</v>
      </c>
      <c r="C480" s="43" t="s">
        <v>676</v>
      </c>
      <c r="D480" s="43" t="s">
        <v>1313</v>
      </c>
      <c r="E480" s="78">
        <v>1</v>
      </c>
      <c r="F480" s="3" t="s">
        <v>433</v>
      </c>
      <c r="G480" s="78">
        <v>14955.15</v>
      </c>
      <c r="H480" s="20">
        <f t="shared" ref="H480:H487" si="8">ROUND(E480*G480,2)</f>
        <v>14955.15</v>
      </c>
    </row>
    <row r="481" spans="1:8" ht="20.100000000000001" customHeight="1" x14ac:dyDescent="0.25">
      <c r="A481" s="59" t="s">
        <v>347</v>
      </c>
      <c r="B481" s="3" t="s">
        <v>17</v>
      </c>
      <c r="C481" s="43" t="s">
        <v>493</v>
      </c>
      <c r="D481" s="43" t="s">
        <v>493</v>
      </c>
      <c r="E481" s="78">
        <v>1</v>
      </c>
      <c r="F481" s="3" t="s">
        <v>433</v>
      </c>
      <c r="G481" s="78">
        <v>18288.53</v>
      </c>
      <c r="H481" s="20">
        <f t="shared" si="8"/>
        <v>18288.53</v>
      </c>
    </row>
    <row r="482" spans="1:8" ht="20.100000000000001" customHeight="1" x14ac:dyDescent="0.25">
      <c r="A482" s="59" t="s">
        <v>348</v>
      </c>
      <c r="B482" s="3" t="s">
        <v>17</v>
      </c>
      <c r="C482" s="43" t="s">
        <v>548</v>
      </c>
      <c r="D482" s="43" t="s">
        <v>1314</v>
      </c>
      <c r="E482" s="78">
        <v>1</v>
      </c>
      <c r="F482" s="3" t="s">
        <v>433</v>
      </c>
      <c r="G482" s="78">
        <v>3465.57</v>
      </c>
      <c r="H482" s="20">
        <f t="shared" si="8"/>
        <v>3465.57</v>
      </c>
    </row>
    <row r="483" spans="1:8" ht="20.100000000000001" customHeight="1" x14ac:dyDescent="0.25">
      <c r="A483" s="59" t="s">
        <v>349</v>
      </c>
      <c r="B483" s="3" t="s">
        <v>17</v>
      </c>
      <c r="C483" s="43" t="s">
        <v>680</v>
      </c>
      <c r="D483" s="43" t="s">
        <v>680</v>
      </c>
      <c r="E483" s="78">
        <v>1</v>
      </c>
      <c r="F483" s="3" t="s">
        <v>433</v>
      </c>
      <c r="G483" s="78">
        <v>2774.19</v>
      </c>
      <c r="H483" s="20">
        <f t="shared" si="8"/>
        <v>2774.19</v>
      </c>
    </row>
    <row r="484" spans="1:8" ht="20.100000000000001" customHeight="1" x14ac:dyDescent="0.25">
      <c r="A484" s="59" t="s">
        <v>350</v>
      </c>
      <c r="B484" s="3" t="s">
        <v>17</v>
      </c>
      <c r="C484" s="43" t="s">
        <v>682</v>
      </c>
      <c r="D484" s="43" t="s">
        <v>682</v>
      </c>
      <c r="E484" s="78">
        <v>1</v>
      </c>
      <c r="F484" s="3" t="s">
        <v>433</v>
      </c>
      <c r="G484" s="78">
        <v>3478.41</v>
      </c>
      <c r="H484" s="20">
        <f t="shared" si="8"/>
        <v>3478.41</v>
      </c>
    </row>
    <row r="485" spans="1:8" ht="20.100000000000001" customHeight="1" x14ac:dyDescent="0.25">
      <c r="A485" s="59" t="s">
        <v>1567</v>
      </c>
      <c r="B485" s="3" t="s">
        <v>17</v>
      </c>
      <c r="C485" s="43" t="s">
        <v>684</v>
      </c>
      <c r="D485" s="43" t="s">
        <v>684</v>
      </c>
      <c r="E485" s="78">
        <v>1</v>
      </c>
      <c r="F485" s="3" t="s">
        <v>433</v>
      </c>
      <c r="G485" s="78">
        <v>3478.41</v>
      </c>
      <c r="H485" s="20">
        <f t="shared" si="8"/>
        <v>3478.41</v>
      </c>
    </row>
    <row r="486" spans="1:8" ht="20.100000000000001" customHeight="1" x14ac:dyDescent="0.25">
      <c r="A486" s="59" t="s">
        <v>1568</v>
      </c>
      <c r="B486" s="3" t="s">
        <v>17</v>
      </c>
      <c r="C486" s="43" t="s">
        <v>686</v>
      </c>
      <c r="D486" s="43" t="s">
        <v>686</v>
      </c>
      <c r="E486" s="78">
        <v>1</v>
      </c>
      <c r="F486" s="3" t="s">
        <v>433</v>
      </c>
      <c r="G486" s="78">
        <v>3162.1</v>
      </c>
      <c r="H486" s="20">
        <f t="shared" si="8"/>
        <v>3162.1</v>
      </c>
    </row>
    <row r="487" spans="1:8" ht="20.100000000000001" customHeight="1" x14ac:dyDescent="0.25">
      <c r="A487" s="52"/>
      <c r="B487" s="9"/>
      <c r="C487" s="44" t="s">
        <v>1315</v>
      </c>
      <c r="D487" s="44" t="s">
        <v>1569</v>
      </c>
      <c r="E487" s="78">
        <v>1</v>
      </c>
      <c r="F487" s="9"/>
      <c r="G487" s="79">
        <f>SUM(H480:H486)</f>
        <v>49602.36</v>
      </c>
      <c r="H487" s="29">
        <f t="shared" si="8"/>
        <v>49602.36</v>
      </c>
    </row>
    <row r="488" spans="1:8" ht="20.100000000000001" customHeight="1" x14ac:dyDescent="0.25">
      <c r="A488" s="60"/>
      <c r="B488" s="12"/>
      <c r="C488" s="45"/>
      <c r="D488" s="45"/>
      <c r="E488" s="34"/>
      <c r="F488" s="12"/>
      <c r="G488" s="34"/>
      <c r="H488" s="30"/>
    </row>
    <row r="489" spans="1:8" ht="20.100000000000001" customHeight="1" x14ac:dyDescent="0.25">
      <c r="A489" s="63"/>
      <c r="B489" s="18" t="s">
        <v>9</v>
      </c>
      <c r="C489" s="48" t="s">
        <v>687</v>
      </c>
      <c r="D489" s="48" t="s">
        <v>1215</v>
      </c>
      <c r="E489" s="82">
        <f>E491</f>
        <v>1</v>
      </c>
      <c r="F489" s="18" t="s">
        <v>65</v>
      </c>
      <c r="G489" s="82">
        <f>G491</f>
        <v>9616.69</v>
      </c>
      <c r="H489" s="32">
        <f>H491</f>
        <v>9616.69</v>
      </c>
    </row>
    <row r="490" spans="1:8" ht="20.100000000000001" customHeight="1" x14ac:dyDescent="0.25">
      <c r="A490" s="59" t="s">
        <v>1570</v>
      </c>
      <c r="B490" s="3" t="s">
        <v>17</v>
      </c>
      <c r="C490" s="43" t="s">
        <v>689</v>
      </c>
      <c r="D490" s="43" t="s">
        <v>1317</v>
      </c>
      <c r="E490" s="78">
        <v>54.43</v>
      </c>
      <c r="F490" s="3" t="s">
        <v>35</v>
      </c>
      <c r="G490" s="78">
        <v>176.68</v>
      </c>
      <c r="H490" s="20">
        <f>ROUND(E490*G490,2)</f>
        <v>9616.69</v>
      </c>
    </row>
    <row r="491" spans="1:8" ht="20.100000000000001" customHeight="1" x14ac:dyDescent="0.25">
      <c r="A491" s="52"/>
      <c r="B491" s="9"/>
      <c r="C491" s="44" t="s">
        <v>1316</v>
      </c>
      <c r="D491" s="44" t="s">
        <v>1571</v>
      </c>
      <c r="E491" s="78">
        <v>1</v>
      </c>
      <c r="F491" s="9"/>
      <c r="G491" s="79">
        <f>H490</f>
        <v>9616.69</v>
      </c>
      <c r="H491" s="29">
        <f>ROUND(E491*G491,2)</f>
        <v>9616.69</v>
      </c>
    </row>
    <row r="492" spans="1:8" ht="20.100000000000001" customHeight="1" x14ac:dyDescent="0.25">
      <c r="A492" s="60"/>
      <c r="B492" s="12"/>
      <c r="C492" s="45"/>
      <c r="D492" s="45"/>
      <c r="E492" s="34"/>
      <c r="F492" s="12"/>
      <c r="G492" s="34"/>
      <c r="H492" s="30"/>
    </row>
    <row r="493" spans="1:8" ht="20.100000000000001" customHeight="1" x14ac:dyDescent="0.25">
      <c r="A493" s="52"/>
      <c r="B493" s="9"/>
      <c r="C493" s="44" t="s">
        <v>690</v>
      </c>
      <c r="D493" s="44" t="s">
        <v>352</v>
      </c>
      <c r="E493" s="78">
        <v>1</v>
      </c>
      <c r="F493" s="9"/>
      <c r="G493" s="79">
        <f>H479+H489</f>
        <v>59219.05</v>
      </c>
      <c r="H493" s="29">
        <f>ROUND(E493*G493,2)</f>
        <v>59219.05</v>
      </c>
    </row>
    <row r="494" spans="1:8" ht="20.100000000000001" customHeight="1" x14ac:dyDescent="0.25">
      <c r="A494" s="60"/>
      <c r="B494" s="12"/>
      <c r="C494" s="45"/>
      <c r="D494" s="45"/>
      <c r="E494" s="34"/>
      <c r="F494" s="12"/>
      <c r="G494" s="34"/>
      <c r="H494" s="30"/>
    </row>
    <row r="495" spans="1:8" ht="20.100000000000001" customHeight="1" x14ac:dyDescent="0.25">
      <c r="A495" s="62" t="s">
        <v>358</v>
      </c>
      <c r="B495" s="7" t="s">
        <v>9</v>
      </c>
      <c r="C495" s="47" t="s">
        <v>692</v>
      </c>
      <c r="D495" s="47" t="s">
        <v>1217</v>
      </c>
      <c r="E495" s="81">
        <f>E512</f>
        <v>1</v>
      </c>
      <c r="F495" s="7" t="s">
        <v>10</v>
      </c>
      <c r="G495" s="81">
        <f>G512</f>
        <v>102221.98</v>
      </c>
      <c r="H495" s="21">
        <f>H512</f>
        <v>102221.98</v>
      </c>
    </row>
    <row r="496" spans="1:8" ht="20.100000000000001" customHeight="1" x14ac:dyDescent="0.25">
      <c r="A496" s="63"/>
      <c r="B496" s="18" t="s">
        <v>9</v>
      </c>
      <c r="C496" s="48" t="s">
        <v>408</v>
      </c>
      <c r="D496" s="48" t="s">
        <v>1196</v>
      </c>
      <c r="E496" s="82">
        <f>E503</f>
        <v>1</v>
      </c>
      <c r="F496" s="18" t="s">
        <v>65</v>
      </c>
      <c r="G496" s="82">
        <f>G503</f>
        <v>56885.51</v>
      </c>
      <c r="H496" s="32">
        <f>H503</f>
        <v>56885.51</v>
      </c>
    </row>
    <row r="497" spans="1:8" ht="20.100000000000001" customHeight="1" x14ac:dyDescent="0.25">
      <c r="A497" s="59" t="s">
        <v>360</v>
      </c>
      <c r="B497" s="3" t="s">
        <v>17</v>
      </c>
      <c r="C497" s="43" t="s">
        <v>449</v>
      </c>
      <c r="D497" s="91" t="s">
        <v>1220</v>
      </c>
      <c r="E497" s="78">
        <v>982.58</v>
      </c>
      <c r="F497" s="3" t="s">
        <v>35</v>
      </c>
      <c r="G497" s="78">
        <v>26.55</v>
      </c>
      <c r="H497" s="20">
        <f t="shared" ref="H497:H503" si="9">ROUND(E497*G497,2)</f>
        <v>26087.5</v>
      </c>
    </row>
    <row r="498" spans="1:8" ht="20.100000000000001" customHeight="1" x14ac:dyDescent="0.25">
      <c r="A498" s="59" t="s">
        <v>362</v>
      </c>
      <c r="B498" s="3" t="s">
        <v>17</v>
      </c>
      <c r="C498" s="43" t="s">
        <v>451</v>
      </c>
      <c r="D498" s="91" t="s">
        <v>1219</v>
      </c>
      <c r="E498" s="78">
        <v>278.04000000000002</v>
      </c>
      <c r="F498" s="3" t="s">
        <v>35</v>
      </c>
      <c r="G498" s="78">
        <v>26.55</v>
      </c>
      <c r="H498" s="20">
        <f t="shared" si="9"/>
        <v>7381.96</v>
      </c>
    </row>
    <row r="499" spans="1:8" ht="20.100000000000001" customHeight="1" x14ac:dyDescent="0.25">
      <c r="A499" s="59" t="s">
        <v>364</v>
      </c>
      <c r="B499" s="3" t="s">
        <v>17</v>
      </c>
      <c r="C499" s="43" t="s">
        <v>453</v>
      </c>
      <c r="D499" s="43" t="s">
        <v>1218</v>
      </c>
      <c r="E499" s="78">
        <v>401.94</v>
      </c>
      <c r="F499" s="3" t="s">
        <v>277</v>
      </c>
      <c r="G499" s="78">
        <v>11.15</v>
      </c>
      <c r="H499" s="20">
        <f t="shared" si="9"/>
        <v>4481.63</v>
      </c>
    </row>
    <row r="500" spans="1:8" ht="20.100000000000001" customHeight="1" x14ac:dyDescent="0.25">
      <c r="A500" s="59" t="s">
        <v>366</v>
      </c>
      <c r="B500" s="3" t="s">
        <v>17</v>
      </c>
      <c r="C500" s="43" t="s">
        <v>455</v>
      </c>
      <c r="D500" s="43" t="s">
        <v>1223</v>
      </c>
      <c r="E500" s="78">
        <v>773.17</v>
      </c>
      <c r="F500" s="3" t="s">
        <v>277</v>
      </c>
      <c r="G500" s="78">
        <v>8.19</v>
      </c>
      <c r="H500" s="20">
        <f t="shared" si="9"/>
        <v>6332.26</v>
      </c>
    </row>
    <row r="501" spans="1:8" ht="20.100000000000001" customHeight="1" x14ac:dyDescent="0.25">
      <c r="A501" s="59" t="s">
        <v>368</v>
      </c>
      <c r="B501" s="3" t="s">
        <v>17</v>
      </c>
      <c r="C501" s="43" t="s">
        <v>457</v>
      </c>
      <c r="D501" s="43" t="s">
        <v>1221</v>
      </c>
      <c r="E501" s="78">
        <v>10</v>
      </c>
      <c r="F501" s="3" t="s">
        <v>10</v>
      </c>
      <c r="G501" s="78">
        <v>1069.8800000000001</v>
      </c>
      <c r="H501" s="20">
        <f t="shared" si="9"/>
        <v>10698.8</v>
      </c>
    </row>
    <row r="502" spans="1:8" ht="20.100000000000001" customHeight="1" x14ac:dyDescent="0.25">
      <c r="A502" s="59" t="s">
        <v>370</v>
      </c>
      <c r="B502" s="3" t="s">
        <v>17</v>
      </c>
      <c r="C502" s="43" t="s">
        <v>459</v>
      </c>
      <c r="D502" s="43" t="s">
        <v>1222</v>
      </c>
      <c r="E502" s="78">
        <v>191.1</v>
      </c>
      <c r="F502" s="3" t="s">
        <v>277</v>
      </c>
      <c r="G502" s="78">
        <v>9.9600000000000009</v>
      </c>
      <c r="H502" s="20">
        <f t="shared" si="9"/>
        <v>1903.36</v>
      </c>
    </row>
    <row r="503" spans="1:8" ht="20.100000000000001" customHeight="1" x14ac:dyDescent="0.25">
      <c r="A503" s="52"/>
      <c r="B503" s="9"/>
      <c r="C503" s="44" t="s">
        <v>1318</v>
      </c>
      <c r="D503" s="44" t="s">
        <v>1572</v>
      </c>
      <c r="E503" s="78">
        <v>1</v>
      </c>
      <c r="F503" s="9"/>
      <c r="G503" s="79">
        <f>SUM(H497:H502)</f>
        <v>56885.51</v>
      </c>
      <c r="H503" s="29">
        <f t="shared" si="9"/>
        <v>56885.51</v>
      </c>
    </row>
    <row r="504" spans="1:8" ht="20.100000000000001" customHeight="1" x14ac:dyDescent="0.25">
      <c r="A504" s="60"/>
      <c r="B504" s="12"/>
      <c r="C504" s="45"/>
      <c r="D504" s="45"/>
      <c r="E504" s="34"/>
      <c r="F504" s="12"/>
      <c r="G504" s="34"/>
      <c r="H504" s="30"/>
    </row>
    <row r="505" spans="1:8" ht="20.100000000000001" customHeight="1" x14ac:dyDescent="0.25">
      <c r="A505" s="63"/>
      <c r="B505" s="18" t="s">
        <v>9</v>
      </c>
      <c r="C505" s="48" t="s">
        <v>413</v>
      </c>
      <c r="D505" s="48" t="s">
        <v>1197</v>
      </c>
      <c r="E505" s="82">
        <f>E510</f>
        <v>1</v>
      </c>
      <c r="F505" s="18" t="s">
        <v>65</v>
      </c>
      <c r="G505" s="82">
        <f>G510</f>
        <v>45336.47</v>
      </c>
      <c r="H505" s="32">
        <f>H510</f>
        <v>45336.47</v>
      </c>
    </row>
    <row r="506" spans="1:8" ht="20.100000000000001" customHeight="1" x14ac:dyDescent="0.25">
      <c r="A506" s="59" t="s">
        <v>372</v>
      </c>
      <c r="B506" s="3" t="s">
        <v>17</v>
      </c>
      <c r="C506" s="43" t="s">
        <v>462</v>
      </c>
      <c r="D506" s="43" t="s">
        <v>1226</v>
      </c>
      <c r="E506" s="78">
        <v>488.17</v>
      </c>
      <c r="F506" s="3" t="s">
        <v>35</v>
      </c>
      <c r="G506" s="78">
        <v>8.32</v>
      </c>
      <c r="H506" s="20">
        <f>ROUND(E506*G506,2)</f>
        <v>4061.57</v>
      </c>
    </row>
    <row r="507" spans="1:8" ht="20.100000000000001" customHeight="1" x14ac:dyDescent="0.25">
      <c r="A507" s="59" t="s">
        <v>374</v>
      </c>
      <c r="B507" s="3" t="s">
        <v>17</v>
      </c>
      <c r="C507" s="43" t="s">
        <v>1237</v>
      </c>
      <c r="D507" s="43" t="s">
        <v>1236</v>
      </c>
      <c r="E507" s="78">
        <v>534.28</v>
      </c>
      <c r="F507" s="3" t="s">
        <v>35</v>
      </c>
      <c r="G507" s="78">
        <v>52.94</v>
      </c>
      <c r="H507" s="20">
        <f>ROUND(E507*G507,2)</f>
        <v>28284.78</v>
      </c>
    </row>
    <row r="508" spans="1:8" ht="20.100000000000001" customHeight="1" x14ac:dyDescent="0.25">
      <c r="A508" s="59" t="s">
        <v>376</v>
      </c>
      <c r="B508" s="3" t="s">
        <v>17</v>
      </c>
      <c r="C508" s="43" t="s">
        <v>466</v>
      </c>
      <c r="D508" s="91" t="s">
        <v>1228</v>
      </c>
      <c r="E508" s="78">
        <v>76.59</v>
      </c>
      <c r="F508" s="3" t="s">
        <v>277</v>
      </c>
      <c r="G508" s="78">
        <v>19.510000000000002</v>
      </c>
      <c r="H508" s="20">
        <f>ROUND(E508*G508,2)</f>
        <v>1494.27</v>
      </c>
    </row>
    <row r="509" spans="1:8" ht="20.100000000000001" customHeight="1" x14ac:dyDescent="0.25">
      <c r="A509" s="59" t="s">
        <v>378</v>
      </c>
      <c r="B509" s="3" t="s">
        <v>17</v>
      </c>
      <c r="C509" s="43" t="s">
        <v>469</v>
      </c>
      <c r="D509" s="43" t="s">
        <v>1227</v>
      </c>
      <c r="E509" s="78">
        <v>505.09</v>
      </c>
      <c r="F509" s="3" t="s">
        <v>468</v>
      </c>
      <c r="G509" s="78">
        <v>22.76</v>
      </c>
      <c r="H509" s="20">
        <f>ROUND(E509*G509,2)</f>
        <v>11495.85</v>
      </c>
    </row>
    <row r="510" spans="1:8" ht="20.100000000000001" customHeight="1" x14ac:dyDescent="0.25">
      <c r="A510" s="52"/>
      <c r="B510" s="9"/>
      <c r="C510" s="44" t="s">
        <v>1319</v>
      </c>
      <c r="D510" s="44" t="s">
        <v>1573</v>
      </c>
      <c r="E510" s="78">
        <v>1</v>
      </c>
      <c r="F510" s="9"/>
      <c r="G510" s="79">
        <f>SUM(H506:H509)</f>
        <v>45336.47</v>
      </c>
      <c r="H510" s="29">
        <f>ROUND(E510*G510,2)</f>
        <v>45336.47</v>
      </c>
    </row>
    <row r="511" spans="1:8" ht="20.100000000000001" customHeight="1" x14ac:dyDescent="0.25">
      <c r="A511" s="60"/>
      <c r="B511" s="12"/>
      <c r="C511" s="45"/>
      <c r="D511" s="45"/>
      <c r="E511" s="34"/>
      <c r="F511" s="12"/>
      <c r="G511" s="34"/>
      <c r="H511" s="30"/>
    </row>
    <row r="512" spans="1:8" ht="20.100000000000001" customHeight="1" x14ac:dyDescent="0.25">
      <c r="A512" s="52"/>
      <c r="B512" s="9"/>
      <c r="C512" s="44" t="s">
        <v>703</v>
      </c>
      <c r="D512" s="44" t="s">
        <v>382</v>
      </c>
      <c r="E512" s="78">
        <v>1</v>
      </c>
      <c r="F512" s="9"/>
      <c r="G512" s="79">
        <f>H496+H505</f>
        <v>102221.98</v>
      </c>
      <c r="H512" s="29">
        <f>ROUND(E512*G512,2)</f>
        <v>102221.98</v>
      </c>
    </row>
    <row r="513" spans="1:8" ht="20.100000000000001" customHeight="1" x14ac:dyDescent="0.25">
      <c r="A513" s="60"/>
      <c r="B513" s="12"/>
      <c r="C513" s="45"/>
      <c r="D513" s="45"/>
      <c r="E513" s="34"/>
      <c r="F513" s="12"/>
      <c r="G513" s="34"/>
      <c r="H513" s="30"/>
    </row>
    <row r="514" spans="1:8" ht="20.100000000000001" customHeight="1" x14ac:dyDescent="0.25">
      <c r="A514" s="62" t="s">
        <v>383</v>
      </c>
      <c r="B514" s="7" t="s">
        <v>9</v>
      </c>
      <c r="C514" s="47" t="s">
        <v>472</v>
      </c>
      <c r="D514" s="47" t="s">
        <v>1229</v>
      </c>
      <c r="E514" s="81">
        <f>E540</f>
        <v>1</v>
      </c>
      <c r="F514" s="7" t="s">
        <v>10</v>
      </c>
      <c r="G514" s="81">
        <f>G540</f>
        <v>35659.72</v>
      </c>
      <c r="H514" s="21">
        <f>H540</f>
        <v>35659.72</v>
      </c>
    </row>
    <row r="515" spans="1:8" ht="20.100000000000001" customHeight="1" x14ac:dyDescent="0.25">
      <c r="A515" s="63"/>
      <c r="B515" s="18" t="s">
        <v>9</v>
      </c>
      <c r="C515" s="48" t="s">
        <v>705</v>
      </c>
      <c r="D515" s="48" t="s">
        <v>1230</v>
      </c>
      <c r="E515" s="82">
        <f>E528</f>
        <v>1</v>
      </c>
      <c r="F515" s="18" t="s">
        <v>65</v>
      </c>
      <c r="G515" s="82">
        <f>G528</f>
        <v>26938.87</v>
      </c>
      <c r="H515" s="32">
        <f>H528</f>
        <v>26938.87</v>
      </c>
    </row>
    <row r="516" spans="1:8" ht="20.100000000000001" customHeight="1" x14ac:dyDescent="0.25">
      <c r="A516" s="59" t="s">
        <v>385</v>
      </c>
      <c r="B516" s="3" t="s">
        <v>17</v>
      </c>
      <c r="C516" s="43" t="s">
        <v>686</v>
      </c>
      <c r="D516" s="43" t="s">
        <v>686</v>
      </c>
      <c r="E516" s="78">
        <v>27.83</v>
      </c>
      <c r="F516" s="3" t="s">
        <v>35</v>
      </c>
      <c r="G516" s="78">
        <v>75.62</v>
      </c>
      <c r="H516" s="20">
        <f t="shared" ref="H516:H528" si="10">ROUND(E516*G516,2)</f>
        <v>2104.5</v>
      </c>
    </row>
    <row r="517" spans="1:8" ht="20.100000000000001" customHeight="1" x14ac:dyDescent="0.25">
      <c r="A517" s="59" t="s">
        <v>387</v>
      </c>
      <c r="B517" s="3" t="s">
        <v>17</v>
      </c>
      <c r="C517" s="43" t="s">
        <v>708</v>
      </c>
      <c r="D517" s="43" t="s">
        <v>708</v>
      </c>
      <c r="E517" s="78">
        <v>7.66</v>
      </c>
      <c r="F517" s="3" t="s">
        <v>35</v>
      </c>
      <c r="G517" s="78">
        <v>75.62</v>
      </c>
      <c r="H517" s="20">
        <f t="shared" si="10"/>
        <v>579.25</v>
      </c>
    </row>
    <row r="518" spans="1:8" ht="20.100000000000001" customHeight="1" x14ac:dyDescent="0.25">
      <c r="A518" s="59" t="s">
        <v>389</v>
      </c>
      <c r="B518" s="3" t="s">
        <v>17</v>
      </c>
      <c r="C518" s="43" t="s">
        <v>710</v>
      </c>
      <c r="D518" s="43" t="s">
        <v>710</v>
      </c>
      <c r="E518" s="78">
        <v>15.64</v>
      </c>
      <c r="F518" s="3" t="s">
        <v>35</v>
      </c>
      <c r="G518" s="78">
        <v>75.62</v>
      </c>
      <c r="H518" s="20">
        <f t="shared" si="10"/>
        <v>1182.7</v>
      </c>
    </row>
    <row r="519" spans="1:8" ht="20.100000000000001" customHeight="1" x14ac:dyDescent="0.25">
      <c r="A519" s="59" t="s">
        <v>391</v>
      </c>
      <c r="B519" s="3" t="s">
        <v>17</v>
      </c>
      <c r="C519" s="43" t="s">
        <v>712</v>
      </c>
      <c r="D519" s="43" t="s">
        <v>712</v>
      </c>
      <c r="E519" s="78">
        <v>34.36</v>
      </c>
      <c r="F519" s="3" t="s">
        <v>35</v>
      </c>
      <c r="G519" s="78">
        <v>75.62</v>
      </c>
      <c r="H519" s="20">
        <f t="shared" si="10"/>
        <v>2598.3000000000002</v>
      </c>
    </row>
    <row r="520" spans="1:8" ht="20.100000000000001" customHeight="1" x14ac:dyDescent="0.25">
      <c r="A520" s="59" t="s">
        <v>393</v>
      </c>
      <c r="B520" s="3" t="s">
        <v>17</v>
      </c>
      <c r="C520" s="43" t="s">
        <v>714</v>
      </c>
      <c r="D520" s="43" t="s">
        <v>714</v>
      </c>
      <c r="E520" s="78">
        <v>9.9499999999999993</v>
      </c>
      <c r="F520" s="3" t="s">
        <v>35</v>
      </c>
      <c r="G520" s="78">
        <v>75.62</v>
      </c>
      <c r="H520" s="20">
        <f t="shared" si="10"/>
        <v>752.42</v>
      </c>
    </row>
    <row r="521" spans="1:8" ht="20.100000000000001" customHeight="1" x14ac:dyDescent="0.25">
      <c r="A521" s="59" t="s">
        <v>395</v>
      </c>
      <c r="B521" s="3" t="s">
        <v>17</v>
      </c>
      <c r="C521" s="43" t="s">
        <v>689</v>
      </c>
      <c r="D521" s="43" t="s">
        <v>1317</v>
      </c>
      <c r="E521" s="78">
        <v>63.32</v>
      </c>
      <c r="F521" s="3" t="s">
        <v>35</v>
      </c>
      <c r="G521" s="78">
        <v>75.62</v>
      </c>
      <c r="H521" s="20">
        <f t="shared" si="10"/>
        <v>4788.26</v>
      </c>
    </row>
    <row r="522" spans="1:8" ht="20.100000000000001" customHeight="1" x14ac:dyDescent="0.25">
      <c r="A522" s="59" t="s">
        <v>397</v>
      </c>
      <c r="B522" s="3" t="s">
        <v>17</v>
      </c>
      <c r="C522" s="43" t="s">
        <v>717</v>
      </c>
      <c r="D522" s="97" t="s">
        <v>1313</v>
      </c>
      <c r="E522" s="78">
        <v>27.72</v>
      </c>
      <c r="F522" s="3" t="s">
        <v>35</v>
      </c>
      <c r="G522" s="78">
        <v>75.62</v>
      </c>
      <c r="H522" s="20">
        <f t="shared" si="10"/>
        <v>2096.19</v>
      </c>
    </row>
    <row r="523" spans="1:8" ht="20.100000000000001" customHeight="1" x14ac:dyDescent="0.25">
      <c r="A523" s="59" t="s">
        <v>399</v>
      </c>
      <c r="B523" s="3" t="s">
        <v>17</v>
      </c>
      <c r="C523" s="43" t="s">
        <v>680</v>
      </c>
      <c r="D523" s="43" t="s">
        <v>680</v>
      </c>
      <c r="E523" s="78">
        <v>21.18</v>
      </c>
      <c r="F523" s="3" t="s">
        <v>35</v>
      </c>
      <c r="G523" s="78">
        <v>75.62</v>
      </c>
      <c r="H523" s="20">
        <f t="shared" si="10"/>
        <v>1601.63</v>
      </c>
    </row>
    <row r="524" spans="1:8" ht="20.100000000000001" customHeight="1" x14ac:dyDescent="0.25">
      <c r="A524" s="59" t="s">
        <v>401</v>
      </c>
      <c r="B524" s="3" t="s">
        <v>17</v>
      </c>
      <c r="C524" s="43" t="s">
        <v>720</v>
      </c>
      <c r="D524" s="43" t="s">
        <v>720</v>
      </c>
      <c r="E524" s="78">
        <v>5.9</v>
      </c>
      <c r="F524" s="3" t="s">
        <v>35</v>
      </c>
      <c r="G524" s="78">
        <v>75.62</v>
      </c>
      <c r="H524" s="20">
        <f t="shared" si="10"/>
        <v>446.16</v>
      </c>
    </row>
    <row r="525" spans="1:8" ht="20.100000000000001" customHeight="1" x14ac:dyDescent="0.25">
      <c r="A525" s="59" t="s">
        <v>403</v>
      </c>
      <c r="B525" s="3" t="s">
        <v>17</v>
      </c>
      <c r="C525" s="43" t="s">
        <v>684</v>
      </c>
      <c r="D525" s="43" t="s">
        <v>684</v>
      </c>
      <c r="E525" s="78">
        <v>33.68</v>
      </c>
      <c r="F525" s="3" t="s">
        <v>35</v>
      </c>
      <c r="G525" s="78">
        <v>75.62</v>
      </c>
      <c r="H525" s="20">
        <f t="shared" si="10"/>
        <v>2546.88</v>
      </c>
    </row>
    <row r="526" spans="1:8" ht="20.100000000000001" customHeight="1" x14ac:dyDescent="0.25">
      <c r="A526" s="59" t="s">
        <v>1574</v>
      </c>
      <c r="B526" s="3" t="s">
        <v>17</v>
      </c>
      <c r="C526" s="43" t="s">
        <v>723</v>
      </c>
      <c r="D526" s="43" t="s">
        <v>723</v>
      </c>
      <c r="E526" s="78">
        <v>6.72</v>
      </c>
      <c r="F526" s="3" t="s">
        <v>35</v>
      </c>
      <c r="G526" s="78">
        <v>75.62</v>
      </c>
      <c r="H526" s="20">
        <f t="shared" si="10"/>
        <v>508.17</v>
      </c>
    </row>
    <row r="527" spans="1:8" ht="20.100000000000001" customHeight="1" x14ac:dyDescent="0.25">
      <c r="A527" s="59" t="s">
        <v>1575</v>
      </c>
      <c r="B527" s="3" t="s">
        <v>17</v>
      </c>
      <c r="C527" s="43" t="s">
        <v>493</v>
      </c>
      <c r="D527" s="43" t="s">
        <v>493</v>
      </c>
      <c r="E527" s="78">
        <v>102.28</v>
      </c>
      <c r="F527" s="3" t="s">
        <v>35</v>
      </c>
      <c r="G527" s="78">
        <v>75.62</v>
      </c>
      <c r="H527" s="20">
        <f t="shared" si="10"/>
        <v>7734.41</v>
      </c>
    </row>
    <row r="528" spans="1:8" ht="20.100000000000001" customHeight="1" x14ac:dyDescent="0.25">
      <c r="A528" s="52"/>
      <c r="B528" s="9"/>
      <c r="C528" s="44" t="s">
        <v>1320</v>
      </c>
      <c r="D528" s="44" t="s">
        <v>1576</v>
      </c>
      <c r="E528" s="78">
        <v>1</v>
      </c>
      <c r="F528" s="9"/>
      <c r="G528" s="79">
        <f>SUM(H516:H527)</f>
        <v>26938.87</v>
      </c>
      <c r="H528" s="29">
        <f t="shared" si="10"/>
        <v>26938.87</v>
      </c>
    </row>
    <row r="529" spans="1:8" ht="20.100000000000001" customHeight="1" x14ac:dyDescent="0.25">
      <c r="A529" s="60"/>
      <c r="B529" s="12"/>
      <c r="C529" s="45"/>
      <c r="D529" s="45"/>
      <c r="E529" s="34"/>
      <c r="F529" s="12"/>
      <c r="G529" s="34"/>
      <c r="H529" s="30"/>
    </row>
    <row r="530" spans="1:8" ht="20.100000000000001" customHeight="1" x14ac:dyDescent="0.25">
      <c r="A530" s="63"/>
      <c r="B530" s="18" t="s">
        <v>9</v>
      </c>
      <c r="C530" s="48" t="s">
        <v>526</v>
      </c>
      <c r="D530" s="48" t="s">
        <v>1247</v>
      </c>
      <c r="E530" s="82">
        <f>E533</f>
        <v>1</v>
      </c>
      <c r="F530" s="18" t="s">
        <v>65</v>
      </c>
      <c r="G530" s="82">
        <f>G533</f>
        <v>5858.15</v>
      </c>
      <c r="H530" s="32">
        <f>H533</f>
        <v>5858.15</v>
      </c>
    </row>
    <row r="531" spans="1:8" ht="20.100000000000001" customHeight="1" x14ac:dyDescent="0.25">
      <c r="A531" s="59" t="s">
        <v>1577</v>
      </c>
      <c r="B531" s="3" t="s">
        <v>17</v>
      </c>
      <c r="C531" s="43" t="s">
        <v>530</v>
      </c>
      <c r="D531" s="43" t="s">
        <v>1268</v>
      </c>
      <c r="E531" s="78">
        <v>160.49</v>
      </c>
      <c r="F531" s="3" t="s">
        <v>277</v>
      </c>
      <c r="G531" s="78">
        <v>35.24</v>
      </c>
      <c r="H531" s="20">
        <f>ROUND(E531*G531,2)</f>
        <v>5655.67</v>
      </c>
    </row>
    <row r="532" spans="1:8" ht="20.100000000000001" customHeight="1" x14ac:dyDescent="0.25">
      <c r="A532" s="59" t="s">
        <v>1578</v>
      </c>
      <c r="B532" s="3" t="s">
        <v>17</v>
      </c>
      <c r="C532" s="43" t="s">
        <v>532</v>
      </c>
      <c r="D532" s="43" t="s">
        <v>1269</v>
      </c>
      <c r="E532" s="78">
        <v>12.93</v>
      </c>
      <c r="F532" s="3" t="s">
        <v>277</v>
      </c>
      <c r="G532" s="78">
        <v>15.66</v>
      </c>
      <c r="H532" s="20">
        <f>ROUND(E532*G532,2)</f>
        <v>202.48</v>
      </c>
    </row>
    <row r="533" spans="1:8" ht="20.100000000000001" customHeight="1" x14ac:dyDescent="0.25">
      <c r="A533" s="52"/>
      <c r="B533" s="9"/>
      <c r="C533" s="44" t="s">
        <v>1321</v>
      </c>
      <c r="D533" s="44" t="s">
        <v>1579</v>
      </c>
      <c r="E533" s="78">
        <v>1</v>
      </c>
      <c r="F533" s="9"/>
      <c r="G533" s="79">
        <f>SUM(H531:H532)</f>
        <v>5858.15</v>
      </c>
      <c r="H533" s="29">
        <f>ROUND(E533*G533,2)</f>
        <v>5858.15</v>
      </c>
    </row>
    <row r="534" spans="1:8" ht="20.100000000000001" customHeight="1" x14ac:dyDescent="0.25">
      <c r="A534" s="60"/>
      <c r="B534" s="12"/>
      <c r="C534" s="45"/>
      <c r="D534" s="45"/>
      <c r="E534" s="34"/>
      <c r="F534" s="12"/>
      <c r="G534" s="34"/>
      <c r="H534" s="30"/>
    </row>
    <row r="535" spans="1:8" ht="20.100000000000001" customHeight="1" x14ac:dyDescent="0.25">
      <c r="A535" s="63"/>
      <c r="B535" s="18" t="s">
        <v>9</v>
      </c>
      <c r="C535" s="48" t="s">
        <v>538</v>
      </c>
      <c r="D535" s="48" t="s">
        <v>1249</v>
      </c>
      <c r="E535" s="82">
        <f>E538</f>
        <v>1</v>
      </c>
      <c r="F535" s="18" t="s">
        <v>65</v>
      </c>
      <c r="G535" s="82">
        <f>G538</f>
        <v>2862.7</v>
      </c>
      <c r="H535" s="32">
        <f>H538</f>
        <v>2862.7</v>
      </c>
    </row>
    <row r="536" spans="1:8" ht="20.100000000000001" customHeight="1" x14ac:dyDescent="0.25">
      <c r="A536" s="59" t="s">
        <v>1580</v>
      </c>
      <c r="B536" s="3" t="s">
        <v>17</v>
      </c>
      <c r="C536" s="43" t="s">
        <v>538</v>
      </c>
      <c r="D536" s="43" t="s">
        <v>1250</v>
      </c>
      <c r="E536" s="78">
        <v>27.15</v>
      </c>
      <c r="F536" s="3" t="s">
        <v>277</v>
      </c>
      <c r="G536" s="78">
        <v>34.64</v>
      </c>
      <c r="H536" s="20">
        <f>ROUND(E536*G536,2)</f>
        <v>940.48</v>
      </c>
    </row>
    <row r="537" spans="1:8" ht="20.100000000000001" customHeight="1" x14ac:dyDescent="0.25">
      <c r="A537" s="59" t="s">
        <v>1581</v>
      </c>
      <c r="B537" s="3" t="s">
        <v>17</v>
      </c>
      <c r="C537" s="43" t="s">
        <v>544</v>
      </c>
      <c r="D537" s="43" t="s">
        <v>1253</v>
      </c>
      <c r="E537" s="78">
        <v>53.1</v>
      </c>
      <c r="F537" s="3" t="s">
        <v>277</v>
      </c>
      <c r="G537" s="78">
        <v>36.200000000000003</v>
      </c>
      <c r="H537" s="20">
        <f>ROUND(E537*G537,2)</f>
        <v>1922.22</v>
      </c>
    </row>
    <row r="538" spans="1:8" ht="20.100000000000001" customHeight="1" x14ac:dyDescent="0.25">
      <c r="A538" s="52"/>
      <c r="B538" s="9"/>
      <c r="C538" s="44" t="s">
        <v>1322</v>
      </c>
      <c r="D538" s="44" t="s">
        <v>1582</v>
      </c>
      <c r="E538" s="78">
        <v>1</v>
      </c>
      <c r="F538" s="9"/>
      <c r="G538" s="79">
        <f>SUM(H536:H537)</f>
        <v>2862.7</v>
      </c>
      <c r="H538" s="29">
        <f>ROUND(E538*G538,2)</f>
        <v>2862.7</v>
      </c>
    </row>
    <row r="539" spans="1:8" ht="20.100000000000001" customHeight="1" x14ac:dyDescent="0.25">
      <c r="A539" s="60"/>
      <c r="B539" s="12"/>
      <c r="C539" s="45"/>
      <c r="D539" s="45"/>
      <c r="E539" s="34"/>
      <c r="F539" s="12"/>
      <c r="G539" s="34"/>
      <c r="H539" s="30"/>
    </row>
    <row r="540" spans="1:8" ht="20.100000000000001" customHeight="1" x14ac:dyDescent="0.25">
      <c r="A540" s="52"/>
      <c r="B540" s="9"/>
      <c r="C540" s="44" t="s">
        <v>727</v>
      </c>
      <c r="D540" s="44" t="s">
        <v>405</v>
      </c>
      <c r="E540" s="78">
        <v>1</v>
      </c>
      <c r="F540" s="9"/>
      <c r="G540" s="79">
        <f>H515+H530+H535</f>
        <v>35659.72</v>
      </c>
      <c r="H540" s="29">
        <f>ROUND(E540*G540,2)</f>
        <v>35659.72</v>
      </c>
    </row>
    <row r="541" spans="1:8" ht="20.100000000000001" customHeight="1" x14ac:dyDescent="0.25">
      <c r="A541" s="60"/>
      <c r="B541" s="12"/>
      <c r="C541" s="45"/>
      <c r="D541" s="45"/>
      <c r="E541" s="34"/>
      <c r="F541" s="12"/>
      <c r="G541" s="34"/>
      <c r="H541" s="30"/>
    </row>
    <row r="542" spans="1:8" ht="39.950000000000003" customHeight="1" x14ac:dyDescent="0.25">
      <c r="A542" s="62" t="s">
        <v>406</v>
      </c>
      <c r="B542" s="7" t="s">
        <v>9</v>
      </c>
      <c r="C542" s="47" t="s">
        <v>729</v>
      </c>
      <c r="D542" s="47" t="s">
        <v>1260</v>
      </c>
      <c r="E542" s="81">
        <f>E546</f>
        <v>1</v>
      </c>
      <c r="F542" s="7" t="s">
        <v>10</v>
      </c>
      <c r="G542" s="81">
        <f>G546</f>
        <v>3148.29</v>
      </c>
      <c r="H542" s="21">
        <f>H546</f>
        <v>3148.29</v>
      </c>
    </row>
    <row r="543" spans="1:8" ht="20.100000000000001" customHeight="1" x14ac:dyDescent="0.25">
      <c r="A543" s="59" t="s">
        <v>409</v>
      </c>
      <c r="B543" s="3" t="s">
        <v>17</v>
      </c>
      <c r="C543" s="43" t="s">
        <v>731</v>
      </c>
      <c r="D543" s="91" t="s">
        <v>1262</v>
      </c>
      <c r="E543" s="78">
        <v>111.38</v>
      </c>
      <c r="F543" s="3" t="s">
        <v>35</v>
      </c>
      <c r="G543" s="78">
        <v>14.65</v>
      </c>
      <c r="H543" s="20">
        <f>ROUND(E543*G543,2)</f>
        <v>1631.72</v>
      </c>
    </row>
    <row r="544" spans="1:8" ht="20.100000000000001" customHeight="1" x14ac:dyDescent="0.25">
      <c r="A544" s="59" t="s">
        <v>411</v>
      </c>
      <c r="B544" s="3" t="s">
        <v>17</v>
      </c>
      <c r="C544" s="43" t="s">
        <v>733</v>
      </c>
      <c r="D544" s="91" t="s">
        <v>1263</v>
      </c>
      <c r="E544" s="78">
        <v>84.52</v>
      </c>
      <c r="F544" s="3" t="s">
        <v>35</v>
      </c>
      <c r="G544" s="78">
        <v>14.65</v>
      </c>
      <c r="H544" s="20">
        <f>ROUND(E544*G544,2)</f>
        <v>1238.22</v>
      </c>
    </row>
    <row r="545" spans="1:8" ht="20.100000000000001" customHeight="1" x14ac:dyDescent="0.25">
      <c r="A545" s="59" t="s">
        <v>414</v>
      </c>
      <c r="B545" s="3" t="s">
        <v>17</v>
      </c>
      <c r="C545" s="43" t="s">
        <v>735</v>
      </c>
      <c r="D545" s="91" t="s">
        <v>1264</v>
      </c>
      <c r="E545" s="78">
        <v>19</v>
      </c>
      <c r="F545" s="3" t="s">
        <v>35</v>
      </c>
      <c r="G545" s="78">
        <v>14.65</v>
      </c>
      <c r="H545" s="20">
        <f>ROUND(E545*G545,2)</f>
        <v>278.35000000000002</v>
      </c>
    </row>
    <row r="546" spans="1:8" ht="20.100000000000001" customHeight="1" x14ac:dyDescent="0.25">
      <c r="A546" s="52"/>
      <c r="B546" s="9"/>
      <c r="C546" s="44" t="s">
        <v>736</v>
      </c>
      <c r="D546" s="44" t="s">
        <v>428</v>
      </c>
      <c r="E546" s="78">
        <v>1</v>
      </c>
      <c r="F546" s="9"/>
      <c r="G546" s="79">
        <f>SUM(H543:H545)</f>
        <v>3148.29</v>
      </c>
      <c r="H546" s="29">
        <f>ROUND(E546*G546,2)</f>
        <v>3148.29</v>
      </c>
    </row>
    <row r="547" spans="1:8" ht="20.100000000000001" customHeight="1" x14ac:dyDescent="0.25">
      <c r="A547" s="60"/>
      <c r="B547" s="12"/>
      <c r="C547" s="45"/>
      <c r="D547" s="45"/>
      <c r="E547" s="34"/>
      <c r="F547" s="12"/>
      <c r="G547" s="34"/>
      <c r="H547" s="30"/>
    </row>
    <row r="548" spans="1:8" ht="20.100000000000001" customHeight="1" x14ac:dyDescent="0.25">
      <c r="A548" s="62" t="s">
        <v>429</v>
      </c>
      <c r="B548" s="7" t="s">
        <v>9</v>
      </c>
      <c r="C548" s="47" t="s">
        <v>567</v>
      </c>
      <c r="D548" s="47" t="s">
        <v>1270</v>
      </c>
      <c r="E548" s="81">
        <f>E561</f>
        <v>1</v>
      </c>
      <c r="F548" s="7" t="s">
        <v>10</v>
      </c>
      <c r="G548" s="81">
        <f>G561</f>
        <v>21056.91</v>
      </c>
      <c r="H548" s="21">
        <f>H561</f>
        <v>21056.91</v>
      </c>
    </row>
    <row r="549" spans="1:8" ht="20.100000000000001" customHeight="1" x14ac:dyDescent="0.25">
      <c r="A549" s="63"/>
      <c r="B549" s="18" t="s">
        <v>9</v>
      </c>
      <c r="C549" s="48" t="s">
        <v>568</v>
      </c>
      <c r="D549" s="48" t="s">
        <v>1271</v>
      </c>
      <c r="E549" s="82">
        <f>E551</f>
        <v>1</v>
      </c>
      <c r="F549" s="18" t="s">
        <v>65</v>
      </c>
      <c r="G549" s="82">
        <f>G551</f>
        <v>2672.33</v>
      </c>
      <c r="H549" s="32">
        <f>H551</f>
        <v>2672.33</v>
      </c>
    </row>
    <row r="550" spans="1:8" ht="20.100000000000001" customHeight="1" x14ac:dyDescent="0.25">
      <c r="A550" s="59" t="s">
        <v>432</v>
      </c>
      <c r="B550" s="3" t="s">
        <v>17</v>
      </c>
      <c r="C550" s="43" t="s">
        <v>570</v>
      </c>
      <c r="D550" s="43" t="s">
        <v>1272</v>
      </c>
      <c r="E550" s="78">
        <v>24.23</v>
      </c>
      <c r="F550" s="3" t="s">
        <v>18</v>
      </c>
      <c r="G550" s="78">
        <v>110.29</v>
      </c>
      <c r="H550" s="20">
        <f>ROUND(E550*G550,2)</f>
        <v>2672.33</v>
      </c>
    </row>
    <row r="551" spans="1:8" ht="20.100000000000001" customHeight="1" x14ac:dyDescent="0.25">
      <c r="A551" s="52"/>
      <c r="B551" s="9"/>
      <c r="C551" s="44" t="s">
        <v>1323</v>
      </c>
      <c r="D551" s="44" t="s">
        <v>1588</v>
      </c>
      <c r="E551" s="78">
        <v>1</v>
      </c>
      <c r="F551" s="9"/>
      <c r="G551" s="79">
        <f>H550</f>
        <v>2672.33</v>
      </c>
      <c r="H551" s="29">
        <f>ROUND(E551*G551,2)</f>
        <v>2672.33</v>
      </c>
    </row>
    <row r="552" spans="1:8" ht="20.100000000000001" customHeight="1" x14ac:dyDescent="0.25">
      <c r="A552" s="60"/>
      <c r="B552" s="12"/>
      <c r="C552" s="45"/>
      <c r="D552" s="45"/>
      <c r="E552" s="34"/>
      <c r="F552" s="12"/>
      <c r="G552" s="34"/>
      <c r="H552" s="30"/>
    </row>
    <row r="553" spans="1:8" ht="20.100000000000001" customHeight="1" x14ac:dyDescent="0.25">
      <c r="A553" s="63"/>
      <c r="B553" s="18" t="s">
        <v>9</v>
      </c>
      <c r="C553" s="48" t="s">
        <v>739</v>
      </c>
      <c r="D553" s="48" t="s">
        <v>1273</v>
      </c>
      <c r="E553" s="82">
        <f>E559</f>
        <v>1</v>
      </c>
      <c r="F553" s="18" t="s">
        <v>65</v>
      </c>
      <c r="G553" s="82">
        <f>G559</f>
        <v>18384.580000000002</v>
      </c>
      <c r="H553" s="32">
        <f>H559</f>
        <v>18384.580000000002</v>
      </c>
    </row>
    <row r="554" spans="1:8" ht="20.100000000000001" customHeight="1" x14ac:dyDescent="0.25">
      <c r="A554" s="59" t="s">
        <v>435</v>
      </c>
      <c r="B554" s="3" t="s">
        <v>17</v>
      </c>
      <c r="C554" s="43" t="s">
        <v>579</v>
      </c>
      <c r="D554" s="43" t="s">
        <v>1324</v>
      </c>
      <c r="E554" s="78">
        <v>51.53</v>
      </c>
      <c r="F554" s="3" t="s">
        <v>18</v>
      </c>
      <c r="G554" s="78">
        <v>105.77</v>
      </c>
      <c r="H554" s="20">
        <f t="shared" ref="H554:H559" si="11">ROUND(E554*G554,2)</f>
        <v>5450.33</v>
      </c>
    </row>
    <row r="555" spans="1:8" ht="20.100000000000001" customHeight="1" x14ac:dyDescent="0.25">
      <c r="A555" s="59" t="s">
        <v>437</v>
      </c>
      <c r="B555" s="3" t="s">
        <v>17</v>
      </c>
      <c r="C555" s="43" t="s">
        <v>575</v>
      </c>
      <c r="D555" s="43" t="s">
        <v>1277</v>
      </c>
      <c r="E555" s="78">
        <v>102.54</v>
      </c>
      <c r="F555" s="3" t="s">
        <v>18</v>
      </c>
      <c r="G555" s="78">
        <v>96.59</v>
      </c>
      <c r="H555" s="20">
        <f t="shared" si="11"/>
        <v>9904.34</v>
      </c>
    </row>
    <row r="556" spans="1:8" ht="20.100000000000001" customHeight="1" x14ac:dyDescent="0.25">
      <c r="A556" s="59" t="s">
        <v>439</v>
      </c>
      <c r="B556" s="3" t="s">
        <v>17</v>
      </c>
      <c r="C556" s="43" t="s">
        <v>573</v>
      </c>
      <c r="D556" s="43" t="s">
        <v>1275</v>
      </c>
      <c r="E556" s="78">
        <v>19</v>
      </c>
      <c r="F556" s="3" t="s">
        <v>18</v>
      </c>
      <c r="G556" s="78">
        <v>105.77</v>
      </c>
      <c r="H556" s="20">
        <f t="shared" si="11"/>
        <v>2009.63</v>
      </c>
    </row>
    <row r="557" spans="1:8" ht="20.100000000000001" customHeight="1" x14ac:dyDescent="0.25">
      <c r="A557" s="59" t="s">
        <v>443</v>
      </c>
      <c r="B557" s="3" t="s">
        <v>17</v>
      </c>
      <c r="C557" s="43" t="s">
        <v>744</v>
      </c>
      <c r="D557" s="91" t="s">
        <v>1274</v>
      </c>
      <c r="E557" s="78">
        <v>4</v>
      </c>
      <c r="F557" s="3" t="s">
        <v>10</v>
      </c>
      <c r="G557" s="78">
        <v>138.33000000000001</v>
      </c>
      <c r="H557" s="20">
        <f t="shared" si="11"/>
        <v>553.32000000000005</v>
      </c>
    </row>
    <row r="558" spans="1:8" ht="20.100000000000001" customHeight="1" x14ac:dyDescent="0.25">
      <c r="A558" s="59" t="s">
        <v>1465</v>
      </c>
      <c r="B558" s="3" t="s">
        <v>17</v>
      </c>
      <c r="C558" s="43" t="s">
        <v>746</v>
      </c>
      <c r="D558" s="43" t="s">
        <v>1325</v>
      </c>
      <c r="E558" s="78">
        <v>1</v>
      </c>
      <c r="F558" s="3" t="s">
        <v>10</v>
      </c>
      <c r="G558" s="78">
        <v>466.96</v>
      </c>
      <c r="H558" s="20">
        <f t="shared" si="11"/>
        <v>466.96</v>
      </c>
    </row>
    <row r="559" spans="1:8" ht="20.100000000000001" customHeight="1" x14ac:dyDescent="0.25">
      <c r="A559" s="52"/>
      <c r="B559" s="9"/>
      <c r="C559" s="44" t="s">
        <v>1326</v>
      </c>
      <c r="D559" s="44" t="s">
        <v>1587</v>
      </c>
      <c r="E559" s="78">
        <v>1</v>
      </c>
      <c r="F559" s="9"/>
      <c r="G559" s="79">
        <f>SUM(H554:H558)</f>
        <v>18384.580000000002</v>
      </c>
      <c r="H559" s="29">
        <f t="shared" si="11"/>
        <v>18384.580000000002</v>
      </c>
    </row>
    <row r="560" spans="1:8" ht="20.100000000000001" customHeight="1" x14ac:dyDescent="0.25">
      <c r="A560" s="60"/>
      <c r="B560" s="12"/>
      <c r="C560" s="45"/>
      <c r="D560" s="45"/>
      <c r="E560" s="34"/>
      <c r="F560" s="12"/>
      <c r="G560" s="34"/>
      <c r="H560" s="30"/>
    </row>
    <row r="561" spans="1:9" ht="20.100000000000001" customHeight="1" x14ac:dyDescent="0.25">
      <c r="A561" s="52"/>
      <c r="B561" s="9"/>
      <c r="C561" s="44" t="s">
        <v>747</v>
      </c>
      <c r="D561" s="44" t="s">
        <v>445</v>
      </c>
      <c r="E561" s="78">
        <v>1</v>
      </c>
      <c r="F561" s="9"/>
      <c r="G561" s="79">
        <f>H549+H553</f>
        <v>21056.91</v>
      </c>
      <c r="H561" s="29">
        <f>ROUND(E561*G561,2)</f>
        <v>21056.91</v>
      </c>
      <c r="I561" s="8"/>
    </row>
    <row r="562" spans="1:9" ht="20.100000000000001" customHeight="1" x14ac:dyDescent="0.25">
      <c r="A562" s="60"/>
      <c r="B562" s="12"/>
      <c r="C562" s="45"/>
      <c r="D562" s="45"/>
      <c r="E562" s="34"/>
      <c r="F562" s="12"/>
      <c r="G562" s="34"/>
      <c r="H562" s="30"/>
    </row>
    <row r="563" spans="1:9" ht="20.100000000000001" customHeight="1" x14ac:dyDescent="0.25">
      <c r="A563" s="62" t="s">
        <v>446</v>
      </c>
      <c r="B563" s="7" t="s">
        <v>9</v>
      </c>
      <c r="C563" s="47" t="s">
        <v>749</v>
      </c>
      <c r="D563" s="47" t="s">
        <v>1278</v>
      </c>
      <c r="E563" s="81">
        <f>E582</f>
        <v>1</v>
      </c>
      <c r="F563" s="7" t="s">
        <v>10</v>
      </c>
      <c r="G563" s="81">
        <f>G582</f>
        <v>38943.68</v>
      </c>
      <c r="H563" s="21">
        <f>H582</f>
        <v>38943.68</v>
      </c>
    </row>
    <row r="564" spans="1:9" ht="20.100000000000001" customHeight="1" x14ac:dyDescent="0.25">
      <c r="A564" s="65"/>
      <c r="B564" s="19" t="s">
        <v>9</v>
      </c>
      <c r="C564" s="44" t="s">
        <v>750</v>
      </c>
      <c r="D564" s="44" t="s">
        <v>1280</v>
      </c>
      <c r="E564" s="79">
        <f>E573</f>
        <v>1</v>
      </c>
      <c r="F564" s="19" t="s">
        <v>433</v>
      </c>
      <c r="G564" s="79">
        <f>G573</f>
        <v>35893.370000000003</v>
      </c>
      <c r="H564" s="29">
        <f>H573</f>
        <v>35893.370000000003</v>
      </c>
    </row>
    <row r="565" spans="1:9" ht="20.100000000000001" customHeight="1" x14ac:dyDescent="0.25">
      <c r="A565" s="59" t="s">
        <v>448</v>
      </c>
      <c r="B565" s="3" t="s">
        <v>17</v>
      </c>
      <c r="C565" s="43" t="s">
        <v>586</v>
      </c>
      <c r="D565" s="43" t="s">
        <v>1281</v>
      </c>
      <c r="E565" s="78">
        <v>4</v>
      </c>
      <c r="F565" s="3" t="s">
        <v>10</v>
      </c>
      <c r="G565" s="78">
        <v>521.42999999999995</v>
      </c>
      <c r="H565" s="20">
        <f t="shared" ref="H565:H573" si="12">ROUND(E565*G565,2)</f>
        <v>2085.7199999999998</v>
      </c>
    </row>
    <row r="566" spans="1:9" ht="20.100000000000001" customHeight="1" x14ac:dyDescent="0.25">
      <c r="A566" s="59" t="s">
        <v>450</v>
      </c>
      <c r="B566" s="3" t="s">
        <v>17</v>
      </c>
      <c r="C566" s="43" t="s">
        <v>588</v>
      </c>
      <c r="D566" s="43" t="s">
        <v>1282</v>
      </c>
      <c r="E566" s="78">
        <v>6</v>
      </c>
      <c r="F566" s="3" t="s">
        <v>10</v>
      </c>
      <c r="G566" s="78">
        <v>543.73</v>
      </c>
      <c r="H566" s="20">
        <f t="shared" si="12"/>
        <v>3262.38</v>
      </c>
    </row>
    <row r="567" spans="1:9" ht="20.100000000000001" customHeight="1" x14ac:dyDescent="0.25">
      <c r="A567" s="59" t="s">
        <v>452</v>
      </c>
      <c r="B567" s="3" t="s">
        <v>17</v>
      </c>
      <c r="C567" s="43" t="s">
        <v>590</v>
      </c>
      <c r="D567" s="43" t="s">
        <v>1283</v>
      </c>
      <c r="E567" s="78">
        <v>6</v>
      </c>
      <c r="F567" s="3" t="s">
        <v>10</v>
      </c>
      <c r="G567" s="78">
        <v>1661.35</v>
      </c>
      <c r="H567" s="20">
        <f t="shared" si="12"/>
        <v>9968.1</v>
      </c>
    </row>
    <row r="568" spans="1:9" ht="20.100000000000001" customHeight="1" x14ac:dyDescent="0.25">
      <c r="A568" s="59" t="s">
        <v>454</v>
      </c>
      <c r="B568" s="3" t="s">
        <v>17</v>
      </c>
      <c r="C568" s="43" t="s">
        <v>592</v>
      </c>
      <c r="D568" s="43" t="s">
        <v>1284</v>
      </c>
      <c r="E568" s="78">
        <v>6</v>
      </c>
      <c r="F568" s="3" t="s">
        <v>10</v>
      </c>
      <c r="G568" s="78">
        <v>2093.44</v>
      </c>
      <c r="H568" s="20">
        <f t="shared" si="12"/>
        <v>12560.64</v>
      </c>
    </row>
    <row r="569" spans="1:9" ht="20.100000000000001" customHeight="1" x14ac:dyDescent="0.25">
      <c r="A569" s="59" t="s">
        <v>456</v>
      </c>
      <c r="B569" s="3" t="s">
        <v>17</v>
      </c>
      <c r="C569" s="43" t="s">
        <v>756</v>
      </c>
      <c r="D569" s="43" t="s">
        <v>1285</v>
      </c>
      <c r="E569" s="78">
        <v>4</v>
      </c>
      <c r="F569" s="3" t="s">
        <v>10</v>
      </c>
      <c r="G569" s="78">
        <v>1360.57</v>
      </c>
      <c r="H569" s="20">
        <f t="shared" si="12"/>
        <v>5442.28</v>
      </c>
    </row>
    <row r="570" spans="1:9" ht="20.100000000000001" customHeight="1" x14ac:dyDescent="0.25">
      <c r="A570" s="59" t="s">
        <v>458</v>
      </c>
      <c r="B570" s="3" t="s">
        <v>17</v>
      </c>
      <c r="C570" s="43" t="s">
        <v>596</v>
      </c>
      <c r="D570" s="43" t="s">
        <v>1291</v>
      </c>
      <c r="E570" s="78">
        <v>6</v>
      </c>
      <c r="F570" s="3" t="s">
        <v>10</v>
      </c>
      <c r="G570" s="78">
        <v>307.58</v>
      </c>
      <c r="H570" s="20">
        <f t="shared" si="12"/>
        <v>1845.48</v>
      </c>
    </row>
    <row r="571" spans="1:9" ht="20.100000000000001" customHeight="1" x14ac:dyDescent="0.25">
      <c r="A571" s="59" t="s">
        <v>461</v>
      </c>
      <c r="B571" s="3" t="s">
        <v>17</v>
      </c>
      <c r="C571" s="43" t="s">
        <v>598</v>
      </c>
      <c r="D571" s="43" t="s">
        <v>1292</v>
      </c>
      <c r="E571" s="78">
        <v>4</v>
      </c>
      <c r="F571" s="3" t="s">
        <v>10</v>
      </c>
      <c r="G571" s="78">
        <v>162.97999999999999</v>
      </c>
      <c r="H571" s="20">
        <f t="shared" si="12"/>
        <v>651.91999999999996</v>
      </c>
    </row>
    <row r="572" spans="1:9" ht="20.100000000000001" customHeight="1" x14ac:dyDescent="0.25">
      <c r="A572" s="59" t="s">
        <v>463</v>
      </c>
      <c r="B572" s="3" t="s">
        <v>17</v>
      </c>
      <c r="C572" s="43" t="s">
        <v>621</v>
      </c>
      <c r="D572" s="43" t="s">
        <v>1302</v>
      </c>
      <c r="E572" s="78">
        <v>1</v>
      </c>
      <c r="F572" s="3" t="s">
        <v>154</v>
      </c>
      <c r="G572" s="78">
        <v>76.849999999999994</v>
      </c>
      <c r="H572" s="20">
        <f t="shared" si="12"/>
        <v>76.849999999999994</v>
      </c>
    </row>
    <row r="573" spans="1:9" ht="20.100000000000001" customHeight="1" x14ac:dyDescent="0.25">
      <c r="A573" s="52"/>
      <c r="B573" s="9"/>
      <c r="C573" s="44" t="s">
        <v>1327</v>
      </c>
      <c r="D573" s="44" t="s">
        <v>1583</v>
      </c>
      <c r="E573" s="78">
        <v>1</v>
      </c>
      <c r="F573" s="9"/>
      <c r="G573" s="79">
        <f>SUM(H565:H572)</f>
        <v>35893.370000000003</v>
      </c>
      <c r="H573" s="29">
        <f t="shared" si="12"/>
        <v>35893.370000000003</v>
      </c>
    </row>
    <row r="574" spans="1:9" ht="20.100000000000001" customHeight="1" x14ac:dyDescent="0.25">
      <c r="A574" s="60"/>
      <c r="B574" s="12"/>
      <c r="C574" s="45"/>
      <c r="D574" s="45"/>
      <c r="E574" s="34"/>
      <c r="F574" s="12"/>
      <c r="G574" s="34"/>
      <c r="H574" s="30"/>
    </row>
    <row r="575" spans="1:9" ht="20.100000000000001" customHeight="1" x14ac:dyDescent="0.25">
      <c r="A575" s="63"/>
      <c r="B575" s="18" t="s">
        <v>9</v>
      </c>
      <c r="C575" s="48" t="s">
        <v>760</v>
      </c>
      <c r="D575" s="48" t="s">
        <v>1308</v>
      </c>
      <c r="E575" s="82">
        <f>E580</f>
        <v>1</v>
      </c>
      <c r="F575" s="18" t="s">
        <v>433</v>
      </c>
      <c r="G575" s="82">
        <f>G580</f>
        <v>3050.31</v>
      </c>
      <c r="H575" s="32">
        <f>H580</f>
        <v>3050.31</v>
      </c>
    </row>
    <row r="576" spans="1:9" ht="20.100000000000001" customHeight="1" x14ac:dyDescent="0.25">
      <c r="A576" s="59" t="s">
        <v>465</v>
      </c>
      <c r="B576" s="3" t="s">
        <v>17</v>
      </c>
      <c r="C576" s="43" t="s">
        <v>762</v>
      </c>
      <c r="D576" s="43" t="s">
        <v>1330</v>
      </c>
      <c r="E576" s="78">
        <v>1</v>
      </c>
      <c r="F576" s="3" t="s">
        <v>154</v>
      </c>
      <c r="G576" s="78">
        <v>951.87</v>
      </c>
      <c r="H576" s="20">
        <f>ROUND(E576*G576,2)</f>
        <v>951.87</v>
      </c>
    </row>
    <row r="577" spans="1:8" ht="20.100000000000001" customHeight="1" x14ac:dyDescent="0.25">
      <c r="A577" s="59" t="s">
        <v>467</v>
      </c>
      <c r="B577" s="3" t="s">
        <v>17</v>
      </c>
      <c r="C577" s="43" t="s">
        <v>764</v>
      </c>
      <c r="D577" s="43" t="s">
        <v>1331</v>
      </c>
      <c r="E577" s="78">
        <v>2</v>
      </c>
      <c r="F577" s="3" t="s">
        <v>154</v>
      </c>
      <c r="G577" s="78">
        <v>562.47</v>
      </c>
      <c r="H577" s="20">
        <f>ROUND(E577*G577,2)</f>
        <v>1124.94</v>
      </c>
    </row>
    <row r="578" spans="1:8" ht="39.950000000000003" customHeight="1" x14ac:dyDescent="0.25">
      <c r="A578" s="59" t="s">
        <v>1584</v>
      </c>
      <c r="B578" s="3" t="s">
        <v>17</v>
      </c>
      <c r="C578" s="43" t="s">
        <v>766</v>
      </c>
      <c r="D578" s="43" t="s">
        <v>1328</v>
      </c>
      <c r="E578" s="78">
        <v>1</v>
      </c>
      <c r="F578" s="3" t="s">
        <v>154</v>
      </c>
      <c r="G578" s="78">
        <v>562.47</v>
      </c>
      <c r="H578" s="20">
        <f>ROUND(E578*G578,2)</f>
        <v>562.47</v>
      </c>
    </row>
    <row r="579" spans="1:8" ht="20.100000000000001" customHeight="1" x14ac:dyDescent="0.25">
      <c r="A579" s="59" t="s">
        <v>1585</v>
      </c>
      <c r="B579" s="3" t="s">
        <v>17</v>
      </c>
      <c r="C579" s="43" t="s">
        <v>768</v>
      </c>
      <c r="D579" s="43" t="s">
        <v>1329</v>
      </c>
      <c r="E579" s="78">
        <v>1</v>
      </c>
      <c r="F579" s="3" t="s">
        <v>154</v>
      </c>
      <c r="G579" s="78">
        <v>411.03</v>
      </c>
      <c r="H579" s="20">
        <f>ROUND(E579*G579,2)</f>
        <v>411.03</v>
      </c>
    </row>
    <row r="580" spans="1:8" ht="20.100000000000001" customHeight="1" x14ac:dyDescent="0.25">
      <c r="A580" s="52"/>
      <c r="B580" s="9"/>
      <c r="C580" s="44" t="s">
        <v>1332</v>
      </c>
      <c r="D580" s="44" t="s">
        <v>1586</v>
      </c>
      <c r="E580" s="78">
        <v>1</v>
      </c>
      <c r="F580" s="9"/>
      <c r="G580" s="79">
        <f>SUM(H576:H579)</f>
        <v>3050.31</v>
      </c>
      <c r="H580" s="29">
        <f>ROUND(E580*G580,2)</f>
        <v>3050.31</v>
      </c>
    </row>
    <row r="581" spans="1:8" ht="20.100000000000001" customHeight="1" x14ac:dyDescent="0.25">
      <c r="A581" s="60"/>
      <c r="B581" s="12"/>
      <c r="C581" s="45"/>
      <c r="D581" s="45"/>
      <c r="E581" s="34"/>
      <c r="F581" s="12"/>
      <c r="G581" s="34"/>
      <c r="H581" s="30"/>
    </row>
    <row r="582" spans="1:8" ht="20.100000000000001" customHeight="1" x14ac:dyDescent="0.25">
      <c r="A582" s="52"/>
      <c r="B582" s="9"/>
      <c r="C582" s="44" t="s">
        <v>769</v>
      </c>
      <c r="D582" s="44" t="s">
        <v>470</v>
      </c>
      <c r="E582" s="78">
        <v>1</v>
      </c>
      <c r="F582" s="9"/>
      <c r="G582" s="79">
        <f>H564+H575</f>
        <v>38943.68</v>
      </c>
      <c r="H582" s="29">
        <f>ROUND(E582*G582,2)</f>
        <v>38943.68</v>
      </c>
    </row>
    <row r="583" spans="1:8" ht="20.100000000000001" customHeight="1" x14ac:dyDescent="0.25">
      <c r="A583" s="60"/>
      <c r="B583" s="12"/>
      <c r="C583" s="45"/>
      <c r="D583" s="45"/>
      <c r="E583" s="34"/>
      <c r="F583" s="12"/>
      <c r="G583" s="34"/>
      <c r="H583" s="30"/>
    </row>
    <row r="584" spans="1:8" ht="20.100000000000001" customHeight="1" x14ac:dyDescent="0.25">
      <c r="A584" s="62" t="s">
        <v>471</v>
      </c>
      <c r="B584" s="7" t="s">
        <v>9</v>
      </c>
      <c r="C584" s="47" t="s">
        <v>771</v>
      </c>
      <c r="D584" s="47" t="s">
        <v>1049</v>
      </c>
      <c r="E584" s="81">
        <f>E599</f>
        <v>1</v>
      </c>
      <c r="F584" s="7" t="s">
        <v>10</v>
      </c>
      <c r="G584" s="81">
        <f>G599</f>
        <v>22893.39</v>
      </c>
      <c r="H584" s="21">
        <f>H599</f>
        <v>22893.39</v>
      </c>
    </row>
    <row r="585" spans="1:8" ht="20.100000000000001" customHeight="1" x14ac:dyDescent="0.25">
      <c r="A585" s="65"/>
      <c r="B585" s="19" t="s">
        <v>9</v>
      </c>
      <c r="C585" s="44" t="s">
        <v>772</v>
      </c>
      <c r="D585" s="44" t="s">
        <v>1333</v>
      </c>
      <c r="E585" s="79">
        <f>E587</f>
        <v>1</v>
      </c>
      <c r="F585" s="19" t="s">
        <v>10</v>
      </c>
      <c r="G585" s="79">
        <f>G587</f>
        <v>3597.1</v>
      </c>
      <c r="H585" s="29">
        <f>H587</f>
        <v>3597.1</v>
      </c>
    </row>
    <row r="586" spans="1:8" ht="20.100000000000001" customHeight="1" x14ac:dyDescent="0.25">
      <c r="A586" s="59" t="s">
        <v>474</v>
      </c>
      <c r="B586" s="3" t="s">
        <v>17</v>
      </c>
      <c r="C586" s="43" t="s">
        <v>774</v>
      </c>
      <c r="D586" s="43" t="s">
        <v>1335</v>
      </c>
      <c r="E586" s="78">
        <v>1</v>
      </c>
      <c r="F586" s="3" t="s">
        <v>10</v>
      </c>
      <c r="G586" s="78">
        <v>3597.1</v>
      </c>
      <c r="H586" s="20">
        <f>ROUND(E586*G586,2)</f>
        <v>3597.1</v>
      </c>
    </row>
    <row r="587" spans="1:8" ht="20.100000000000001" customHeight="1" x14ac:dyDescent="0.25">
      <c r="A587" s="52"/>
      <c r="B587" s="9"/>
      <c r="C587" s="44" t="s">
        <v>1334</v>
      </c>
      <c r="D587" s="44" t="s">
        <v>1589</v>
      </c>
      <c r="E587" s="78">
        <v>1</v>
      </c>
      <c r="F587" s="9"/>
      <c r="G587" s="79">
        <f>H586</f>
        <v>3597.1</v>
      </c>
      <c r="H587" s="29">
        <f>ROUND(E587*G587,2)</f>
        <v>3597.1</v>
      </c>
    </row>
    <row r="588" spans="1:8" ht="20.100000000000001" customHeight="1" x14ac:dyDescent="0.25">
      <c r="A588" s="60"/>
      <c r="B588" s="12"/>
      <c r="C588" s="45"/>
      <c r="D588" s="45"/>
      <c r="E588" s="34"/>
      <c r="F588" s="12"/>
      <c r="G588" s="34"/>
      <c r="H588" s="30"/>
    </row>
    <row r="589" spans="1:8" ht="20.100000000000001" customHeight="1" x14ac:dyDescent="0.25">
      <c r="A589" s="63"/>
      <c r="B589" s="18" t="s">
        <v>9</v>
      </c>
      <c r="C589" s="48" t="s">
        <v>775</v>
      </c>
      <c r="D589" s="48" t="s">
        <v>1336</v>
      </c>
      <c r="E589" s="82">
        <f>E592</f>
        <v>1</v>
      </c>
      <c r="F589" s="18" t="s">
        <v>10</v>
      </c>
      <c r="G589" s="82">
        <f>G592</f>
        <v>15537.12</v>
      </c>
      <c r="H589" s="32">
        <f>H592</f>
        <v>15537.12</v>
      </c>
    </row>
    <row r="590" spans="1:8" ht="20.100000000000001" customHeight="1" x14ac:dyDescent="0.25">
      <c r="A590" s="59" t="s">
        <v>475</v>
      </c>
      <c r="B590" s="3" t="s">
        <v>17</v>
      </c>
      <c r="C590" s="43" t="s">
        <v>525</v>
      </c>
      <c r="D590" s="43" t="s">
        <v>1246</v>
      </c>
      <c r="E590" s="78">
        <v>18.5</v>
      </c>
      <c r="F590" s="3" t="s">
        <v>277</v>
      </c>
      <c r="G590" s="78">
        <v>335.72</v>
      </c>
      <c r="H590" s="20">
        <f>ROUND(E590*G590,2)</f>
        <v>6210.82</v>
      </c>
    </row>
    <row r="591" spans="1:8" ht="20.100000000000001" customHeight="1" x14ac:dyDescent="0.25">
      <c r="A591" s="59" t="s">
        <v>477</v>
      </c>
      <c r="B591" s="3" t="s">
        <v>17</v>
      </c>
      <c r="C591" s="43" t="s">
        <v>778</v>
      </c>
      <c r="D591" s="43" t="s">
        <v>493</v>
      </c>
      <c r="E591" s="78">
        <v>27.78</v>
      </c>
      <c r="F591" s="3" t="s">
        <v>277</v>
      </c>
      <c r="G591" s="78">
        <v>335.72</v>
      </c>
      <c r="H591" s="20">
        <f>ROUND(E591*G591,2)</f>
        <v>9326.2999999999993</v>
      </c>
    </row>
    <row r="592" spans="1:8" ht="20.100000000000001" customHeight="1" x14ac:dyDescent="0.25">
      <c r="A592" s="52"/>
      <c r="B592" s="9"/>
      <c r="C592" s="44" t="s">
        <v>1337</v>
      </c>
      <c r="D592" s="44" t="s">
        <v>1590</v>
      </c>
      <c r="E592" s="78">
        <v>1</v>
      </c>
      <c r="F592" s="9"/>
      <c r="G592" s="79">
        <f>SUM(H590:H591)</f>
        <v>15537.12</v>
      </c>
      <c r="H592" s="29">
        <f>ROUND(E592*G592,2)</f>
        <v>15537.12</v>
      </c>
    </row>
    <row r="593" spans="1:8" ht="20.100000000000001" customHeight="1" x14ac:dyDescent="0.25">
      <c r="A593" s="60"/>
      <c r="B593" s="12"/>
      <c r="C593" s="45"/>
      <c r="D593" s="45"/>
      <c r="E593" s="34"/>
      <c r="F593" s="12"/>
      <c r="G593" s="34"/>
      <c r="H593" s="30"/>
    </row>
    <row r="594" spans="1:8" ht="39.950000000000003" customHeight="1" x14ac:dyDescent="0.25">
      <c r="A594" s="63"/>
      <c r="B594" s="18" t="s">
        <v>9</v>
      </c>
      <c r="C594" s="48" t="s">
        <v>779</v>
      </c>
      <c r="D594" s="48" t="s">
        <v>1338</v>
      </c>
      <c r="E594" s="82">
        <f>E597</f>
        <v>1</v>
      </c>
      <c r="F594" s="18" t="s">
        <v>10</v>
      </c>
      <c r="G594" s="82">
        <f>G597</f>
        <v>3759.17</v>
      </c>
      <c r="H594" s="32">
        <f>H597</f>
        <v>3759.17</v>
      </c>
    </row>
    <row r="595" spans="1:8" ht="20.100000000000001" customHeight="1" x14ac:dyDescent="0.25">
      <c r="A595" s="59" t="s">
        <v>478</v>
      </c>
      <c r="B595" s="3" t="s">
        <v>17</v>
      </c>
      <c r="C595" s="43" t="s">
        <v>781</v>
      </c>
      <c r="D595" s="43" t="s">
        <v>1340</v>
      </c>
      <c r="E595" s="78">
        <v>1</v>
      </c>
      <c r="F595" s="3" t="s">
        <v>433</v>
      </c>
      <c r="G595" s="78">
        <v>2600</v>
      </c>
      <c r="H595" s="20">
        <f>ROUND(E595*G595,2)</f>
        <v>2600</v>
      </c>
    </row>
    <row r="596" spans="1:8" ht="20.100000000000001" customHeight="1" x14ac:dyDescent="0.25">
      <c r="A596" s="59" t="s">
        <v>480</v>
      </c>
      <c r="B596" s="3" t="s">
        <v>17</v>
      </c>
      <c r="C596" s="43" t="s">
        <v>783</v>
      </c>
      <c r="D596" s="43" t="s">
        <v>1341</v>
      </c>
      <c r="E596" s="78">
        <v>1</v>
      </c>
      <c r="F596" s="3" t="s">
        <v>433</v>
      </c>
      <c r="G596" s="78">
        <v>1159.17</v>
      </c>
      <c r="H596" s="20">
        <f>ROUND(E596*G596,2)</f>
        <v>1159.17</v>
      </c>
    </row>
    <row r="597" spans="1:8" ht="20.100000000000001" customHeight="1" x14ac:dyDescent="0.25">
      <c r="A597" s="52"/>
      <c r="B597" s="9"/>
      <c r="C597" s="44" t="s">
        <v>1339</v>
      </c>
      <c r="D597" s="44" t="s">
        <v>1591</v>
      </c>
      <c r="E597" s="78">
        <v>1</v>
      </c>
      <c r="F597" s="9"/>
      <c r="G597" s="79">
        <f>SUM(H595:H596)</f>
        <v>3759.17</v>
      </c>
      <c r="H597" s="29">
        <f>ROUND(E597*G597,2)</f>
        <v>3759.17</v>
      </c>
    </row>
    <row r="598" spans="1:8" ht="20.100000000000001" hidden="1" customHeight="1" outlineLevel="1" x14ac:dyDescent="0.25">
      <c r="A598" s="60"/>
      <c r="B598" s="12"/>
      <c r="C598" s="45"/>
      <c r="D598" s="45"/>
      <c r="E598" s="34"/>
      <c r="F598" s="12"/>
      <c r="G598" s="34"/>
      <c r="H598" s="30"/>
    </row>
    <row r="599" spans="1:8" ht="20.100000000000001" hidden="1" customHeight="1" outlineLevel="1" x14ac:dyDescent="0.25">
      <c r="A599" s="64"/>
      <c r="C599" s="49" t="s">
        <v>784</v>
      </c>
      <c r="D599" s="49"/>
      <c r="E599" s="84">
        <v>1</v>
      </c>
      <c r="G599" s="83">
        <f>H585+H589+H594</f>
        <v>22893.39</v>
      </c>
      <c r="H599" s="33">
        <f>ROUND(E599*G599,2)</f>
        <v>22893.39</v>
      </c>
    </row>
    <row r="600" spans="1:8" ht="20.100000000000001" hidden="1" customHeight="1" outlineLevel="1" x14ac:dyDescent="0.25">
      <c r="A600" s="60"/>
      <c r="B600" s="12"/>
      <c r="C600" s="45"/>
      <c r="D600" s="45"/>
      <c r="E600" s="34"/>
      <c r="F600" s="12"/>
      <c r="G600" s="34"/>
      <c r="H600" s="30"/>
    </row>
    <row r="601" spans="1:8" ht="20.100000000000001" hidden="1" customHeight="1" outlineLevel="1" x14ac:dyDescent="0.25">
      <c r="A601" s="64"/>
      <c r="C601" s="49" t="s">
        <v>785</v>
      </c>
      <c r="D601" s="49"/>
      <c r="E601" s="84">
        <v>1</v>
      </c>
      <c r="G601" s="83">
        <f>H433+H446+H459+H478+H495+H514+H542+H548+H563+H584</f>
        <v>317378.89</v>
      </c>
      <c r="H601" s="33">
        <f>ROUND(E601*G601,2)</f>
        <v>317378.89</v>
      </c>
    </row>
    <row r="602" spans="1:8" ht="20.100000000000001" hidden="1" customHeight="1" outlineLevel="1" x14ac:dyDescent="0.25">
      <c r="A602" s="60"/>
      <c r="B602" s="12"/>
      <c r="C602" s="45"/>
      <c r="D602" s="45"/>
      <c r="E602" s="34"/>
      <c r="F602" s="12"/>
      <c r="G602" s="34"/>
      <c r="H602" s="30"/>
    </row>
    <row r="603" spans="1:8" ht="20.100000000000001" hidden="1" customHeight="1" outlineLevel="1" x14ac:dyDescent="0.25">
      <c r="A603" s="64"/>
      <c r="C603" s="49" t="s">
        <v>786</v>
      </c>
      <c r="D603" s="49"/>
      <c r="E603" s="84">
        <v>1</v>
      </c>
      <c r="G603" s="83">
        <f>H224+H432</f>
        <v>571022.77</v>
      </c>
      <c r="H603" s="33">
        <f>ROUND(E603*G603,2)</f>
        <v>571022.77</v>
      </c>
    </row>
    <row r="604" spans="1:8" ht="20.100000000000001" hidden="1" customHeight="1" outlineLevel="1" x14ac:dyDescent="0.25">
      <c r="A604" s="60"/>
      <c r="B604" s="12"/>
      <c r="C604" s="45"/>
      <c r="D604" s="45"/>
      <c r="E604" s="34"/>
      <c r="F604" s="12"/>
      <c r="G604" s="34"/>
      <c r="H604" s="30"/>
    </row>
    <row r="605" spans="1:8" ht="20.100000000000001" hidden="1" customHeight="1" outlineLevel="1" x14ac:dyDescent="0.25">
      <c r="A605" s="64"/>
      <c r="C605" s="49" t="s">
        <v>787</v>
      </c>
      <c r="D605" s="49"/>
      <c r="E605" s="84">
        <v>1</v>
      </c>
      <c r="G605" s="83">
        <f>H38+H223</f>
        <v>571022.77</v>
      </c>
      <c r="H605" s="33">
        <f>ROUND(E605*G605,2)</f>
        <v>571022.77</v>
      </c>
    </row>
    <row r="606" spans="1:8" ht="20.100000000000001" hidden="1" customHeight="1" outlineLevel="1" x14ac:dyDescent="0.25">
      <c r="A606" s="60"/>
      <c r="B606" s="12"/>
      <c r="C606" s="45"/>
      <c r="D606" s="45"/>
      <c r="E606" s="34"/>
      <c r="F606" s="12"/>
      <c r="G606" s="34"/>
      <c r="H606" s="30"/>
    </row>
    <row r="607" spans="1:8" ht="20.100000000000001" customHeight="1" collapsed="1" x14ac:dyDescent="0.25">
      <c r="A607" s="57" t="s">
        <v>788</v>
      </c>
      <c r="B607" s="16" t="s">
        <v>9</v>
      </c>
      <c r="C607" s="41" t="s">
        <v>789</v>
      </c>
      <c r="D607" s="41" t="s">
        <v>1342</v>
      </c>
      <c r="E607" s="76">
        <f>E713</f>
        <v>1</v>
      </c>
      <c r="F607" s="16" t="s">
        <v>10</v>
      </c>
      <c r="G607" s="76">
        <f>G713</f>
        <v>30325.71</v>
      </c>
      <c r="H607" s="27">
        <f>H713</f>
        <v>30325.71</v>
      </c>
    </row>
    <row r="608" spans="1:8" ht="20.100000000000001" customHeight="1" x14ac:dyDescent="0.25">
      <c r="A608" s="58"/>
      <c r="B608" s="5" t="s">
        <v>9</v>
      </c>
      <c r="C608" s="42" t="s">
        <v>790</v>
      </c>
      <c r="D608" s="42" t="s">
        <v>1476</v>
      </c>
      <c r="E608" s="77">
        <f>E687</f>
        <v>1</v>
      </c>
      <c r="F608" s="5" t="s">
        <v>10</v>
      </c>
      <c r="G608" s="77">
        <f>G687</f>
        <v>22539.29</v>
      </c>
      <c r="H608" s="28">
        <f>H687</f>
        <v>22539.29</v>
      </c>
    </row>
    <row r="609" spans="1:8" ht="20.100000000000001" customHeight="1" x14ac:dyDescent="0.25">
      <c r="A609" s="61"/>
      <c r="B609" s="17" t="s">
        <v>9</v>
      </c>
      <c r="C609" s="46" t="s">
        <v>790</v>
      </c>
      <c r="D609" s="42" t="s">
        <v>1343</v>
      </c>
      <c r="E609" s="80">
        <f>E656</f>
        <v>1</v>
      </c>
      <c r="F609" s="17" t="s">
        <v>10</v>
      </c>
      <c r="G609" s="80">
        <f>G656</f>
        <v>19487.419999999998</v>
      </c>
      <c r="H609" s="31">
        <f>H656</f>
        <v>19487.419999999998</v>
      </c>
    </row>
    <row r="610" spans="1:8" ht="20.100000000000001" hidden="1" customHeight="1" outlineLevel="1" x14ac:dyDescent="0.25">
      <c r="A610" s="62" t="s">
        <v>791</v>
      </c>
      <c r="B610" s="7" t="s">
        <v>9</v>
      </c>
      <c r="C610" s="47" t="s">
        <v>792</v>
      </c>
      <c r="D610" s="47" t="s">
        <v>1344</v>
      </c>
      <c r="E610" s="81">
        <f>E619</f>
        <v>1</v>
      </c>
      <c r="F610" s="7" t="s">
        <v>10</v>
      </c>
      <c r="G610" s="81">
        <f>G619</f>
        <v>0</v>
      </c>
      <c r="H610" s="21">
        <f>H619</f>
        <v>0</v>
      </c>
    </row>
    <row r="611" spans="1:8" ht="20.100000000000001" hidden="1" customHeight="1" outlineLevel="1" x14ac:dyDescent="0.25">
      <c r="A611" s="59" t="s">
        <v>793</v>
      </c>
      <c r="B611" s="3" t="s">
        <v>17</v>
      </c>
      <c r="C611" s="43" t="s">
        <v>794</v>
      </c>
      <c r="D611" s="43" t="s">
        <v>1345</v>
      </c>
      <c r="E611" s="78">
        <v>98.56</v>
      </c>
      <c r="F611" s="3" t="s">
        <v>70</v>
      </c>
      <c r="G611" s="78"/>
      <c r="H611" s="20"/>
    </row>
    <row r="612" spans="1:8" ht="20.100000000000001" hidden="1" customHeight="1" outlineLevel="1" x14ac:dyDescent="0.25">
      <c r="A612" s="59" t="s">
        <v>795</v>
      </c>
      <c r="B612" s="3" t="s">
        <v>17</v>
      </c>
      <c r="C612" s="43" t="s">
        <v>796</v>
      </c>
      <c r="D612" s="43" t="s">
        <v>1346</v>
      </c>
      <c r="E612" s="78">
        <v>17.86</v>
      </c>
      <c r="F612" s="3" t="s">
        <v>70</v>
      </c>
      <c r="G612" s="78"/>
      <c r="H612" s="20"/>
    </row>
    <row r="613" spans="1:8" ht="20.100000000000001" hidden="1" customHeight="1" outlineLevel="1" x14ac:dyDescent="0.25">
      <c r="A613" s="59" t="s">
        <v>797</v>
      </c>
      <c r="B613" s="3" t="s">
        <v>17</v>
      </c>
      <c r="C613" s="43" t="s">
        <v>798</v>
      </c>
      <c r="D613" s="43" t="s">
        <v>1347</v>
      </c>
      <c r="E613" s="78">
        <v>85.8</v>
      </c>
      <c r="F613" s="3" t="s">
        <v>75</v>
      </c>
      <c r="G613" s="78"/>
      <c r="H613" s="20"/>
    </row>
    <row r="614" spans="1:8" ht="20.100000000000001" hidden="1" customHeight="1" outlineLevel="1" x14ac:dyDescent="0.25">
      <c r="A614" s="59" t="s">
        <v>799</v>
      </c>
      <c r="B614" s="3" t="s">
        <v>17</v>
      </c>
      <c r="C614" s="43" t="s">
        <v>800</v>
      </c>
      <c r="D614" s="43" t="s">
        <v>1348</v>
      </c>
      <c r="E614" s="78">
        <v>48.84</v>
      </c>
      <c r="F614" s="3" t="s">
        <v>54</v>
      </c>
      <c r="G614" s="78"/>
      <c r="H614" s="20"/>
    </row>
    <row r="615" spans="1:8" ht="20.100000000000001" hidden="1" customHeight="1" outlineLevel="1" x14ac:dyDescent="0.25">
      <c r="A615" s="59" t="s">
        <v>801</v>
      </c>
      <c r="B615" s="3" t="s">
        <v>17</v>
      </c>
      <c r="C615" s="43" t="s">
        <v>802</v>
      </c>
      <c r="D615" s="98" t="s">
        <v>1350</v>
      </c>
      <c r="E615" s="78">
        <v>80.17</v>
      </c>
      <c r="F615" s="3" t="s">
        <v>54</v>
      </c>
      <c r="G615" s="78"/>
      <c r="H615" s="20"/>
    </row>
    <row r="616" spans="1:8" ht="20.100000000000001" hidden="1" customHeight="1" outlineLevel="1" x14ac:dyDescent="0.25">
      <c r="A616" s="59" t="s">
        <v>803</v>
      </c>
      <c r="B616" s="3" t="s">
        <v>17</v>
      </c>
      <c r="C616" s="43" t="s">
        <v>804</v>
      </c>
      <c r="D616" s="43" t="s">
        <v>1349</v>
      </c>
      <c r="E616" s="78">
        <v>275.91000000000003</v>
      </c>
      <c r="F616" s="3" t="s">
        <v>18</v>
      </c>
      <c r="G616" s="78"/>
      <c r="H616" s="20"/>
    </row>
    <row r="617" spans="1:8" ht="20.100000000000001" hidden="1" customHeight="1" outlineLevel="1" x14ac:dyDescent="0.25">
      <c r="A617" s="59" t="s">
        <v>805</v>
      </c>
      <c r="B617" s="3" t="s">
        <v>17</v>
      </c>
      <c r="C617" s="43" t="s">
        <v>81</v>
      </c>
      <c r="D617" s="43" t="s">
        <v>1060</v>
      </c>
      <c r="E617" s="78">
        <v>100.15</v>
      </c>
      <c r="F617" s="3" t="s">
        <v>80</v>
      </c>
      <c r="G617" s="78"/>
      <c r="H617" s="20"/>
    </row>
    <row r="618" spans="1:8" ht="20.100000000000001" hidden="1" customHeight="1" outlineLevel="1" x14ac:dyDescent="0.25">
      <c r="A618" s="59" t="s">
        <v>806</v>
      </c>
      <c r="B618" s="3" t="s">
        <v>17</v>
      </c>
      <c r="C618" s="43" t="s">
        <v>19</v>
      </c>
      <c r="D618" s="43" t="s">
        <v>1039</v>
      </c>
      <c r="E618" s="78">
        <v>275.91000000000003</v>
      </c>
      <c r="F618" s="3" t="s">
        <v>18</v>
      </c>
      <c r="G618" s="78"/>
      <c r="H618" s="20"/>
    </row>
    <row r="619" spans="1:8" ht="20.100000000000001" hidden="1" customHeight="1" outlineLevel="1" x14ac:dyDescent="0.25">
      <c r="A619" s="52"/>
      <c r="B619" s="9"/>
      <c r="C619" s="44" t="s">
        <v>807</v>
      </c>
      <c r="D619" s="44" t="s">
        <v>807</v>
      </c>
      <c r="E619" s="78">
        <v>1</v>
      </c>
      <c r="F619" s="9"/>
      <c r="G619" s="79">
        <f>SUM(H611:H618)</f>
        <v>0</v>
      </c>
      <c r="H619" s="29">
        <f>ROUND(E619*G619,2)</f>
        <v>0</v>
      </c>
    </row>
    <row r="620" spans="1:8" ht="20.100000000000001" hidden="1" customHeight="1" outlineLevel="1" x14ac:dyDescent="0.25">
      <c r="A620" s="60"/>
      <c r="B620" s="12"/>
      <c r="C620" s="45"/>
      <c r="D620" s="45"/>
      <c r="E620" s="34"/>
      <c r="F620" s="12"/>
      <c r="G620" s="34"/>
      <c r="H620" s="30"/>
    </row>
    <row r="621" spans="1:8" ht="20.100000000000001" hidden="1" customHeight="1" outlineLevel="1" x14ac:dyDescent="0.25">
      <c r="A621" s="62" t="s">
        <v>808</v>
      </c>
      <c r="B621" s="7" t="s">
        <v>9</v>
      </c>
      <c r="C621" s="47" t="s">
        <v>809</v>
      </c>
      <c r="D621" s="93" t="s">
        <v>1354</v>
      </c>
      <c r="E621" s="81">
        <f>E627</f>
        <v>1</v>
      </c>
      <c r="F621" s="7" t="s">
        <v>10</v>
      </c>
      <c r="G621" s="81">
        <f>G627</f>
        <v>0</v>
      </c>
      <c r="H621" s="21">
        <f>H627</f>
        <v>0</v>
      </c>
    </row>
    <row r="622" spans="1:8" ht="20.100000000000001" hidden="1" customHeight="1" outlineLevel="1" x14ac:dyDescent="0.25">
      <c r="A622" s="59" t="s">
        <v>810</v>
      </c>
      <c r="B622" s="3" t="s">
        <v>17</v>
      </c>
      <c r="C622" s="43" t="s">
        <v>811</v>
      </c>
      <c r="D622" s="43" t="s">
        <v>1351</v>
      </c>
      <c r="E622" s="78">
        <v>19.36</v>
      </c>
      <c r="F622" s="3" t="s">
        <v>54</v>
      </c>
      <c r="G622" s="78"/>
      <c r="H622" s="20"/>
    </row>
    <row r="623" spans="1:8" ht="20.100000000000001" hidden="1" customHeight="1" outlineLevel="1" x14ac:dyDescent="0.25">
      <c r="A623" s="59" t="s">
        <v>812</v>
      </c>
      <c r="B623" s="3" t="s">
        <v>17</v>
      </c>
      <c r="C623" s="43" t="s">
        <v>813</v>
      </c>
      <c r="D623" s="43" t="s">
        <v>1352</v>
      </c>
      <c r="E623" s="78">
        <v>25.27</v>
      </c>
      <c r="F623" s="3" t="s">
        <v>54</v>
      </c>
      <c r="G623" s="78"/>
      <c r="H623" s="20"/>
    </row>
    <row r="624" spans="1:8" ht="20.100000000000001" hidden="1" customHeight="1" outlineLevel="1" x14ac:dyDescent="0.25">
      <c r="A624" s="59" t="s">
        <v>814</v>
      </c>
      <c r="B624" s="3" t="s">
        <v>17</v>
      </c>
      <c r="C624" s="43" t="s">
        <v>815</v>
      </c>
      <c r="D624" s="43" t="s">
        <v>1353</v>
      </c>
      <c r="E624" s="78">
        <v>6.06</v>
      </c>
      <c r="F624" s="3" t="s">
        <v>54</v>
      </c>
      <c r="G624" s="78"/>
      <c r="H624" s="20"/>
    </row>
    <row r="625" spans="1:8" ht="20.100000000000001" hidden="1" customHeight="1" outlineLevel="1" x14ac:dyDescent="0.25">
      <c r="A625" s="59" t="s">
        <v>816</v>
      </c>
      <c r="B625" s="3" t="s">
        <v>17</v>
      </c>
      <c r="C625" s="43" t="s">
        <v>157</v>
      </c>
      <c r="D625" s="43" t="s">
        <v>1101</v>
      </c>
      <c r="E625" s="78">
        <v>0.56000000000000005</v>
      </c>
      <c r="F625" s="3" t="s">
        <v>54</v>
      </c>
      <c r="G625" s="78"/>
      <c r="H625" s="20"/>
    </row>
    <row r="626" spans="1:8" ht="20.100000000000001" hidden="1" customHeight="1" outlineLevel="1" x14ac:dyDescent="0.25">
      <c r="A626" s="59" t="s">
        <v>817</v>
      </c>
      <c r="B626" s="3" t="s">
        <v>17</v>
      </c>
      <c r="C626" s="43" t="s">
        <v>124</v>
      </c>
      <c r="D626" s="43" t="s">
        <v>1085</v>
      </c>
      <c r="E626" s="78">
        <v>3.37</v>
      </c>
      <c r="F626" s="3" t="s">
        <v>54</v>
      </c>
      <c r="G626" s="78"/>
      <c r="H626" s="20"/>
    </row>
    <row r="627" spans="1:8" ht="20.100000000000001" hidden="1" customHeight="1" outlineLevel="1" x14ac:dyDescent="0.25">
      <c r="A627" s="52"/>
      <c r="B627" s="9"/>
      <c r="C627" s="44" t="s">
        <v>818</v>
      </c>
      <c r="D627" s="44" t="s">
        <v>818</v>
      </c>
      <c r="E627" s="78">
        <v>1</v>
      </c>
      <c r="F627" s="9"/>
      <c r="G627" s="79">
        <f>SUM(H622:H626)</f>
        <v>0</v>
      </c>
      <c r="H627" s="29">
        <f>ROUND(E627*G627,2)</f>
        <v>0</v>
      </c>
    </row>
    <row r="628" spans="1:8" ht="20.100000000000001" hidden="1" customHeight="1" outlineLevel="1" x14ac:dyDescent="0.25">
      <c r="A628" s="60"/>
      <c r="B628" s="12"/>
      <c r="C628" s="45"/>
      <c r="D628" s="45"/>
      <c r="E628" s="34"/>
      <c r="F628" s="12"/>
      <c r="G628" s="34"/>
      <c r="H628" s="30"/>
    </row>
    <row r="629" spans="1:8" ht="20.100000000000001" hidden="1" customHeight="1" outlineLevel="1" x14ac:dyDescent="0.25">
      <c r="A629" s="62" t="s">
        <v>819</v>
      </c>
      <c r="B629" s="7" t="s">
        <v>9</v>
      </c>
      <c r="C629" s="47" t="s">
        <v>164</v>
      </c>
      <c r="D629" s="93" t="s">
        <v>1151</v>
      </c>
      <c r="E629" s="81">
        <f>E632</f>
        <v>1</v>
      </c>
      <c r="F629" s="7" t="s">
        <v>10</v>
      </c>
      <c r="G629" s="81">
        <f>G632</f>
        <v>0</v>
      </c>
      <c r="H629" s="21">
        <f>H632</f>
        <v>0</v>
      </c>
    </row>
    <row r="630" spans="1:8" ht="20.100000000000001" hidden="1" customHeight="1" outlineLevel="1" x14ac:dyDescent="0.25">
      <c r="A630" s="59" t="s">
        <v>820</v>
      </c>
      <c r="B630" s="3" t="s">
        <v>17</v>
      </c>
      <c r="C630" s="43" t="s">
        <v>821</v>
      </c>
      <c r="D630" s="43" t="s">
        <v>1356</v>
      </c>
      <c r="E630" s="78">
        <v>7.48</v>
      </c>
      <c r="F630" s="3" t="s">
        <v>18</v>
      </c>
      <c r="G630" s="78"/>
      <c r="H630" s="20"/>
    </row>
    <row r="631" spans="1:8" ht="20.100000000000001" hidden="1" customHeight="1" outlineLevel="1" x14ac:dyDescent="0.25">
      <c r="A631" s="59" t="s">
        <v>822</v>
      </c>
      <c r="B631" s="3" t="s">
        <v>17</v>
      </c>
      <c r="C631" s="43" t="s">
        <v>823</v>
      </c>
      <c r="D631" s="43" t="s">
        <v>1355</v>
      </c>
      <c r="E631" s="78">
        <v>54.19</v>
      </c>
      <c r="F631" s="3" t="s">
        <v>18</v>
      </c>
      <c r="G631" s="78"/>
      <c r="H631" s="20"/>
    </row>
    <row r="632" spans="1:8" ht="20.100000000000001" hidden="1" customHeight="1" outlineLevel="1" x14ac:dyDescent="0.25">
      <c r="A632" s="52"/>
      <c r="B632" s="9"/>
      <c r="C632" s="44" t="s">
        <v>824</v>
      </c>
      <c r="D632" s="44" t="s">
        <v>824</v>
      </c>
      <c r="E632" s="78">
        <v>1</v>
      </c>
      <c r="F632" s="9"/>
      <c r="G632" s="79">
        <f>SUM(H630:H631)</f>
        <v>0</v>
      </c>
      <c r="H632" s="29">
        <f>ROUND(E632*G632,2)</f>
        <v>0</v>
      </c>
    </row>
    <row r="633" spans="1:8" ht="20.100000000000001" hidden="1" customHeight="1" outlineLevel="1" x14ac:dyDescent="0.25">
      <c r="A633" s="60"/>
      <c r="B633" s="12"/>
      <c r="C633" s="45"/>
      <c r="D633" s="45"/>
      <c r="E633" s="34"/>
      <c r="F633" s="12"/>
      <c r="G633" s="34"/>
      <c r="H633" s="30"/>
    </row>
    <row r="634" spans="1:8" ht="20.100000000000001" hidden="1" customHeight="1" outlineLevel="1" x14ac:dyDescent="0.25">
      <c r="A634" s="62" t="s">
        <v>825</v>
      </c>
      <c r="B634" s="7" t="s">
        <v>9</v>
      </c>
      <c r="C634" s="47" t="s">
        <v>826</v>
      </c>
      <c r="D634" s="93" t="s">
        <v>1357</v>
      </c>
      <c r="E634" s="81">
        <f>E643</f>
        <v>1</v>
      </c>
      <c r="F634" s="7" t="s">
        <v>10</v>
      </c>
      <c r="G634" s="81">
        <f>G643</f>
        <v>0</v>
      </c>
      <c r="H634" s="21">
        <f>H643</f>
        <v>0</v>
      </c>
    </row>
    <row r="635" spans="1:8" ht="20.100000000000001" hidden="1" customHeight="1" outlineLevel="1" x14ac:dyDescent="0.25">
      <c r="A635" s="59" t="s">
        <v>827</v>
      </c>
      <c r="B635" s="3" t="s">
        <v>17</v>
      </c>
      <c r="C635" s="43" t="s">
        <v>828</v>
      </c>
      <c r="D635" s="43" t="s">
        <v>1358</v>
      </c>
      <c r="E635" s="78">
        <v>239.14</v>
      </c>
      <c r="F635" s="3" t="s">
        <v>35</v>
      </c>
      <c r="G635" s="78"/>
      <c r="H635" s="20"/>
    </row>
    <row r="636" spans="1:8" ht="20.100000000000001" hidden="1" customHeight="1" outlineLevel="1" x14ac:dyDescent="0.25">
      <c r="A636" s="59" t="s">
        <v>829</v>
      </c>
      <c r="B636" s="3" t="s">
        <v>17</v>
      </c>
      <c r="C636" s="43" t="s">
        <v>830</v>
      </c>
      <c r="D636" s="43" t="s">
        <v>1174</v>
      </c>
      <c r="E636" s="78">
        <v>119.57</v>
      </c>
      <c r="F636" s="3" t="s">
        <v>35</v>
      </c>
      <c r="G636" s="78"/>
      <c r="H636" s="20"/>
    </row>
    <row r="637" spans="1:8" ht="20.100000000000001" hidden="1" customHeight="1" outlineLevel="1" x14ac:dyDescent="0.25">
      <c r="A637" s="59" t="s">
        <v>831</v>
      </c>
      <c r="B637" s="3" t="s">
        <v>17</v>
      </c>
      <c r="C637" s="43" t="s">
        <v>832</v>
      </c>
      <c r="D637" s="43" t="s">
        <v>1359</v>
      </c>
      <c r="E637" s="78">
        <v>194.26</v>
      </c>
      <c r="F637" s="3" t="s">
        <v>277</v>
      </c>
      <c r="G637" s="78"/>
      <c r="H637" s="20"/>
    </row>
    <row r="638" spans="1:8" ht="20.100000000000001" hidden="1" customHeight="1" outlineLevel="1" x14ac:dyDescent="0.25">
      <c r="A638" s="59" t="s">
        <v>833</v>
      </c>
      <c r="B638" s="3" t="s">
        <v>17</v>
      </c>
      <c r="C638" s="43" t="s">
        <v>834</v>
      </c>
      <c r="D638" s="43" t="s">
        <v>1360</v>
      </c>
      <c r="E638" s="78">
        <v>61.38</v>
      </c>
      <c r="F638" s="3" t="s">
        <v>277</v>
      </c>
      <c r="G638" s="78"/>
      <c r="H638" s="20"/>
    </row>
    <row r="639" spans="1:8" ht="20.100000000000001" hidden="1" customHeight="1" outlineLevel="1" x14ac:dyDescent="0.25">
      <c r="A639" s="59" t="s">
        <v>835</v>
      </c>
      <c r="B639" s="3" t="s">
        <v>17</v>
      </c>
      <c r="C639" s="43" t="s">
        <v>836</v>
      </c>
      <c r="D639" s="43" t="s">
        <v>1187</v>
      </c>
      <c r="E639" s="78">
        <v>115.92</v>
      </c>
      <c r="F639" s="3" t="s">
        <v>35</v>
      </c>
      <c r="G639" s="78"/>
      <c r="H639" s="20"/>
    </row>
    <row r="640" spans="1:8" ht="20.100000000000001" hidden="1" customHeight="1" outlineLevel="1" x14ac:dyDescent="0.25">
      <c r="A640" s="59" t="s">
        <v>837</v>
      </c>
      <c r="B640" s="3" t="s">
        <v>17</v>
      </c>
      <c r="C640" s="43" t="s">
        <v>838</v>
      </c>
      <c r="D640" s="43" t="s">
        <v>1361</v>
      </c>
      <c r="E640" s="78">
        <v>139.5</v>
      </c>
      <c r="F640" s="3" t="s">
        <v>277</v>
      </c>
      <c r="G640" s="78"/>
      <c r="H640" s="20"/>
    </row>
    <row r="641" spans="1:8" ht="20.100000000000001" hidden="1" customHeight="1" outlineLevel="1" x14ac:dyDescent="0.25">
      <c r="A641" s="59" t="s">
        <v>839</v>
      </c>
      <c r="B641" s="3" t="s">
        <v>17</v>
      </c>
      <c r="C641" s="43" t="s">
        <v>840</v>
      </c>
      <c r="D641" s="43" t="s">
        <v>1362</v>
      </c>
      <c r="E641" s="78">
        <v>56.3</v>
      </c>
      <c r="F641" s="3" t="s">
        <v>277</v>
      </c>
      <c r="G641" s="78"/>
      <c r="H641" s="20"/>
    </row>
    <row r="642" spans="1:8" ht="20.100000000000001" hidden="1" customHeight="1" outlineLevel="1" x14ac:dyDescent="0.25">
      <c r="A642" s="59" t="s">
        <v>841</v>
      </c>
      <c r="B642" s="3" t="s">
        <v>17</v>
      </c>
      <c r="C642" s="43" t="s">
        <v>842</v>
      </c>
      <c r="D642" s="43" t="s">
        <v>1363</v>
      </c>
      <c r="E642" s="78">
        <v>15.2</v>
      </c>
      <c r="F642" s="3" t="s">
        <v>277</v>
      </c>
      <c r="G642" s="78"/>
      <c r="H642" s="20"/>
    </row>
    <row r="643" spans="1:8" ht="20.100000000000001" hidden="1" customHeight="1" outlineLevel="1" x14ac:dyDescent="0.25">
      <c r="A643" s="52"/>
      <c r="B643" s="9"/>
      <c r="C643" s="44" t="s">
        <v>843</v>
      </c>
      <c r="D643" s="44" t="s">
        <v>843</v>
      </c>
      <c r="E643" s="78">
        <v>1</v>
      </c>
      <c r="F643" s="9"/>
      <c r="G643" s="79">
        <f>SUM(H635:H642)</f>
        <v>0</v>
      </c>
      <c r="H643" s="29">
        <f>ROUND(E643*G643,2)</f>
        <v>0</v>
      </c>
    </row>
    <row r="644" spans="1:8" ht="20.100000000000001" hidden="1" customHeight="1" outlineLevel="1" x14ac:dyDescent="0.25">
      <c r="A644" s="60"/>
      <c r="B644" s="12"/>
      <c r="C644" s="45"/>
      <c r="D644" s="45"/>
      <c r="E644" s="34"/>
      <c r="F644" s="12"/>
      <c r="G644" s="34"/>
      <c r="H644" s="30"/>
    </row>
    <row r="645" spans="1:8" ht="20.100000000000001" customHeight="1" collapsed="1" x14ac:dyDescent="0.25">
      <c r="A645" s="62" t="s">
        <v>546</v>
      </c>
      <c r="B645" s="7" t="s">
        <v>9</v>
      </c>
      <c r="C645" s="47" t="s">
        <v>845</v>
      </c>
      <c r="D645" s="47" t="s">
        <v>1364</v>
      </c>
      <c r="E645" s="81">
        <f>E649</f>
        <v>1</v>
      </c>
      <c r="F645" s="7" t="s">
        <v>10</v>
      </c>
      <c r="G645" s="81">
        <f>G649</f>
        <v>19487.419999999998</v>
      </c>
      <c r="H645" s="21">
        <f>H649</f>
        <v>19487.419999999998</v>
      </c>
    </row>
    <row r="646" spans="1:8" ht="20.100000000000001" customHeight="1" x14ac:dyDescent="0.25">
      <c r="A646" s="59" t="s">
        <v>549</v>
      </c>
      <c r="B646" s="3" t="s">
        <v>17</v>
      </c>
      <c r="C646" s="43" t="s">
        <v>847</v>
      </c>
      <c r="D646" s="91" t="s">
        <v>1365</v>
      </c>
      <c r="E646" s="78">
        <v>58.2</v>
      </c>
      <c r="F646" s="3" t="s">
        <v>277</v>
      </c>
      <c r="G646" s="78">
        <v>68.09</v>
      </c>
      <c r="H646" s="20">
        <f>ROUND(E646*G646,2)</f>
        <v>3962.84</v>
      </c>
    </row>
    <row r="647" spans="1:8" ht="20.100000000000001" customHeight="1" x14ac:dyDescent="0.25">
      <c r="A647" s="59" t="s">
        <v>552</v>
      </c>
      <c r="B647" s="3" t="s">
        <v>17</v>
      </c>
      <c r="C647" s="43" t="s">
        <v>849</v>
      </c>
      <c r="D647" s="91" t="s">
        <v>1366</v>
      </c>
      <c r="E647" s="78">
        <v>61.8</v>
      </c>
      <c r="F647" s="3" t="s">
        <v>277</v>
      </c>
      <c r="G647" s="78">
        <v>68.5</v>
      </c>
      <c r="H647" s="20">
        <f>ROUND(E647*G647,2)</f>
        <v>4233.3</v>
      </c>
    </row>
    <row r="648" spans="1:8" ht="20.100000000000001" customHeight="1" x14ac:dyDescent="0.25">
      <c r="A648" s="59" t="s">
        <v>1592</v>
      </c>
      <c r="B648" s="3" t="s">
        <v>17</v>
      </c>
      <c r="C648" s="43" t="s">
        <v>851</v>
      </c>
      <c r="D648" s="91" t="s">
        <v>1367</v>
      </c>
      <c r="E648" s="78">
        <v>246.75</v>
      </c>
      <c r="F648" s="3" t="s">
        <v>35</v>
      </c>
      <c r="G648" s="78">
        <v>45.76</v>
      </c>
      <c r="H648" s="20">
        <f>ROUND(E648*G648,2)</f>
        <v>11291.28</v>
      </c>
    </row>
    <row r="649" spans="1:8" ht="20.100000000000001" customHeight="1" x14ac:dyDescent="0.25">
      <c r="A649" s="52"/>
      <c r="B649" s="9"/>
      <c r="C649" s="44" t="s">
        <v>852</v>
      </c>
      <c r="D649" s="44" t="s">
        <v>554</v>
      </c>
      <c r="E649" s="78">
        <v>1</v>
      </c>
      <c r="F649" s="9"/>
      <c r="G649" s="79">
        <f>SUM(H646:H648)</f>
        <v>19487.419999999998</v>
      </c>
      <c r="H649" s="29">
        <f>ROUND(E649*G649,2)</f>
        <v>19487.419999999998</v>
      </c>
    </row>
    <row r="650" spans="1:8" ht="20.100000000000001" customHeight="1" x14ac:dyDescent="0.25">
      <c r="A650" s="60"/>
      <c r="B650" s="12"/>
      <c r="C650" s="45"/>
      <c r="D650" s="45"/>
      <c r="E650" s="34"/>
      <c r="F650" s="12"/>
      <c r="G650" s="34"/>
      <c r="H650" s="30"/>
    </row>
    <row r="651" spans="1:8" ht="20.100000000000001" customHeight="1" x14ac:dyDescent="0.25">
      <c r="A651" s="62" t="s">
        <v>555</v>
      </c>
      <c r="B651" s="7" t="s">
        <v>9</v>
      </c>
      <c r="C651" s="47" t="s">
        <v>44</v>
      </c>
      <c r="D651" s="93" t="s">
        <v>1049</v>
      </c>
      <c r="E651" s="81">
        <f>E654</f>
        <v>1</v>
      </c>
      <c r="F651" s="7" t="s">
        <v>10</v>
      </c>
      <c r="G651" s="81">
        <f>G654</f>
        <v>0</v>
      </c>
      <c r="H651" s="21">
        <f>H654</f>
        <v>0</v>
      </c>
    </row>
    <row r="652" spans="1:8" ht="20.100000000000001" customHeight="1" x14ac:dyDescent="0.25">
      <c r="A652" s="59" t="s">
        <v>557</v>
      </c>
      <c r="B652" s="3" t="s">
        <v>17</v>
      </c>
      <c r="C652" s="43" t="s">
        <v>855</v>
      </c>
      <c r="D652" s="43" t="s">
        <v>1368</v>
      </c>
      <c r="E652" s="78">
        <v>235.46</v>
      </c>
      <c r="F652" s="3" t="s">
        <v>18</v>
      </c>
      <c r="G652" s="78"/>
      <c r="H652" s="20"/>
    </row>
    <row r="653" spans="1:8" ht="20.100000000000001" customHeight="1" x14ac:dyDescent="0.25">
      <c r="A653" s="59" t="s">
        <v>1593</v>
      </c>
      <c r="B653" s="3" t="s">
        <v>17</v>
      </c>
      <c r="C653" s="43" t="s">
        <v>857</v>
      </c>
      <c r="D653" s="43" t="s">
        <v>1369</v>
      </c>
      <c r="E653" s="78">
        <v>1</v>
      </c>
      <c r="F653" s="3" t="s">
        <v>26</v>
      </c>
      <c r="G653" s="78"/>
      <c r="H653" s="20"/>
    </row>
    <row r="654" spans="1:8" ht="20.100000000000001" customHeight="1" x14ac:dyDescent="0.25">
      <c r="A654" s="52"/>
      <c r="B654" s="9"/>
      <c r="C654" s="44" t="s">
        <v>858</v>
      </c>
      <c r="D654" s="44" t="s">
        <v>565</v>
      </c>
      <c r="E654" s="78">
        <v>1</v>
      </c>
      <c r="F654" s="9"/>
      <c r="G654" s="79">
        <f>SUM(H652:H653)</f>
        <v>0</v>
      </c>
      <c r="H654" s="29">
        <f>ROUND(E654*G654,2)</f>
        <v>0</v>
      </c>
    </row>
    <row r="655" spans="1:8" ht="20.100000000000001" customHeight="1" x14ac:dyDescent="0.25">
      <c r="A655" s="60"/>
      <c r="B655" s="12"/>
      <c r="C655" s="45"/>
      <c r="D655" s="45"/>
      <c r="E655" s="34"/>
      <c r="F655" s="12"/>
      <c r="G655" s="34"/>
      <c r="H655" s="30"/>
    </row>
    <row r="656" spans="1:8" s="8" customFormat="1" ht="20.100000000000001" customHeight="1" x14ac:dyDescent="0.25">
      <c r="A656" s="52"/>
      <c r="B656" s="9"/>
      <c r="C656" s="44" t="s">
        <v>859</v>
      </c>
      <c r="D656" s="44"/>
      <c r="E656" s="78">
        <v>1</v>
      </c>
      <c r="F656" s="9"/>
      <c r="G656" s="79">
        <f>H610+H621+H629+H634+H645+H651</f>
        <v>19487.419999999998</v>
      </c>
      <c r="H656" s="29">
        <f>ROUND(E656*G656,2)</f>
        <v>19487.419999999998</v>
      </c>
    </row>
    <row r="657" spans="1:8" ht="20.100000000000001" customHeight="1" x14ac:dyDescent="0.25">
      <c r="A657" s="60"/>
      <c r="B657" s="12"/>
      <c r="C657" s="45"/>
      <c r="D657" s="45"/>
      <c r="E657" s="34"/>
      <c r="F657" s="12"/>
      <c r="G657" s="34"/>
      <c r="H657" s="30"/>
    </row>
    <row r="658" spans="1:8" ht="20.100000000000001" customHeight="1" x14ac:dyDescent="0.25">
      <c r="A658" s="61"/>
      <c r="B658" s="17" t="s">
        <v>9</v>
      </c>
      <c r="C658" s="46" t="s">
        <v>860</v>
      </c>
      <c r="D658" s="46" t="s">
        <v>1370</v>
      </c>
      <c r="E658" s="80">
        <f>E685</f>
        <v>1</v>
      </c>
      <c r="F658" s="17" t="s">
        <v>10</v>
      </c>
      <c r="G658" s="80">
        <f>G685</f>
        <v>3051.87</v>
      </c>
      <c r="H658" s="31">
        <f>H685</f>
        <v>3051.87</v>
      </c>
    </row>
    <row r="659" spans="1:8" ht="20.100000000000001" customHeight="1" x14ac:dyDescent="0.25">
      <c r="A659" s="62" t="s">
        <v>566</v>
      </c>
      <c r="B659" s="7" t="s">
        <v>9</v>
      </c>
      <c r="C659" s="47" t="s">
        <v>88</v>
      </c>
      <c r="D659" s="47" t="s">
        <v>1371</v>
      </c>
      <c r="E659" s="81">
        <f>E662</f>
        <v>1</v>
      </c>
      <c r="F659" s="7" t="s">
        <v>10</v>
      </c>
      <c r="G659" s="81">
        <f>G662</f>
        <v>0</v>
      </c>
      <c r="H659" s="21">
        <f>H662</f>
        <v>0</v>
      </c>
    </row>
    <row r="660" spans="1:8" ht="20.100000000000001" customHeight="1" x14ac:dyDescent="0.25">
      <c r="A660" s="59" t="s">
        <v>569</v>
      </c>
      <c r="B660" s="3" t="s">
        <v>17</v>
      </c>
      <c r="C660" s="43" t="s">
        <v>811</v>
      </c>
      <c r="D660" s="43" t="s">
        <v>1372</v>
      </c>
      <c r="E660" s="78">
        <v>0.13</v>
      </c>
      <c r="F660" s="3" t="s">
        <v>54</v>
      </c>
      <c r="G660" s="78"/>
      <c r="H660" s="20"/>
    </row>
    <row r="661" spans="1:8" ht="20.100000000000001" customHeight="1" x14ac:dyDescent="0.25">
      <c r="A661" s="59" t="s">
        <v>572</v>
      </c>
      <c r="B661" s="3" t="s">
        <v>17</v>
      </c>
      <c r="C661" s="43" t="s">
        <v>813</v>
      </c>
      <c r="D661" s="43" t="s">
        <v>1352</v>
      </c>
      <c r="E661" s="78">
        <v>0.63</v>
      </c>
      <c r="F661" s="3" t="s">
        <v>54</v>
      </c>
      <c r="G661" s="78"/>
      <c r="H661" s="20"/>
    </row>
    <row r="662" spans="1:8" ht="20.100000000000001" customHeight="1" x14ac:dyDescent="0.25">
      <c r="A662" s="52"/>
      <c r="B662" s="9"/>
      <c r="C662" s="44" t="s">
        <v>864</v>
      </c>
      <c r="D662" s="44" t="s">
        <v>582</v>
      </c>
      <c r="E662" s="78">
        <v>1</v>
      </c>
      <c r="F662" s="9"/>
      <c r="G662" s="79">
        <f>SUM(H660:H661)</f>
        <v>0</v>
      </c>
      <c r="H662" s="29">
        <f>ROUND(E662*G662,2)</f>
        <v>0</v>
      </c>
    </row>
    <row r="663" spans="1:8" ht="20.100000000000001" customHeight="1" x14ac:dyDescent="0.25">
      <c r="A663" s="60"/>
      <c r="B663" s="12"/>
      <c r="C663" s="45"/>
      <c r="D663" s="45"/>
      <c r="E663" s="34"/>
      <c r="F663" s="12"/>
      <c r="G663" s="34"/>
      <c r="H663" s="30"/>
    </row>
    <row r="664" spans="1:8" ht="20.100000000000001" customHeight="1" x14ac:dyDescent="0.25">
      <c r="A664" s="62" t="s">
        <v>583</v>
      </c>
      <c r="B664" s="7" t="s">
        <v>9</v>
      </c>
      <c r="C664" s="47" t="s">
        <v>866</v>
      </c>
      <c r="D664" s="47" t="s">
        <v>1357</v>
      </c>
      <c r="E664" s="81">
        <f>E671</f>
        <v>1</v>
      </c>
      <c r="F664" s="7" t="s">
        <v>10</v>
      </c>
      <c r="G664" s="81">
        <f>G671</f>
        <v>0</v>
      </c>
      <c r="H664" s="21">
        <f>H671</f>
        <v>0</v>
      </c>
    </row>
    <row r="665" spans="1:8" ht="20.100000000000001" customHeight="1" x14ac:dyDescent="0.25">
      <c r="A665" s="59" t="s">
        <v>585</v>
      </c>
      <c r="B665" s="3" t="s">
        <v>17</v>
      </c>
      <c r="C665" s="43" t="s">
        <v>828</v>
      </c>
      <c r="D665" s="43" t="s">
        <v>1358</v>
      </c>
      <c r="E665" s="78">
        <v>3.64</v>
      </c>
      <c r="F665" s="3" t="s">
        <v>35</v>
      </c>
      <c r="G665" s="78"/>
      <c r="H665" s="20"/>
    </row>
    <row r="666" spans="1:8" ht="20.100000000000001" customHeight="1" x14ac:dyDescent="0.25">
      <c r="A666" s="59" t="s">
        <v>587</v>
      </c>
      <c r="B666" s="3" t="s">
        <v>17</v>
      </c>
      <c r="C666" s="43" t="s">
        <v>830</v>
      </c>
      <c r="D666" s="43" t="s">
        <v>1174</v>
      </c>
      <c r="E666" s="78">
        <v>3.64</v>
      </c>
      <c r="F666" s="3" t="s">
        <v>35</v>
      </c>
      <c r="G666" s="78"/>
      <c r="H666" s="20"/>
    </row>
    <row r="667" spans="1:8" ht="20.100000000000001" customHeight="1" x14ac:dyDescent="0.25">
      <c r="A667" s="59" t="s">
        <v>589</v>
      </c>
      <c r="B667" s="3" t="s">
        <v>17</v>
      </c>
      <c r="C667" s="43" t="s">
        <v>870</v>
      </c>
      <c r="D667" s="43" t="s">
        <v>1359</v>
      </c>
      <c r="E667" s="78">
        <v>6.2</v>
      </c>
      <c r="F667" s="3" t="s">
        <v>277</v>
      </c>
      <c r="G667" s="78"/>
      <c r="H667" s="20"/>
    </row>
    <row r="668" spans="1:8" ht="20.100000000000001" customHeight="1" x14ac:dyDescent="0.25">
      <c r="A668" s="59" t="s">
        <v>591</v>
      </c>
      <c r="B668" s="3" t="s">
        <v>17</v>
      </c>
      <c r="C668" s="43" t="s">
        <v>872</v>
      </c>
      <c r="D668" s="43" t="s">
        <v>1360</v>
      </c>
      <c r="E668" s="78">
        <v>2.6</v>
      </c>
      <c r="F668" s="3" t="s">
        <v>277</v>
      </c>
      <c r="G668" s="78"/>
      <c r="H668" s="20"/>
    </row>
    <row r="669" spans="1:8" ht="20.100000000000001" customHeight="1" x14ac:dyDescent="0.25">
      <c r="A669" s="59" t="s">
        <v>593</v>
      </c>
      <c r="B669" s="3" t="s">
        <v>17</v>
      </c>
      <c r="C669" s="43" t="s">
        <v>874</v>
      </c>
      <c r="D669" s="43" t="s">
        <v>1187</v>
      </c>
      <c r="E669" s="78">
        <v>1.4</v>
      </c>
      <c r="F669" s="3" t="s">
        <v>35</v>
      </c>
      <c r="G669" s="78"/>
      <c r="H669" s="20"/>
    </row>
    <row r="670" spans="1:8" ht="20.100000000000001" customHeight="1" x14ac:dyDescent="0.25">
      <c r="A670" s="59" t="s">
        <v>595</v>
      </c>
      <c r="B670" s="3" t="s">
        <v>17</v>
      </c>
      <c r="C670" s="43" t="s">
        <v>838</v>
      </c>
      <c r="D670" s="43" t="s">
        <v>1361</v>
      </c>
      <c r="E670" s="78">
        <v>2.6</v>
      </c>
      <c r="F670" s="3" t="s">
        <v>277</v>
      </c>
      <c r="G670" s="78"/>
      <c r="H670" s="20"/>
    </row>
    <row r="671" spans="1:8" ht="20.100000000000001" customHeight="1" x14ac:dyDescent="0.25">
      <c r="A671" s="52"/>
      <c r="B671" s="9"/>
      <c r="C671" s="44" t="s">
        <v>876</v>
      </c>
      <c r="D671" s="44" t="s">
        <v>629</v>
      </c>
      <c r="E671" s="78">
        <v>1</v>
      </c>
      <c r="F671" s="9"/>
      <c r="G671" s="79">
        <f>SUM(H665:H670)</f>
        <v>0</v>
      </c>
      <c r="H671" s="29">
        <f>ROUND(E671*G671,2)</f>
        <v>0</v>
      </c>
    </row>
    <row r="672" spans="1:8" ht="20.100000000000001" customHeight="1" x14ac:dyDescent="0.25">
      <c r="A672" s="60"/>
      <c r="B672" s="12"/>
      <c r="C672" s="45"/>
      <c r="D672" s="45"/>
      <c r="E672" s="34"/>
      <c r="F672" s="12"/>
      <c r="G672" s="34"/>
      <c r="H672" s="30"/>
    </row>
    <row r="673" spans="1:8" ht="20.100000000000001" customHeight="1" x14ac:dyDescent="0.25">
      <c r="A673" s="62" t="s">
        <v>632</v>
      </c>
      <c r="B673" s="7" t="s">
        <v>9</v>
      </c>
      <c r="C673" s="47" t="s">
        <v>878</v>
      </c>
      <c r="D673" s="47" t="s">
        <v>1373</v>
      </c>
      <c r="E673" s="81">
        <f>E677</f>
        <v>1</v>
      </c>
      <c r="F673" s="7" t="s">
        <v>10</v>
      </c>
      <c r="G673" s="81">
        <f>G677</f>
        <v>1431.87</v>
      </c>
      <c r="H673" s="21">
        <f>H677</f>
        <v>1431.87</v>
      </c>
    </row>
    <row r="674" spans="1:8" ht="20.100000000000001" customHeight="1" x14ac:dyDescent="0.25">
      <c r="A674" s="59" t="s">
        <v>633</v>
      </c>
      <c r="B674" s="3" t="s">
        <v>17</v>
      </c>
      <c r="C674" s="43" t="s">
        <v>880</v>
      </c>
      <c r="D674" s="43" t="s">
        <v>1374</v>
      </c>
      <c r="E674" s="78">
        <v>9.6</v>
      </c>
      <c r="F674" s="3" t="s">
        <v>18</v>
      </c>
      <c r="G674" s="78">
        <v>110.29</v>
      </c>
      <c r="H674" s="20">
        <f>ROUND(E674*G674,2)</f>
        <v>1058.78</v>
      </c>
    </row>
    <row r="675" spans="1:8" ht="20.100000000000001" customHeight="1" x14ac:dyDescent="0.25">
      <c r="A675" s="59" t="s">
        <v>634</v>
      </c>
      <c r="B675" s="3" t="s">
        <v>17</v>
      </c>
      <c r="C675" s="43" t="s">
        <v>882</v>
      </c>
      <c r="D675" s="43" t="s">
        <v>1375</v>
      </c>
      <c r="E675" s="78">
        <v>3.4</v>
      </c>
      <c r="F675" s="3" t="s">
        <v>277</v>
      </c>
      <c r="G675" s="78">
        <v>68.09</v>
      </c>
      <c r="H675" s="20">
        <f>ROUND(E675*G675,2)</f>
        <v>231.51</v>
      </c>
    </row>
    <row r="676" spans="1:8" ht="20.100000000000001" customHeight="1" x14ac:dyDescent="0.25">
      <c r="A676" s="59" t="s">
        <v>635</v>
      </c>
      <c r="B676" s="3" t="s">
        <v>17</v>
      </c>
      <c r="C676" s="43" t="s">
        <v>884</v>
      </c>
      <c r="D676" s="43" t="s">
        <v>1376</v>
      </c>
      <c r="E676" s="78">
        <v>1</v>
      </c>
      <c r="F676" s="3" t="s">
        <v>433</v>
      </c>
      <c r="G676" s="78">
        <v>141.58000000000001</v>
      </c>
      <c r="H676" s="20">
        <f>ROUND(E676*G676,2)</f>
        <v>141.58000000000001</v>
      </c>
    </row>
    <row r="677" spans="1:8" ht="20.100000000000001" customHeight="1" x14ac:dyDescent="0.25">
      <c r="A677" s="52"/>
      <c r="B677" s="9"/>
      <c r="C677" s="44" t="s">
        <v>885</v>
      </c>
      <c r="D677" s="44" t="s">
        <v>643</v>
      </c>
      <c r="E677" s="78">
        <v>1</v>
      </c>
      <c r="F677" s="9"/>
      <c r="G677" s="79">
        <f>SUM(H674:H676)</f>
        <v>1431.87</v>
      </c>
      <c r="H677" s="29">
        <f>ROUND(E677*G677,2)</f>
        <v>1431.87</v>
      </c>
    </row>
    <row r="678" spans="1:8" ht="20.100000000000001" customHeight="1" x14ac:dyDescent="0.25">
      <c r="A678" s="60"/>
      <c r="B678" s="12"/>
      <c r="C678" s="45"/>
      <c r="D678" s="45"/>
      <c r="E678" s="34"/>
      <c r="F678" s="12"/>
      <c r="G678" s="34"/>
      <c r="H678" s="30"/>
    </row>
    <row r="679" spans="1:8" ht="20.100000000000001" customHeight="1" x14ac:dyDescent="0.25">
      <c r="A679" s="62" t="s">
        <v>644</v>
      </c>
      <c r="B679" s="7" t="s">
        <v>9</v>
      </c>
      <c r="C679" s="47" t="s">
        <v>771</v>
      </c>
      <c r="D679" s="93" t="s">
        <v>1049</v>
      </c>
      <c r="E679" s="81">
        <f>E683</f>
        <v>1</v>
      </c>
      <c r="F679" s="7" t="s">
        <v>433</v>
      </c>
      <c r="G679" s="81">
        <f>G683</f>
        <v>1620</v>
      </c>
      <c r="H679" s="21">
        <f>H683</f>
        <v>1620</v>
      </c>
    </row>
    <row r="680" spans="1:8" ht="20.100000000000001" hidden="1" customHeight="1" outlineLevel="1" x14ac:dyDescent="0.25">
      <c r="A680" s="59" t="s">
        <v>1377</v>
      </c>
      <c r="B680" s="3" t="s">
        <v>17</v>
      </c>
      <c r="C680" s="43" t="s">
        <v>888</v>
      </c>
      <c r="D680" s="43" t="s">
        <v>1368</v>
      </c>
      <c r="E680" s="78">
        <v>6.51</v>
      </c>
      <c r="F680" s="3" t="s">
        <v>18</v>
      </c>
      <c r="G680" s="78"/>
      <c r="H680" s="20"/>
    </row>
    <row r="681" spans="1:8" ht="20.100000000000001" hidden="1" customHeight="1" outlineLevel="1" x14ac:dyDescent="0.25">
      <c r="A681" s="59" t="s">
        <v>1378</v>
      </c>
      <c r="B681" s="3" t="s">
        <v>17</v>
      </c>
      <c r="C681" s="43" t="s">
        <v>857</v>
      </c>
      <c r="D681" s="43" t="s">
        <v>1369</v>
      </c>
      <c r="E681" s="78">
        <v>1</v>
      </c>
      <c r="F681" s="3" t="s">
        <v>26</v>
      </c>
      <c r="G681" s="78"/>
      <c r="H681" s="20"/>
    </row>
    <row r="682" spans="1:8" ht="20.100000000000001" customHeight="1" collapsed="1" x14ac:dyDescent="0.25">
      <c r="A682" s="59" t="s">
        <v>645</v>
      </c>
      <c r="B682" s="3" t="s">
        <v>17</v>
      </c>
      <c r="C682" s="43" t="s">
        <v>891</v>
      </c>
      <c r="D682" s="97" t="s">
        <v>1380</v>
      </c>
      <c r="E682" s="78">
        <v>3</v>
      </c>
      <c r="F682" s="3" t="s">
        <v>10</v>
      </c>
      <c r="G682" s="78">
        <v>540</v>
      </c>
      <c r="H682" s="20">
        <f>ROUND(E682*G682,2)</f>
        <v>1620</v>
      </c>
    </row>
    <row r="683" spans="1:8" ht="20.100000000000001" customHeight="1" x14ac:dyDescent="0.25">
      <c r="A683" s="52"/>
      <c r="B683" s="9"/>
      <c r="C683" s="44" t="s">
        <v>892</v>
      </c>
      <c r="D683" s="44"/>
      <c r="E683" s="78">
        <v>1</v>
      </c>
      <c r="F683" s="9"/>
      <c r="G683" s="79">
        <f>SUM(H680:H682)</f>
        <v>1620</v>
      </c>
      <c r="H683" s="29">
        <f>ROUND(E683*G683,2)</f>
        <v>1620</v>
      </c>
    </row>
    <row r="684" spans="1:8" ht="20.100000000000001" customHeight="1" x14ac:dyDescent="0.25">
      <c r="A684" s="60"/>
      <c r="B684" s="12"/>
      <c r="C684" s="45"/>
      <c r="D684" s="45"/>
      <c r="E684" s="34"/>
      <c r="F684" s="12"/>
      <c r="G684" s="34"/>
      <c r="H684" s="30"/>
    </row>
    <row r="685" spans="1:8" s="8" customFormat="1" ht="20.100000000000001" customHeight="1" x14ac:dyDescent="0.25">
      <c r="A685" s="52"/>
      <c r="B685" s="9"/>
      <c r="C685" s="44" t="s">
        <v>893</v>
      </c>
      <c r="D685" s="44"/>
      <c r="E685" s="78">
        <v>1</v>
      </c>
      <c r="F685" s="9"/>
      <c r="G685" s="79">
        <f>H659+H664+H673+H679</f>
        <v>3051.87</v>
      </c>
      <c r="H685" s="29">
        <f>ROUND(E685*G685,2)</f>
        <v>3051.87</v>
      </c>
    </row>
    <row r="686" spans="1:8" ht="20.100000000000001" customHeight="1" x14ac:dyDescent="0.25">
      <c r="A686" s="60"/>
      <c r="B686" s="12"/>
      <c r="C686" s="45"/>
      <c r="D686" s="45"/>
      <c r="E686" s="34"/>
      <c r="F686" s="12"/>
      <c r="G686" s="34"/>
      <c r="H686" s="30"/>
    </row>
    <row r="687" spans="1:8" s="8" customFormat="1" ht="20.100000000000001" customHeight="1" x14ac:dyDescent="0.25">
      <c r="A687" s="52"/>
      <c r="B687" s="9"/>
      <c r="C687" s="44" t="s">
        <v>894</v>
      </c>
      <c r="D687" s="44"/>
      <c r="E687" s="78">
        <v>1</v>
      </c>
      <c r="F687" s="9"/>
      <c r="G687" s="79">
        <f>H609+H658</f>
        <v>22539.29</v>
      </c>
      <c r="H687" s="29">
        <f>ROUND(E687*G687,2)</f>
        <v>22539.29</v>
      </c>
    </row>
    <row r="688" spans="1:8" ht="20.100000000000001" customHeight="1" x14ac:dyDescent="0.25">
      <c r="A688" s="60"/>
      <c r="B688" s="12"/>
      <c r="C688" s="45"/>
      <c r="D688" s="45"/>
      <c r="E688" s="34"/>
      <c r="F688" s="12"/>
      <c r="G688" s="34"/>
      <c r="H688" s="30"/>
    </row>
    <row r="689" spans="1:8" ht="20.100000000000001" customHeight="1" x14ac:dyDescent="0.25">
      <c r="A689" s="58"/>
      <c r="B689" s="5" t="s">
        <v>9</v>
      </c>
      <c r="C689" s="42" t="s">
        <v>895</v>
      </c>
      <c r="D689" s="42" t="s">
        <v>1381</v>
      </c>
      <c r="E689" s="77">
        <f>E695</f>
        <v>1</v>
      </c>
      <c r="F689" s="5" t="s">
        <v>10</v>
      </c>
      <c r="G689" s="77">
        <f>G695</f>
        <v>7786.42</v>
      </c>
      <c r="H689" s="28">
        <f>H695</f>
        <v>7786.42</v>
      </c>
    </row>
    <row r="690" spans="1:8" ht="20.100000000000001" customHeight="1" x14ac:dyDescent="0.25">
      <c r="A690" s="61" t="s">
        <v>656</v>
      </c>
      <c r="B690" s="17" t="s">
        <v>9</v>
      </c>
      <c r="C690" s="46" t="s">
        <v>897</v>
      </c>
      <c r="D690" s="94" t="s">
        <v>897</v>
      </c>
      <c r="E690" s="80">
        <f>E693</f>
        <v>1</v>
      </c>
      <c r="F690" s="17" t="s">
        <v>10</v>
      </c>
      <c r="G690" s="80">
        <f>G693</f>
        <v>7786.42</v>
      </c>
      <c r="H690" s="31">
        <f>H693</f>
        <v>7786.42</v>
      </c>
    </row>
    <row r="691" spans="1:8" ht="20.100000000000001" customHeight="1" x14ac:dyDescent="0.25">
      <c r="A691" s="59" t="s">
        <v>657</v>
      </c>
      <c r="B691" s="3" t="s">
        <v>17</v>
      </c>
      <c r="C691" s="43" t="s">
        <v>899</v>
      </c>
      <c r="D691" s="91" t="s">
        <v>899</v>
      </c>
      <c r="E691" s="78">
        <v>19.3</v>
      </c>
      <c r="F691" s="3" t="s">
        <v>54</v>
      </c>
      <c r="G691" s="78">
        <v>22.94</v>
      </c>
      <c r="H691" s="20">
        <f>ROUND(E691*G691,2)</f>
        <v>442.74</v>
      </c>
    </row>
    <row r="692" spans="1:8" ht="20.100000000000001" customHeight="1" x14ac:dyDescent="0.25">
      <c r="A692" s="59" t="s">
        <v>659</v>
      </c>
      <c r="B692" s="3" t="s">
        <v>17</v>
      </c>
      <c r="C692" s="43" t="s">
        <v>901</v>
      </c>
      <c r="D692" s="91" t="s">
        <v>1457</v>
      </c>
      <c r="E692" s="78">
        <v>192.95</v>
      </c>
      <c r="F692" s="3" t="s">
        <v>35</v>
      </c>
      <c r="G692" s="78">
        <v>38.06</v>
      </c>
      <c r="H692" s="20">
        <f>ROUND(E692*G692,2)</f>
        <v>7343.68</v>
      </c>
    </row>
    <row r="693" spans="1:8" ht="20.100000000000001" customHeight="1" x14ac:dyDescent="0.25">
      <c r="A693" s="52"/>
      <c r="B693" s="9"/>
      <c r="C693" s="44" t="s">
        <v>902</v>
      </c>
      <c r="D693" s="44" t="s">
        <v>673</v>
      </c>
      <c r="E693" s="78">
        <v>1</v>
      </c>
      <c r="F693" s="9"/>
      <c r="G693" s="79">
        <f>SUM(H691:H692)</f>
        <v>7786.42</v>
      </c>
      <c r="H693" s="29">
        <f>ROUND(E693*G693,2)</f>
        <v>7786.42</v>
      </c>
    </row>
    <row r="694" spans="1:8" ht="20.100000000000001" customHeight="1" x14ac:dyDescent="0.25">
      <c r="A694" s="60"/>
      <c r="B694" s="12"/>
      <c r="C694" s="45"/>
      <c r="D694" s="45"/>
      <c r="E694" s="34"/>
      <c r="F694" s="12"/>
      <c r="G694" s="34"/>
      <c r="H694" s="30"/>
    </row>
    <row r="695" spans="1:8" s="8" customFormat="1" ht="20.100000000000001" customHeight="1" x14ac:dyDescent="0.25">
      <c r="A695" s="52"/>
      <c r="B695" s="9"/>
      <c r="C695" s="44" t="s">
        <v>903</v>
      </c>
      <c r="D695" s="44" t="s">
        <v>903</v>
      </c>
      <c r="E695" s="78">
        <v>1</v>
      </c>
      <c r="F695" s="9"/>
      <c r="G695" s="79">
        <f>H690</f>
        <v>7786.42</v>
      </c>
      <c r="H695" s="29">
        <f>ROUND(E695*G695,2)</f>
        <v>7786.42</v>
      </c>
    </row>
    <row r="696" spans="1:8" ht="20.100000000000001" hidden="1" customHeight="1" outlineLevel="1" x14ac:dyDescent="0.25">
      <c r="A696" s="60"/>
      <c r="B696" s="12"/>
      <c r="C696" s="45"/>
      <c r="D696" s="45"/>
      <c r="E696" s="34"/>
      <c r="F696" s="12"/>
      <c r="G696" s="34"/>
      <c r="H696" s="30"/>
    </row>
    <row r="697" spans="1:8" ht="20.100000000000001" hidden="1" customHeight="1" outlineLevel="1" x14ac:dyDescent="0.25">
      <c r="A697" s="58"/>
      <c r="B697" s="5" t="s">
        <v>9</v>
      </c>
      <c r="C697" s="42" t="s">
        <v>904</v>
      </c>
      <c r="D697" s="42" t="s">
        <v>1382</v>
      </c>
      <c r="E697" s="77">
        <f>E711</f>
        <v>1</v>
      </c>
      <c r="F697" s="5" t="s">
        <v>10</v>
      </c>
      <c r="G697" s="77">
        <f>G711</f>
        <v>0</v>
      </c>
      <c r="H697" s="28">
        <f>H711</f>
        <v>0</v>
      </c>
    </row>
    <row r="698" spans="1:8" ht="20.100000000000001" hidden="1" customHeight="1" outlineLevel="1" x14ac:dyDescent="0.25">
      <c r="A698" s="61" t="s">
        <v>905</v>
      </c>
      <c r="B698" s="17" t="s">
        <v>9</v>
      </c>
      <c r="C698" s="46" t="s">
        <v>906</v>
      </c>
      <c r="D698" s="46" t="s">
        <v>1383</v>
      </c>
      <c r="E698" s="80">
        <f>E709</f>
        <v>1</v>
      </c>
      <c r="F698" s="17" t="s">
        <v>65</v>
      </c>
      <c r="G698" s="80">
        <f>G709</f>
        <v>0</v>
      </c>
      <c r="H698" s="31">
        <f>H709</f>
        <v>0</v>
      </c>
    </row>
    <row r="699" spans="1:8" ht="20.100000000000001" hidden="1" customHeight="1" outlineLevel="1" x14ac:dyDescent="0.25">
      <c r="A699" s="59" t="s">
        <v>907</v>
      </c>
      <c r="B699" s="3" t="s">
        <v>17</v>
      </c>
      <c r="C699" s="43" t="s">
        <v>908</v>
      </c>
      <c r="D699" s="91" t="s">
        <v>1384</v>
      </c>
      <c r="E699" s="78">
        <v>10</v>
      </c>
      <c r="F699" s="3" t="s">
        <v>10</v>
      </c>
      <c r="G699" s="78"/>
      <c r="H699" s="20"/>
    </row>
    <row r="700" spans="1:8" ht="20.100000000000001" hidden="1" customHeight="1" outlineLevel="1" x14ac:dyDescent="0.25">
      <c r="A700" s="59" t="s">
        <v>909</v>
      </c>
      <c r="B700" s="3" t="s">
        <v>17</v>
      </c>
      <c r="C700" s="43" t="s">
        <v>910</v>
      </c>
      <c r="D700" s="91" t="s">
        <v>1385</v>
      </c>
      <c r="E700" s="78">
        <v>18</v>
      </c>
      <c r="F700" s="3" t="s">
        <v>10</v>
      </c>
      <c r="G700" s="78"/>
      <c r="H700" s="20"/>
    </row>
    <row r="701" spans="1:8" ht="20.100000000000001" hidden="1" customHeight="1" outlineLevel="1" x14ac:dyDescent="0.25">
      <c r="A701" s="59" t="s">
        <v>911</v>
      </c>
      <c r="B701" s="3" t="s">
        <v>17</v>
      </c>
      <c r="C701" s="43" t="s">
        <v>912</v>
      </c>
      <c r="D701" s="91" t="s">
        <v>1386</v>
      </c>
      <c r="E701" s="78">
        <v>2</v>
      </c>
      <c r="F701" s="3" t="s">
        <v>10</v>
      </c>
      <c r="G701" s="78"/>
      <c r="H701" s="20"/>
    </row>
    <row r="702" spans="1:8" ht="20.100000000000001" hidden="1" customHeight="1" outlineLevel="1" x14ac:dyDescent="0.25">
      <c r="A702" s="59" t="s">
        <v>913</v>
      </c>
      <c r="B702" s="3" t="s">
        <v>17</v>
      </c>
      <c r="C702" s="43" t="s">
        <v>914</v>
      </c>
      <c r="D702" s="91" t="s">
        <v>1387</v>
      </c>
      <c r="E702" s="78">
        <v>2</v>
      </c>
      <c r="F702" s="3" t="s">
        <v>10</v>
      </c>
      <c r="G702" s="78"/>
      <c r="H702" s="20"/>
    </row>
    <row r="703" spans="1:8" ht="20.100000000000001" hidden="1" customHeight="1" outlineLevel="1" x14ac:dyDescent="0.25">
      <c r="A703" s="59" t="s">
        <v>915</v>
      </c>
      <c r="B703" s="3" t="s">
        <v>17</v>
      </c>
      <c r="C703" s="43" t="s">
        <v>916</v>
      </c>
      <c r="D703" s="91" t="s">
        <v>1388</v>
      </c>
      <c r="E703" s="78">
        <v>1</v>
      </c>
      <c r="F703" s="3" t="s">
        <v>10</v>
      </c>
      <c r="G703" s="78"/>
      <c r="H703" s="20"/>
    </row>
    <row r="704" spans="1:8" ht="20.100000000000001" hidden="1" customHeight="1" outlineLevel="1" x14ac:dyDescent="0.25">
      <c r="A704" s="59" t="s">
        <v>917</v>
      </c>
      <c r="B704" s="3" t="s">
        <v>17</v>
      </c>
      <c r="C704" s="43" t="s">
        <v>918</v>
      </c>
      <c r="D704" s="91" t="s">
        <v>1389</v>
      </c>
      <c r="E704" s="78">
        <v>1</v>
      </c>
      <c r="F704" s="3" t="s">
        <v>10</v>
      </c>
      <c r="G704" s="78"/>
      <c r="H704" s="20"/>
    </row>
    <row r="705" spans="1:8" ht="20.100000000000001" hidden="1" customHeight="1" outlineLevel="1" x14ac:dyDescent="0.25">
      <c r="A705" s="59" t="s">
        <v>919</v>
      </c>
      <c r="B705" s="3" t="s">
        <v>17</v>
      </c>
      <c r="C705" s="43" t="s">
        <v>920</v>
      </c>
      <c r="D705" s="91" t="s">
        <v>1390</v>
      </c>
      <c r="E705" s="78">
        <v>2</v>
      </c>
      <c r="F705" s="3" t="s">
        <v>10</v>
      </c>
      <c r="G705" s="78"/>
      <c r="H705" s="20"/>
    </row>
    <row r="706" spans="1:8" ht="39.950000000000003" hidden="1" customHeight="1" outlineLevel="1" x14ac:dyDescent="0.25">
      <c r="A706" s="59" t="s">
        <v>921</v>
      </c>
      <c r="B706" s="3" t="s">
        <v>17</v>
      </c>
      <c r="C706" s="43" t="s">
        <v>922</v>
      </c>
      <c r="D706" s="43" t="s">
        <v>1391</v>
      </c>
      <c r="E706" s="78">
        <v>103.14</v>
      </c>
      <c r="F706" s="3" t="s">
        <v>48</v>
      </c>
      <c r="G706" s="78"/>
      <c r="H706" s="20"/>
    </row>
    <row r="707" spans="1:8" ht="20.100000000000001" hidden="1" customHeight="1" outlineLevel="1" x14ac:dyDescent="0.25">
      <c r="A707" s="59" t="s">
        <v>923</v>
      </c>
      <c r="B707" s="3" t="s">
        <v>17</v>
      </c>
      <c r="C707" s="43" t="s">
        <v>924</v>
      </c>
      <c r="D707" s="43" t="s">
        <v>1392</v>
      </c>
      <c r="E707" s="78">
        <v>1</v>
      </c>
      <c r="F707" s="3" t="s">
        <v>10</v>
      </c>
      <c r="G707" s="78"/>
      <c r="H707" s="20"/>
    </row>
    <row r="708" spans="1:8" ht="20.100000000000001" hidden="1" customHeight="1" outlineLevel="1" x14ac:dyDescent="0.25">
      <c r="A708" s="59" t="s">
        <v>925</v>
      </c>
      <c r="B708" s="3" t="s">
        <v>17</v>
      </c>
      <c r="C708" s="43" t="s">
        <v>926</v>
      </c>
      <c r="D708" s="43" t="s">
        <v>1393</v>
      </c>
      <c r="E708" s="78">
        <v>1</v>
      </c>
      <c r="F708" s="3" t="s">
        <v>10</v>
      </c>
      <c r="G708" s="78"/>
      <c r="H708" s="20"/>
    </row>
    <row r="709" spans="1:8" ht="20.100000000000001" hidden="1" customHeight="1" outlineLevel="1" x14ac:dyDescent="0.25">
      <c r="A709" s="52"/>
      <c r="B709" s="9"/>
      <c r="C709" s="44" t="s">
        <v>927</v>
      </c>
      <c r="D709" s="44" t="s">
        <v>927</v>
      </c>
      <c r="E709" s="78">
        <v>1</v>
      </c>
      <c r="F709" s="9"/>
      <c r="G709" s="79">
        <f>SUM(H699:H708)</f>
        <v>0</v>
      </c>
      <c r="H709" s="29">
        <f>ROUND(E709*G709,2)</f>
        <v>0</v>
      </c>
    </row>
    <row r="710" spans="1:8" ht="20.100000000000001" customHeight="1" collapsed="1" x14ac:dyDescent="0.25">
      <c r="A710" s="60"/>
      <c r="B710" s="12"/>
      <c r="C710" s="45"/>
      <c r="D710" s="45"/>
      <c r="E710" s="34"/>
      <c r="F710" s="12"/>
      <c r="G710" s="34"/>
      <c r="H710" s="30"/>
    </row>
    <row r="711" spans="1:8" s="8" customFormat="1" ht="20.100000000000001" customHeight="1" x14ac:dyDescent="0.25">
      <c r="A711" s="52"/>
      <c r="B711" s="9"/>
      <c r="C711" s="44" t="s">
        <v>928</v>
      </c>
      <c r="D711" s="44" t="s">
        <v>928</v>
      </c>
      <c r="E711" s="78">
        <v>1</v>
      </c>
      <c r="F711" s="9"/>
      <c r="G711" s="79">
        <f>H698</f>
        <v>0</v>
      </c>
      <c r="H711" s="29">
        <f>ROUND(E711*G711,2)</f>
        <v>0</v>
      </c>
    </row>
    <row r="712" spans="1:8" ht="20.100000000000001" customHeight="1" x14ac:dyDescent="0.25">
      <c r="A712" s="60"/>
      <c r="B712" s="12"/>
      <c r="C712" s="45"/>
      <c r="D712" s="45"/>
      <c r="E712" s="34"/>
      <c r="F712" s="12"/>
      <c r="G712" s="34"/>
      <c r="H712" s="30"/>
    </row>
    <row r="713" spans="1:8" s="8" customFormat="1" ht="20.100000000000001" customHeight="1" x14ac:dyDescent="0.25">
      <c r="A713" s="52"/>
      <c r="B713" s="9"/>
      <c r="C713" s="44" t="s">
        <v>929</v>
      </c>
      <c r="D713" s="44" t="s">
        <v>929</v>
      </c>
      <c r="E713" s="78">
        <v>1</v>
      </c>
      <c r="F713" s="9"/>
      <c r="G713" s="79">
        <f>H608+H689+H697</f>
        <v>30325.71</v>
      </c>
      <c r="H713" s="29">
        <f>ROUND(E713*G713,2)</f>
        <v>30325.71</v>
      </c>
    </row>
    <row r="714" spans="1:8" ht="20.100000000000001" customHeight="1" x14ac:dyDescent="0.25">
      <c r="A714" s="60"/>
      <c r="B714" s="12"/>
      <c r="C714" s="45"/>
      <c r="D714" s="45"/>
      <c r="E714" s="34"/>
      <c r="F714" s="12"/>
      <c r="G714" s="34"/>
      <c r="H714" s="30"/>
    </row>
    <row r="715" spans="1:8" ht="20.100000000000001" customHeight="1" x14ac:dyDescent="0.25">
      <c r="A715" s="57"/>
      <c r="B715" s="16" t="s">
        <v>9</v>
      </c>
      <c r="C715" s="41" t="s">
        <v>930</v>
      </c>
      <c r="D715" s="41" t="s">
        <v>1394</v>
      </c>
      <c r="E715" s="76">
        <f>E779</f>
        <v>1</v>
      </c>
      <c r="F715" s="16" t="s">
        <v>10</v>
      </c>
      <c r="G715" s="76">
        <f>G779</f>
        <v>834246.05</v>
      </c>
      <c r="H715" s="27">
        <f>H779</f>
        <v>834246.05</v>
      </c>
    </row>
    <row r="716" spans="1:8" ht="20.100000000000001" customHeight="1" x14ac:dyDescent="0.25">
      <c r="A716" s="58"/>
      <c r="B716" s="5" t="s">
        <v>9</v>
      </c>
      <c r="C716" s="42" t="s">
        <v>931</v>
      </c>
      <c r="D716" s="42" t="s">
        <v>1395</v>
      </c>
      <c r="E716" s="77">
        <f>E727</f>
        <v>1</v>
      </c>
      <c r="F716" s="5" t="s">
        <v>10</v>
      </c>
      <c r="G716" s="77">
        <f>G727</f>
        <v>199022.16</v>
      </c>
      <c r="H716" s="28">
        <f>H727</f>
        <v>199022.16</v>
      </c>
    </row>
    <row r="717" spans="1:8" ht="20.100000000000001" hidden="1" customHeight="1" outlineLevel="1" x14ac:dyDescent="0.25">
      <c r="A717" s="59" t="s">
        <v>932</v>
      </c>
      <c r="B717" s="3" t="s">
        <v>17</v>
      </c>
      <c r="C717" s="43" t="s">
        <v>933</v>
      </c>
      <c r="D717" s="43" t="s">
        <v>1396</v>
      </c>
      <c r="E717" s="78">
        <v>0</v>
      </c>
      <c r="F717" s="3" t="s">
        <v>10</v>
      </c>
      <c r="G717" s="78"/>
      <c r="H717" s="20"/>
    </row>
    <row r="718" spans="1:8" ht="20.100000000000001" hidden="1" customHeight="1" outlineLevel="1" x14ac:dyDescent="0.25">
      <c r="A718" s="59" t="s">
        <v>934</v>
      </c>
      <c r="B718" s="3" t="s">
        <v>17</v>
      </c>
      <c r="C718" s="43" t="s">
        <v>935</v>
      </c>
      <c r="D718" s="43" t="s">
        <v>1447</v>
      </c>
      <c r="E718" s="78">
        <v>1</v>
      </c>
      <c r="F718" s="3" t="s">
        <v>10</v>
      </c>
      <c r="G718" s="78"/>
      <c r="H718" s="20"/>
    </row>
    <row r="719" spans="1:8" ht="20.100000000000001" customHeight="1" collapsed="1" x14ac:dyDescent="0.25">
      <c r="A719" s="65" t="s">
        <v>674</v>
      </c>
      <c r="B719" s="19" t="s">
        <v>17</v>
      </c>
      <c r="C719" s="44" t="s">
        <v>937</v>
      </c>
      <c r="D719" s="44" t="s">
        <v>1448</v>
      </c>
      <c r="E719" s="79">
        <v>1</v>
      </c>
      <c r="F719" s="19" t="s">
        <v>10</v>
      </c>
      <c r="G719" s="79">
        <v>36894.42</v>
      </c>
      <c r="H719" s="29">
        <f>ROUND(E719*G719,2)</f>
        <v>36894.42</v>
      </c>
    </row>
    <row r="720" spans="1:8" ht="20.100000000000001" hidden="1" customHeight="1" outlineLevel="1" x14ac:dyDescent="0.25">
      <c r="A720" s="65" t="s">
        <v>938</v>
      </c>
      <c r="B720" s="19" t="s">
        <v>17</v>
      </c>
      <c r="C720" s="44" t="s">
        <v>939</v>
      </c>
      <c r="D720" s="100" t="s">
        <v>1397</v>
      </c>
      <c r="E720" s="79">
        <v>0</v>
      </c>
      <c r="F720" s="19" t="s">
        <v>10</v>
      </c>
      <c r="G720" s="79"/>
      <c r="H720" s="29"/>
    </row>
    <row r="721" spans="1:8" ht="20.100000000000001" hidden="1" customHeight="1" outlineLevel="1" x14ac:dyDescent="0.25">
      <c r="A721" s="65" t="s">
        <v>940</v>
      </c>
      <c r="B721" s="19" t="s">
        <v>17</v>
      </c>
      <c r="C721" s="44" t="s">
        <v>941</v>
      </c>
      <c r="D721" s="100" t="s">
        <v>1449</v>
      </c>
      <c r="E721" s="79">
        <v>1</v>
      </c>
      <c r="F721" s="19" t="s">
        <v>10</v>
      </c>
      <c r="G721" s="79"/>
      <c r="H721" s="29"/>
    </row>
    <row r="722" spans="1:8" ht="20.100000000000001" customHeight="1" collapsed="1" x14ac:dyDescent="0.25">
      <c r="A722" s="65" t="s">
        <v>691</v>
      </c>
      <c r="B722" s="19" t="s">
        <v>17</v>
      </c>
      <c r="C722" s="44" t="s">
        <v>943</v>
      </c>
      <c r="D722" s="100" t="s">
        <v>1450</v>
      </c>
      <c r="E722" s="79">
        <v>1</v>
      </c>
      <c r="F722" s="19" t="s">
        <v>10</v>
      </c>
      <c r="G722" s="79">
        <v>66814.05</v>
      </c>
      <c r="H722" s="29">
        <f>ROUND(E722*G722,2)</f>
        <v>66814.05</v>
      </c>
    </row>
    <row r="723" spans="1:8" ht="20.100000000000001" hidden="1" customHeight="1" outlineLevel="1" x14ac:dyDescent="0.25">
      <c r="A723" s="65" t="s">
        <v>944</v>
      </c>
      <c r="B723" s="19" t="s">
        <v>17</v>
      </c>
      <c r="C723" s="44" t="s">
        <v>945</v>
      </c>
      <c r="D723" s="100" t="s">
        <v>1398</v>
      </c>
      <c r="E723" s="79">
        <v>1</v>
      </c>
      <c r="F723" s="19" t="s">
        <v>10</v>
      </c>
      <c r="G723" s="79"/>
      <c r="H723" s="29"/>
    </row>
    <row r="724" spans="1:8" ht="20.100000000000001" hidden="1" customHeight="1" outlineLevel="1" x14ac:dyDescent="0.25">
      <c r="A724" s="65" t="s">
        <v>946</v>
      </c>
      <c r="B724" s="19" t="s">
        <v>17</v>
      </c>
      <c r="C724" s="44" t="s">
        <v>947</v>
      </c>
      <c r="D724" s="100" t="s">
        <v>1399</v>
      </c>
      <c r="E724" s="79">
        <v>0</v>
      </c>
      <c r="F724" s="19" t="s">
        <v>10</v>
      </c>
      <c r="G724" s="79"/>
      <c r="H724" s="29"/>
    </row>
    <row r="725" spans="1:8" ht="20.100000000000001" hidden="1" customHeight="1" outlineLevel="1" x14ac:dyDescent="0.25">
      <c r="A725" s="65" t="s">
        <v>948</v>
      </c>
      <c r="B725" s="19" t="s">
        <v>17</v>
      </c>
      <c r="C725" s="44" t="s">
        <v>949</v>
      </c>
      <c r="D725" s="100" t="s">
        <v>1451</v>
      </c>
      <c r="E725" s="79">
        <v>1</v>
      </c>
      <c r="F725" s="19" t="s">
        <v>10</v>
      </c>
      <c r="G725" s="79"/>
      <c r="H725" s="29"/>
    </row>
    <row r="726" spans="1:8" ht="20.100000000000001" customHeight="1" collapsed="1" x14ac:dyDescent="0.25">
      <c r="A726" s="65" t="s">
        <v>704</v>
      </c>
      <c r="B726" s="19" t="s">
        <v>17</v>
      </c>
      <c r="C726" s="44" t="s">
        <v>949</v>
      </c>
      <c r="D726" s="100" t="s">
        <v>1452</v>
      </c>
      <c r="E726" s="79">
        <v>1</v>
      </c>
      <c r="F726" s="19" t="s">
        <v>10</v>
      </c>
      <c r="G726" s="79">
        <v>95313.69</v>
      </c>
      <c r="H726" s="29">
        <f>ROUND(E726*G726,2)</f>
        <v>95313.69</v>
      </c>
    </row>
    <row r="727" spans="1:8" ht="20.100000000000001" customHeight="1" x14ac:dyDescent="0.25">
      <c r="A727" s="52"/>
      <c r="B727" s="9"/>
      <c r="C727" s="44" t="s">
        <v>1400</v>
      </c>
      <c r="D727" s="44" t="s">
        <v>1594</v>
      </c>
      <c r="E727" s="78">
        <v>1</v>
      </c>
      <c r="F727" s="9"/>
      <c r="G727" s="79">
        <f>SUM(H717:H726)</f>
        <v>199022.16</v>
      </c>
      <c r="H727" s="29">
        <f>ROUND(E727*G727,2)</f>
        <v>199022.16</v>
      </c>
    </row>
    <row r="728" spans="1:8" ht="20.100000000000001" customHeight="1" x14ac:dyDescent="0.25">
      <c r="A728" s="60"/>
      <c r="B728" s="12"/>
      <c r="C728" s="45"/>
      <c r="D728" s="45"/>
      <c r="E728" s="34"/>
      <c r="F728" s="12"/>
      <c r="G728" s="34"/>
      <c r="H728" s="30"/>
    </row>
    <row r="729" spans="1:8" ht="20.100000000000001" customHeight="1" x14ac:dyDescent="0.25">
      <c r="A729" s="58"/>
      <c r="B729" s="5" t="s">
        <v>9</v>
      </c>
      <c r="C729" s="42" t="s">
        <v>951</v>
      </c>
      <c r="D729" s="42" t="s">
        <v>1401</v>
      </c>
      <c r="E729" s="77">
        <f>E741</f>
        <v>1</v>
      </c>
      <c r="F729" s="5" t="s">
        <v>65</v>
      </c>
      <c r="G729" s="77">
        <f>G741</f>
        <v>471664.1</v>
      </c>
      <c r="H729" s="28">
        <f>H741</f>
        <v>471664.1</v>
      </c>
    </row>
    <row r="730" spans="1:8" ht="20.100000000000001" customHeight="1" x14ac:dyDescent="0.25">
      <c r="A730" s="61" t="s">
        <v>728</v>
      </c>
      <c r="B730" s="17" t="s">
        <v>9</v>
      </c>
      <c r="C730" s="46" t="s">
        <v>953</v>
      </c>
      <c r="D730" s="46" t="s">
        <v>1402</v>
      </c>
      <c r="E730" s="80">
        <f>E734</f>
        <v>1</v>
      </c>
      <c r="F730" s="17" t="s">
        <v>65</v>
      </c>
      <c r="G730" s="80">
        <f>G734</f>
        <v>458130.12</v>
      </c>
      <c r="H730" s="31">
        <f>H734</f>
        <v>458130.12</v>
      </c>
    </row>
    <row r="731" spans="1:8" ht="20.100000000000001" customHeight="1" x14ac:dyDescent="0.25">
      <c r="A731" s="59" t="s">
        <v>730</v>
      </c>
      <c r="B731" s="3" t="s">
        <v>17</v>
      </c>
      <c r="C731" s="43" t="s">
        <v>955</v>
      </c>
      <c r="D731" s="43" t="s">
        <v>1403</v>
      </c>
      <c r="E731" s="78">
        <v>1</v>
      </c>
      <c r="F731" s="3" t="s">
        <v>433</v>
      </c>
      <c r="G731" s="78">
        <v>347764.27</v>
      </c>
      <c r="H731" s="20">
        <f>ROUND(E731*G731,2)</f>
        <v>347764.27</v>
      </c>
    </row>
    <row r="732" spans="1:8" ht="20.100000000000001" customHeight="1" x14ac:dyDescent="0.25">
      <c r="A732" s="59" t="s">
        <v>732</v>
      </c>
      <c r="B732" s="3" t="s">
        <v>17</v>
      </c>
      <c r="C732" s="43" t="s">
        <v>957</v>
      </c>
      <c r="D732" s="43" t="s">
        <v>1404</v>
      </c>
      <c r="E732" s="78">
        <v>1</v>
      </c>
      <c r="F732" s="3" t="s">
        <v>433</v>
      </c>
      <c r="G732" s="78">
        <v>68634.14</v>
      </c>
      <c r="H732" s="20">
        <f>ROUND(E732*G732,2)</f>
        <v>68634.14</v>
      </c>
    </row>
    <row r="733" spans="1:8" ht="20.100000000000001" customHeight="1" x14ac:dyDescent="0.25">
      <c r="A733" s="59" t="s">
        <v>734</v>
      </c>
      <c r="B733" s="3" t="s">
        <v>17</v>
      </c>
      <c r="C733" s="43" t="s">
        <v>959</v>
      </c>
      <c r="D733" s="43" t="s">
        <v>1405</v>
      </c>
      <c r="E733" s="78">
        <v>1</v>
      </c>
      <c r="F733" s="3" t="s">
        <v>433</v>
      </c>
      <c r="G733" s="78">
        <v>41731.71</v>
      </c>
      <c r="H733" s="20">
        <f>ROUND(E733*G733,2)</f>
        <v>41731.71</v>
      </c>
    </row>
    <row r="734" spans="1:8" ht="20.100000000000001" customHeight="1" x14ac:dyDescent="0.25">
      <c r="A734" s="52"/>
      <c r="B734" s="9"/>
      <c r="C734" s="44" t="s">
        <v>960</v>
      </c>
      <c r="D734" s="44" t="s">
        <v>736</v>
      </c>
      <c r="E734" s="78">
        <v>1</v>
      </c>
      <c r="F734" s="9"/>
      <c r="G734" s="79">
        <f>SUM(H731:H733)</f>
        <v>458130.12</v>
      </c>
      <c r="H734" s="29">
        <f>ROUND(E734*G734,2)</f>
        <v>458130.12</v>
      </c>
    </row>
    <row r="735" spans="1:8" ht="20.100000000000001" customHeight="1" x14ac:dyDescent="0.25">
      <c r="A735" s="60"/>
      <c r="B735" s="12"/>
      <c r="C735" s="45"/>
      <c r="D735" s="45"/>
      <c r="E735" s="34"/>
      <c r="F735" s="12"/>
      <c r="G735" s="34"/>
      <c r="H735" s="30"/>
    </row>
    <row r="736" spans="1:8" ht="20.100000000000001" customHeight="1" x14ac:dyDescent="0.25">
      <c r="A736" s="61" t="s">
        <v>737</v>
      </c>
      <c r="B736" s="17" t="s">
        <v>9</v>
      </c>
      <c r="C736" s="46" t="s">
        <v>962</v>
      </c>
      <c r="D736" s="46" t="s">
        <v>1410</v>
      </c>
      <c r="E736" s="80">
        <v>1</v>
      </c>
      <c r="F736" s="17" t="s">
        <v>65</v>
      </c>
      <c r="G736" s="80">
        <f>+G739</f>
        <v>13533.98</v>
      </c>
      <c r="H736" s="31">
        <f>ROUND(E736*G736,2)</f>
        <v>13533.98</v>
      </c>
    </row>
    <row r="737" spans="1:8" s="8" customFormat="1" ht="20.100000000000001" customHeight="1" x14ac:dyDescent="0.25">
      <c r="A737" s="59" t="s">
        <v>738</v>
      </c>
      <c r="B737" s="19"/>
      <c r="C737" s="43" t="s">
        <v>1407</v>
      </c>
      <c r="D737" s="43" t="s">
        <v>1411</v>
      </c>
      <c r="E737" s="78">
        <v>1</v>
      </c>
      <c r="F737" s="3" t="s">
        <v>10</v>
      </c>
      <c r="G737" s="78">
        <v>10060.76</v>
      </c>
      <c r="H737" s="20">
        <f>ROUND(E737*G737,2)</f>
        <v>10060.76</v>
      </c>
    </row>
    <row r="738" spans="1:8" s="8" customFormat="1" ht="20.100000000000001" customHeight="1" x14ac:dyDescent="0.25">
      <c r="A738" s="59" t="s">
        <v>740</v>
      </c>
      <c r="B738" s="19"/>
      <c r="C738" s="43" t="s">
        <v>1408</v>
      </c>
      <c r="D738" s="43" t="s">
        <v>1412</v>
      </c>
      <c r="E738" s="78">
        <v>1</v>
      </c>
      <c r="F738" s="3" t="s">
        <v>10</v>
      </c>
      <c r="G738" s="78">
        <v>3473.22</v>
      </c>
      <c r="H738" s="20">
        <f>ROUND(E738*G738,2)</f>
        <v>3473.22</v>
      </c>
    </row>
    <row r="739" spans="1:8" s="8" customFormat="1" ht="20.100000000000001" customHeight="1" x14ac:dyDescent="0.25">
      <c r="A739" s="65"/>
      <c r="B739" s="19"/>
      <c r="C739" s="44" t="s">
        <v>1409</v>
      </c>
      <c r="D739" s="44" t="s">
        <v>747</v>
      </c>
      <c r="E739" s="79">
        <v>1</v>
      </c>
      <c r="F739" s="19"/>
      <c r="G739" s="79">
        <f>SUM(H737:H738)</f>
        <v>13533.98</v>
      </c>
      <c r="H739" s="29">
        <f>ROUND(E739*G739,2)</f>
        <v>13533.98</v>
      </c>
    </row>
    <row r="740" spans="1:8" s="8" customFormat="1" ht="20.100000000000001" customHeight="1" x14ac:dyDescent="0.25">
      <c r="A740" s="65"/>
      <c r="B740" s="19"/>
      <c r="C740" s="44"/>
      <c r="D740" s="44"/>
      <c r="E740" s="79"/>
      <c r="F740" s="19"/>
      <c r="G740" s="79"/>
      <c r="H740" s="29"/>
    </row>
    <row r="741" spans="1:8" ht="20.100000000000001" customHeight="1" x14ac:dyDescent="0.25">
      <c r="A741" s="52"/>
      <c r="B741" s="9"/>
      <c r="C741" s="44" t="s">
        <v>963</v>
      </c>
      <c r="D741" s="44" t="s">
        <v>963</v>
      </c>
      <c r="E741" s="78">
        <v>1</v>
      </c>
      <c r="F741" s="9"/>
      <c r="G741" s="79">
        <f>H730+H736</f>
        <v>471664.1</v>
      </c>
      <c r="H741" s="29">
        <f>ROUND(E741*G741,2)</f>
        <v>471664.1</v>
      </c>
    </row>
    <row r="742" spans="1:8" ht="20.100000000000001" customHeight="1" x14ac:dyDescent="0.25">
      <c r="A742" s="60"/>
      <c r="B742" s="12"/>
      <c r="C742" s="45"/>
      <c r="D742" s="45"/>
      <c r="E742" s="34"/>
      <c r="F742" s="12"/>
      <c r="G742" s="34"/>
      <c r="H742" s="30"/>
    </row>
    <row r="743" spans="1:8" ht="20.100000000000001" customHeight="1" x14ac:dyDescent="0.25">
      <c r="A743" s="58" t="s">
        <v>964</v>
      </c>
      <c r="B743" s="5" t="s">
        <v>9</v>
      </c>
      <c r="C743" s="42" t="s">
        <v>965</v>
      </c>
      <c r="D743" s="42" t="s">
        <v>1413</v>
      </c>
      <c r="E743" s="77">
        <f>E759</f>
        <v>1</v>
      </c>
      <c r="F743" s="5" t="s">
        <v>10</v>
      </c>
      <c r="G743" s="77">
        <f>G759</f>
        <v>140499.10999999999</v>
      </c>
      <c r="H743" s="28">
        <f>H759</f>
        <v>140499.10999999999</v>
      </c>
    </row>
    <row r="744" spans="1:8" ht="20.100000000000001" customHeight="1" x14ac:dyDescent="0.25">
      <c r="A744" s="61" t="s">
        <v>748</v>
      </c>
      <c r="B744" s="17" t="s">
        <v>9</v>
      </c>
      <c r="C744" s="46" t="s">
        <v>967</v>
      </c>
      <c r="D744" s="42" t="s">
        <v>1413</v>
      </c>
      <c r="E744" s="80">
        <f>E749</f>
        <v>1</v>
      </c>
      <c r="F744" s="17" t="s">
        <v>10</v>
      </c>
      <c r="G744" s="80">
        <f>G749</f>
        <v>129423.45</v>
      </c>
      <c r="H744" s="31">
        <f>H749</f>
        <v>129423.45</v>
      </c>
    </row>
    <row r="745" spans="1:8" ht="20.100000000000001" customHeight="1" x14ac:dyDescent="0.25">
      <c r="A745" s="59" t="s">
        <v>751</v>
      </c>
      <c r="B745" s="3" t="s">
        <v>17</v>
      </c>
      <c r="C745" s="43" t="s">
        <v>1440</v>
      </c>
      <c r="D745" s="95" t="s">
        <v>1453</v>
      </c>
      <c r="E745" s="78">
        <v>1</v>
      </c>
      <c r="F745" s="3" t="s">
        <v>10</v>
      </c>
      <c r="G745" s="78">
        <v>56132.480000000003</v>
      </c>
      <c r="H745" s="20">
        <f>ROUND(E745*G745,2)</f>
        <v>56132.480000000003</v>
      </c>
    </row>
    <row r="746" spans="1:8" ht="20.100000000000001" customHeight="1" x14ac:dyDescent="0.25">
      <c r="A746" s="59" t="s">
        <v>752</v>
      </c>
      <c r="B746" s="3" t="s">
        <v>17</v>
      </c>
      <c r="C746" s="43" t="s">
        <v>1441</v>
      </c>
      <c r="D746" s="95" t="s">
        <v>1454</v>
      </c>
      <c r="E746" s="78">
        <v>1</v>
      </c>
      <c r="F746" s="3" t="s">
        <v>10</v>
      </c>
      <c r="G746" s="78">
        <v>37759.29</v>
      </c>
      <c r="H746" s="20">
        <f>ROUND(E746*G746,2)</f>
        <v>37759.29</v>
      </c>
    </row>
    <row r="747" spans="1:8" ht="20.100000000000001" customHeight="1" x14ac:dyDescent="0.25">
      <c r="A747" s="59" t="s">
        <v>753</v>
      </c>
      <c r="B747" s="3" t="s">
        <v>17</v>
      </c>
      <c r="C747" s="43" t="s">
        <v>1442</v>
      </c>
      <c r="D747" s="95" t="s">
        <v>1455</v>
      </c>
      <c r="E747" s="78">
        <v>1</v>
      </c>
      <c r="F747" s="3" t="s">
        <v>10</v>
      </c>
      <c r="G747" s="78">
        <v>8843.0400000000009</v>
      </c>
      <c r="H747" s="20">
        <f>ROUND(E747*G747,2)</f>
        <v>8843.0400000000009</v>
      </c>
    </row>
    <row r="748" spans="1:8" ht="20.100000000000001" customHeight="1" x14ac:dyDescent="0.25">
      <c r="A748" s="59" t="s">
        <v>754</v>
      </c>
      <c r="B748" s="3" t="s">
        <v>17</v>
      </c>
      <c r="C748" s="43" t="s">
        <v>969</v>
      </c>
      <c r="D748" s="43" t="s">
        <v>1456</v>
      </c>
      <c r="E748" s="78">
        <v>1</v>
      </c>
      <c r="F748" s="3" t="s">
        <v>10</v>
      </c>
      <c r="G748" s="78">
        <v>26688.639999999999</v>
      </c>
      <c r="H748" s="20">
        <f>ROUND(E748*G748,2)</f>
        <v>26688.639999999999</v>
      </c>
    </row>
    <row r="749" spans="1:8" ht="20.100000000000001" customHeight="1" x14ac:dyDescent="0.25">
      <c r="A749" s="52"/>
      <c r="B749" s="9"/>
      <c r="C749" s="44" t="s">
        <v>970</v>
      </c>
      <c r="D749" s="44" t="s">
        <v>769</v>
      </c>
      <c r="E749" s="78">
        <v>1</v>
      </c>
      <c r="F749" s="9"/>
      <c r="G749" s="79">
        <f>SUM(H745:H748)</f>
        <v>129423.45</v>
      </c>
      <c r="H749" s="29">
        <f>ROUND(E749*G749,2)</f>
        <v>129423.45</v>
      </c>
    </row>
    <row r="750" spans="1:8" ht="20.100000000000001" customHeight="1" x14ac:dyDescent="0.25">
      <c r="A750" s="60"/>
      <c r="B750" s="12"/>
      <c r="C750" s="45"/>
      <c r="D750" s="45"/>
      <c r="E750" s="34"/>
      <c r="F750" s="12"/>
      <c r="G750" s="34"/>
      <c r="H750" s="30"/>
    </row>
    <row r="751" spans="1:8" ht="20.100000000000001" customHeight="1" x14ac:dyDescent="0.25">
      <c r="A751" s="61" t="s">
        <v>770</v>
      </c>
      <c r="B751" s="17" t="s">
        <v>9</v>
      </c>
      <c r="C751" s="46" t="s">
        <v>972</v>
      </c>
      <c r="D751" s="46" t="s">
        <v>1414</v>
      </c>
      <c r="E751" s="80">
        <f>E757</f>
        <v>1</v>
      </c>
      <c r="F751" s="17" t="s">
        <v>10</v>
      </c>
      <c r="G751" s="80">
        <f>G757</f>
        <v>11075.66</v>
      </c>
      <c r="H751" s="31">
        <f>H757</f>
        <v>11075.66</v>
      </c>
    </row>
    <row r="752" spans="1:8" ht="20.100000000000001" customHeight="1" x14ac:dyDescent="0.25">
      <c r="A752" s="59" t="s">
        <v>773</v>
      </c>
      <c r="B752" s="3" t="s">
        <v>17</v>
      </c>
      <c r="C752" s="43" t="s">
        <v>974</v>
      </c>
      <c r="D752" s="43" t="s">
        <v>1415</v>
      </c>
      <c r="E752" s="78">
        <v>1</v>
      </c>
      <c r="F752" s="3" t="s">
        <v>10</v>
      </c>
      <c r="G752" s="78">
        <v>4927.43</v>
      </c>
      <c r="H752" s="20">
        <f t="shared" ref="H752:H757" si="13">ROUND(E752*G752,2)</f>
        <v>4927.43</v>
      </c>
    </row>
    <row r="753" spans="1:8" ht="20.100000000000001" customHeight="1" x14ac:dyDescent="0.25">
      <c r="A753" s="59" t="s">
        <v>776</v>
      </c>
      <c r="B753" s="3" t="s">
        <v>17</v>
      </c>
      <c r="C753" s="43" t="s">
        <v>976</v>
      </c>
      <c r="D753" s="43" t="s">
        <v>1416</v>
      </c>
      <c r="E753" s="78">
        <v>1</v>
      </c>
      <c r="F753" s="3" t="s">
        <v>10</v>
      </c>
      <c r="G753" s="78">
        <v>601.86</v>
      </c>
      <c r="H753" s="20">
        <f t="shared" si="13"/>
        <v>601.86</v>
      </c>
    </row>
    <row r="754" spans="1:8" ht="20.100000000000001" customHeight="1" x14ac:dyDescent="0.25">
      <c r="A754" s="59" t="s">
        <v>777</v>
      </c>
      <c r="B754" s="3" t="s">
        <v>17</v>
      </c>
      <c r="C754" s="43" t="s">
        <v>978</v>
      </c>
      <c r="D754" s="43" t="s">
        <v>1417</v>
      </c>
      <c r="E754" s="78">
        <v>4</v>
      </c>
      <c r="F754" s="3" t="s">
        <v>10</v>
      </c>
      <c r="G754" s="78">
        <v>774.58</v>
      </c>
      <c r="H754" s="20">
        <f t="shared" si="13"/>
        <v>3098.32</v>
      </c>
    </row>
    <row r="755" spans="1:8" ht="20.100000000000001" customHeight="1" x14ac:dyDescent="0.25">
      <c r="A755" s="59" t="s">
        <v>780</v>
      </c>
      <c r="B755" s="3" t="s">
        <v>17</v>
      </c>
      <c r="C755" s="43" t="s">
        <v>980</v>
      </c>
      <c r="D755" s="43" t="s">
        <v>1418</v>
      </c>
      <c r="E755" s="78">
        <v>1</v>
      </c>
      <c r="F755" s="3" t="s">
        <v>10</v>
      </c>
      <c r="G755" s="78">
        <v>482.3</v>
      </c>
      <c r="H755" s="20">
        <f t="shared" si="13"/>
        <v>482.3</v>
      </c>
    </row>
    <row r="756" spans="1:8" ht="20.100000000000001" customHeight="1" x14ac:dyDescent="0.25">
      <c r="A756" s="59" t="s">
        <v>782</v>
      </c>
      <c r="B756" s="3" t="s">
        <v>17</v>
      </c>
      <c r="C756" s="43" t="s">
        <v>982</v>
      </c>
      <c r="D756" s="43" t="s">
        <v>1419</v>
      </c>
      <c r="E756" s="78">
        <v>1</v>
      </c>
      <c r="F756" s="3" t="s">
        <v>433</v>
      </c>
      <c r="G756" s="78">
        <v>1965.75</v>
      </c>
      <c r="H756" s="20">
        <f t="shared" si="13"/>
        <v>1965.75</v>
      </c>
    </row>
    <row r="757" spans="1:8" ht="20.100000000000001" customHeight="1" x14ac:dyDescent="0.25">
      <c r="A757" s="52"/>
      <c r="B757" s="9"/>
      <c r="C757" s="44" t="s">
        <v>983</v>
      </c>
      <c r="D757" s="44" t="s">
        <v>784</v>
      </c>
      <c r="E757" s="78">
        <v>1</v>
      </c>
      <c r="F757" s="9"/>
      <c r="G757" s="79">
        <f>SUM(H752:H756)</f>
        <v>11075.66</v>
      </c>
      <c r="H757" s="29">
        <f t="shared" si="13"/>
        <v>11075.66</v>
      </c>
    </row>
    <row r="758" spans="1:8" ht="20.100000000000001" customHeight="1" x14ac:dyDescent="0.25">
      <c r="A758" s="60"/>
      <c r="B758" s="12"/>
      <c r="C758" s="45"/>
      <c r="D758" s="45"/>
      <c r="E758" s="34"/>
      <c r="F758" s="12"/>
      <c r="G758" s="34"/>
      <c r="H758" s="30"/>
    </row>
    <row r="759" spans="1:8" s="8" customFormat="1" ht="20.100000000000001" customHeight="1" x14ac:dyDescent="0.25">
      <c r="A759" s="52"/>
      <c r="B759" s="9"/>
      <c r="C759" s="44" t="s">
        <v>984</v>
      </c>
      <c r="D759" s="44" t="s">
        <v>984</v>
      </c>
      <c r="E759" s="78">
        <v>1</v>
      </c>
      <c r="F759" s="9"/>
      <c r="G759" s="79">
        <f>H744+H751</f>
        <v>140499.10999999999</v>
      </c>
      <c r="H759" s="29">
        <f>ROUND(E759*G759,2)</f>
        <v>140499.10999999999</v>
      </c>
    </row>
    <row r="760" spans="1:8" ht="20.100000000000001" customHeight="1" x14ac:dyDescent="0.25">
      <c r="A760" s="60"/>
      <c r="B760" s="12"/>
      <c r="C760" s="45"/>
      <c r="D760" s="45"/>
      <c r="E760" s="34"/>
      <c r="F760" s="12"/>
      <c r="G760" s="34"/>
      <c r="H760" s="30"/>
    </row>
    <row r="761" spans="1:8" ht="20.100000000000001" customHeight="1" x14ac:dyDescent="0.25">
      <c r="A761" s="58"/>
      <c r="B761" s="5" t="s">
        <v>9</v>
      </c>
      <c r="C761" s="42" t="s">
        <v>985</v>
      </c>
      <c r="D761" s="42" t="s">
        <v>1420</v>
      </c>
      <c r="E761" s="77">
        <f>E777</f>
        <v>1</v>
      </c>
      <c r="F761" s="5" t="s">
        <v>10</v>
      </c>
      <c r="G761" s="77">
        <f>G777</f>
        <v>23060.68</v>
      </c>
      <c r="H761" s="28">
        <f>H777</f>
        <v>23060.68</v>
      </c>
    </row>
    <row r="762" spans="1:8" ht="39.950000000000003" customHeight="1" x14ac:dyDescent="0.25">
      <c r="A762" s="61" t="s">
        <v>791</v>
      </c>
      <c r="B762" s="17" t="s">
        <v>9</v>
      </c>
      <c r="C762" s="46" t="s">
        <v>987</v>
      </c>
      <c r="D762" s="46" t="s">
        <v>1421</v>
      </c>
      <c r="E762" s="80">
        <f>E767</f>
        <v>1</v>
      </c>
      <c r="F762" s="17" t="s">
        <v>10</v>
      </c>
      <c r="G762" s="80">
        <f>G767</f>
        <v>15425.05</v>
      </c>
      <c r="H762" s="31">
        <f>H767</f>
        <v>15425.05</v>
      </c>
    </row>
    <row r="763" spans="1:8" ht="20.100000000000001" customHeight="1" x14ac:dyDescent="0.25">
      <c r="A763" s="59" t="s">
        <v>793</v>
      </c>
      <c r="B763" s="3" t="s">
        <v>17</v>
      </c>
      <c r="C763" s="43" t="s">
        <v>989</v>
      </c>
      <c r="D763" s="43" t="s">
        <v>1422</v>
      </c>
      <c r="E763" s="78">
        <v>1</v>
      </c>
      <c r="F763" s="3" t="s">
        <v>10</v>
      </c>
      <c r="G763" s="78">
        <v>8205.07</v>
      </c>
      <c r="H763" s="20">
        <f>ROUND(E763*G763,2)</f>
        <v>8205.07</v>
      </c>
    </row>
    <row r="764" spans="1:8" ht="20.100000000000001" customHeight="1" x14ac:dyDescent="0.25">
      <c r="A764" s="59" t="s">
        <v>795</v>
      </c>
      <c r="B764" s="3" t="s">
        <v>17</v>
      </c>
      <c r="C764" s="43" t="s">
        <v>991</v>
      </c>
      <c r="D764" s="43" t="s">
        <v>1423</v>
      </c>
      <c r="E764" s="78">
        <v>1</v>
      </c>
      <c r="F764" s="3" t="s">
        <v>10</v>
      </c>
      <c r="G764" s="78">
        <v>3961.32</v>
      </c>
      <c r="H764" s="20">
        <f>ROUND(E764*G764,2)</f>
        <v>3961.32</v>
      </c>
    </row>
    <row r="765" spans="1:8" ht="20.100000000000001" customHeight="1" x14ac:dyDescent="0.25">
      <c r="A765" s="59" t="s">
        <v>797</v>
      </c>
      <c r="B765" s="3" t="s">
        <v>17</v>
      </c>
      <c r="C765" s="43" t="s">
        <v>993</v>
      </c>
      <c r="D765" s="43" t="s">
        <v>1424</v>
      </c>
      <c r="E765" s="78">
        <v>1</v>
      </c>
      <c r="F765" s="3" t="s">
        <v>10</v>
      </c>
      <c r="G765" s="78">
        <v>1195.58</v>
      </c>
      <c r="H765" s="20">
        <f>ROUND(E765*G765,2)</f>
        <v>1195.58</v>
      </c>
    </row>
    <row r="766" spans="1:8" ht="20.100000000000001" customHeight="1" x14ac:dyDescent="0.25">
      <c r="A766" s="59" t="s">
        <v>799</v>
      </c>
      <c r="B766" s="3" t="s">
        <v>17</v>
      </c>
      <c r="C766" s="43" t="s">
        <v>995</v>
      </c>
      <c r="D766" s="43" t="s">
        <v>1425</v>
      </c>
      <c r="E766" s="78">
        <v>1</v>
      </c>
      <c r="F766" s="3" t="s">
        <v>10</v>
      </c>
      <c r="G766" s="78">
        <v>2063.08</v>
      </c>
      <c r="H766" s="20">
        <f>ROUND(E766*G766,2)</f>
        <v>2063.08</v>
      </c>
    </row>
    <row r="767" spans="1:8" ht="20.100000000000001" customHeight="1" x14ac:dyDescent="0.25">
      <c r="A767" s="52"/>
      <c r="B767" s="9"/>
      <c r="C767" s="44" t="s">
        <v>996</v>
      </c>
      <c r="D767" s="44" t="s">
        <v>807</v>
      </c>
      <c r="E767" s="78">
        <v>1</v>
      </c>
      <c r="F767" s="9"/>
      <c r="G767" s="79">
        <f>SUM(H763:H766)</f>
        <v>15425.05</v>
      </c>
      <c r="H767" s="29">
        <f>ROUND(E767*G767,2)</f>
        <v>15425.05</v>
      </c>
    </row>
    <row r="768" spans="1:8" ht="20.100000000000001" customHeight="1" x14ac:dyDescent="0.25">
      <c r="A768" s="60"/>
      <c r="B768" s="12"/>
      <c r="C768" s="45"/>
      <c r="D768" s="45"/>
      <c r="E768" s="34"/>
      <c r="F768" s="12"/>
      <c r="G768" s="34"/>
      <c r="H768" s="30"/>
    </row>
    <row r="769" spans="1:8" ht="20.100000000000001" customHeight="1" x14ac:dyDescent="0.25">
      <c r="A769" s="61" t="s">
        <v>808</v>
      </c>
      <c r="B769" s="17" t="s">
        <v>9</v>
      </c>
      <c r="C769" s="46" t="s">
        <v>998</v>
      </c>
      <c r="D769" s="46" t="s">
        <v>1426</v>
      </c>
      <c r="E769" s="80">
        <f>E775</f>
        <v>1</v>
      </c>
      <c r="F769" s="17" t="s">
        <v>10</v>
      </c>
      <c r="G769" s="80">
        <f>G775</f>
        <v>7635.63</v>
      </c>
      <c r="H769" s="31">
        <f>H775</f>
        <v>7635.63</v>
      </c>
    </row>
    <row r="770" spans="1:8" ht="20.100000000000001" customHeight="1" x14ac:dyDescent="0.25">
      <c r="A770" s="59" t="s">
        <v>810</v>
      </c>
      <c r="B770" s="3" t="s">
        <v>17</v>
      </c>
      <c r="C770" s="43" t="s">
        <v>1443</v>
      </c>
      <c r="D770" s="43" t="s">
        <v>1445</v>
      </c>
      <c r="E770" s="78">
        <v>1</v>
      </c>
      <c r="F770" s="3" t="s">
        <v>10</v>
      </c>
      <c r="G770" s="78">
        <v>1334.35</v>
      </c>
      <c r="H770" s="20">
        <f t="shared" ref="H770:H775" si="14">ROUND(E770*G770,2)</f>
        <v>1334.35</v>
      </c>
    </row>
    <row r="771" spans="1:8" ht="20.100000000000001" customHeight="1" x14ac:dyDescent="0.25">
      <c r="A771" s="59" t="s">
        <v>812</v>
      </c>
      <c r="B771" s="3" t="s">
        <v>17</v>
      </c>
      <c r="C771" s="43" t="s">
        <v>1444</v>
      </c>
      <c r="D771" s="43" t="s">
        <v>1446</v>
      </c>
      <c r="E771" s="78">
        <v>1</v>
      </c>
      <c r="F771" s="3" t="s">
        <v>10</v>
      </c>
      <c r="G771" s="78">
        <v>666.98</v>
      </c>
      <c r="H771" s="20">
        <f t="shared" si="14"/>
        <v>666.98</v>
      </c>
    </row>
    <row r="772" spans="1:8" ht="20.100000000000001" customHeight="1" x14ac:dyDescent="0.25">
      <c r="A772" s="59" t="s">
        <v>814</v>
      </c>
      <c r="B772" s="3" t="s">
        <v>17</v>
      </c>
      <c r="C772" s="43" t="s">
        <v>1002</v>
      </c>
      <c r="D772" s="43" t="s">
        <v>1427</v>
      </c>
      <c r="E772" s="78">
        <v>1</v>
      </c>
      <c r="F772" s="3" t="s">
        <v>10</v>
      </c>
      <c r="G772" s="78">
        <v>987.9</v>
      </c>
      <c r="H772" s="20">
        <f t="shared" si="14"/>
        <v>987.9</v>
      </c>
    </row>
    <row r="773" spans="1:8" ht="20.100000000000001" customHeight="1" x14ac:dyDescent="0.25">
      <c r="A773" s="59" t="s">
        <v>816</v>
      </c>
      <c r="B773" s="3" t="s">
        <v>17</v>
      </c>
      <c r="C773" s="43" t="s">
        <v>1004</v>
      </c>
      <c r="D773" s="43" t="s">
        <v>1428</v>
      </c>
      <c r="E773" s="78">
        <v>3</v>
      </c>
      <c r="F773" s="3" t="s">
        <v>10</v>
      </c>
      <c r="G773" s="78">
        <v>803.9</v>
      </c>
      <c r="H773" s="20">
        <f t="shared" si="14"/>
        <v>2411.6999999999998</v>
      </c>
    </row>
    <row r="774" spans="1:8" ht="20.100000000000001" customHeight="1" x14ac:dyDescent="0.25">
      <c r="A774" s="59" t="s">
        <v>817</v>
      </c>
      <c r="B774" s="3" t="s">
        <v>17</v>
      </c>
      <c r="C774" s="43" t="s">
        <v>1006</v>
      </c>
      <c r="D774" s="43" t="s">
        <v>1429</v>
      </c>
      <c r="E774" s="78">
        <v>3</v>
      </c>
      <c r="F774" s="3" t="s">
        <v>10</v>
      </c>
      <c r="G774" s="78">
        <v>744.9</v>
      </c>
      <c r="H774" s="20">
        <f t="shared" si="14"/>
        <v>2234.6999999999998</v>
      </c>
    </row>
    <row r="775" spans="1:8" ht="20.100000000000001" customHeight="1" x14ac:dyDescent="0.25">
      <c r="A775" s="52"/>
      <c r="B775" s="9"/>
      <c r="C775" s="44" t="s">
        <v>1007</v>
      </c>
      <c r="D775" s="44" t="s">
        <v>818</v>
      </c>
      <c r="E775" s="78">
        <v>1</v>
      </c>
      <c r="F775" s="9"/>
      <c r="G775" s="79">
        <f>SUM(H770:H774)</f>
        <v>7635.63</v>
      </c>
      <c r="H775" s="29">
        <f t="shared" si="14"/>
        <v>7635.63</v>
      </c>
    </row>
    <row r="776" spans="1:8" ht="20.100000000000001" customHeight="1" x14ac:dyDescent="0.25">
      <c r="A776" s="60"/>
      <c r="B776" s="12"/>
      <c r="C776" s="45"/>
      <c r="D776" s="45"/>
      <c r="E776" s="34"/>
      <c r="F776" s="12"/>
      <c r="G776" s="34"/>
      <c r="H776" s="30"/>
    </row>
    <row r="777" spans="1:8" ht="20.100000000000001" customHeight="1" x14ac:dyDescent="0.25">
      <c r="A777" s="52"/>
      <c r="B777" s="9"/>
      <c r="C777" s="44" t="s">
        <v>1008</v>
      </c>
      <c r="D777" s="44" t="s">
        <v>1008</v>
      </c>
      <c r="E777" s="78">
        <v>1</v>
      </c>
      <c r="F777" s="9"/>
      <c r="G777" s="79">
        <f>H762+H769</f>
        <v>23060.68</v>
      </c>
      <c r="H777" s="29">
        <f>ROUND(E777*G777,2)</f>
        <v>23060.68</v>
      </c>
    </row>
    <row r="778" spans="1:8" ht="20.100000000000001" customHeight="1" x14ac:dyDescent="0.25">
      <c r="A778" s="60"/>
      <c r="B778" s="12"/>
      <c r="C778" s="45"/>
      <c r="D778" s="45"/>
      <c r="E778" s="34"/>
      <c r="F778" s="12"/>
      <c r="G778" s="34"/>
      <c r="H778" s="30"/>
    </row>
    <row r="779" spans="1:8" ht="20.100000000000001" customHeight="1" x14ac:dyDescent="0.25">
      <c r="A779" s="52"/>
      <c r="B779" s="9"/>
      <c r="C779" s="44" t="s">
        <v>1009</v>
      </c>
      <c r="D779" s="44" t="s">
        <v>1009</v>
      </c>
      <c r="E779" s="78">
        <v>1</v>
      </c>
      <c r="F779" s="9"/>
      <c r="G779" s="79">
        <f>H716+H729+H743+H761</f>
        <v>834246.05</v>
      </c>
      <c r="H779" s="29">
        <f>ROUND(E779*G779,2)</f>
        <v>834246.05</v>
      </c>
    </row>
    <row r="780" spans="1:8" ht="20.100000000000001" customHeight="1" x14ac:dyDescent="0.25">
      <c r="A780" s="60"/>
      <c r="B780" s="12"/>
      <c r="C780" s="45"/>
      <c r="D780" s="45"/>
      <c r="E780" s="34"/>
      <c r="F780" s="12"/>
      <c r="G780" s="34"/>
      <c r="H780" s="30"/>
    </row>
    <row r="781" spans="1:8" ht="20.100000000000001" customHeight="1" x14ac:dyDescent="0.25">
      <c r="A781" s="52"/>
      <c r="B781" s="9"/>
      <c r="C781" s="44" t="s">
        <v>1010</v>
      </c>
      <c r="D781" s="44" t="s">
        <v>1010</v>
      </c>
      <c r="E781" s="89">
        <v>1</v>
      </c>
      <c r="F781" s="9"/>
      <c r="G781" s="79">
        <f>H8+H37+H607+H715</f>
        <v>1477872.33</v>
      </c>
      <c r="H781" s="29">
        <f>ROUND(E781*G781,2)</f>
        <v>1477872.33</v>
      </c>
    </row>
    <row r="782" spans="1:8" ht="20.100000000000001" customHeight="1" thickBot="1" x14ac:dyDescent="0.3">
      <c r="A782" s="60"/>
      <c r="B782" s="12"/>
      <c r="C782" s="45"/>
      <c r="D782" s="45"/>
      <c r="E782" s="34"/>
      <c r="F782" s="12"/>
      <c r="G782" s="34"/>
      <c r="H782" s="30"/>
    </row>
    <row r="783" spans="1:8" ht="20.100000000000001" customHeight="1" x14ac:dyDescent="0.25">
      <c r="A783" s="56" t="s">
        <v>1011</v>
      </c>
      <c r="B783" s="15" t="s">
        <v>9</v>
      </c>
      <c r="C783" s="40" t="s">
        <v>1012</v>
      </c>
      <c r="D783" s="40" t="s">
        <v>1430</v>
      </c>
      <c r="E783" s="88">
        <f>E795</f>
        <v>1</v>
      </c>
      <c r="F783" s="15" t="s">
        <v>10</v>
      </c>
      <c r="G783" s="75">
        <f>G795</f>
        <v>297600.78000000003</v>
      </c>
      <c r="H783" s="26">
        <f>H795</f>
        <v>297600.78000000003</v>
      </c>
    </row>
    <row r="784" spans="1:8" ht="20.100000000000001" customHeight="1" x14ac:dyDescent="0.25">
      <c r="A784" s="57" t="s">
        <v>1013</v>
      </c>
      <c r="B784" s="16" t="s">
        <v>9</v>
      </c>
      <c r="C784" s="41" t="s">
        <v>1012</v>
      </c>
      <c r="D784" s="41" t="s">
        <v>1430</v>
      </c>
      <c r="E784" s="76">
        <f>E793</f>
        <v>1</v>
      </c>
      <c r="F784" s="16" t="s">
        <v>10</v>
      </c>
      <c r="G784" s="76">
        <f>G793</f>
        <v>297600.78000000003</v>
      </c>
      <c r="H784" s="27">
        <f>H793</f>
        <v>297600.78000000003</v>
      </c>
    </row>
    <row r="785" spans="1:8" ht="20.100000000000001" customHeight="1" x14ac:dyDescent="0.25">
      <c r="A785" s="59" t="s">
        <v>1014</v>
      </c>
      <c r="B785" s="3" t="s">
        <v>17</v>
      </c>
      <c r="C785" s="43" t="s">
        <v>1015</v>
      </c>
      <c r="D785" s="95" t="s">
        <v>1431</v>
      </c>
      <c r="E785" s="78">
        <v>12</v>
      </c>
      <c r="F785" s="3" t="s">
        <v>38</v>
      </c>
      <c r="G785" s="78">
        <v>670.05</v>
      </c>
      <c r="H785" s="20">
        <f t="shared" ref="H785:H793" si="15">ROUND(E785*G785,2)</f>
        <v>8040.6</v>
      </c>
    </row>
    <row r="786" spans="1:8" ht="20.100000000000001" customHeight="1" x14ac:dyDescent="0.25">
      <c r="A786" s="59" t="s">
        <v>1016</v>
      </c>
      <c r="B786" s="3" t="s">
        <v>17</v>
      </c>
      <c r="C786" s="43" t="s">
        <v>1017</v>
      </c>
      <c r="D786" s="6" t="s">
        <v>1432</v>
      </c>
      <c r="E786" s="78">
        <v>1</v>
      </c>
      <c r="F786" s="3" t="s">
        <v>26</v>
      </c>
      <c r="G786" s="78">
        <f>9353.4*0.5</f>
        <v>4676.7</v>
      </c>
      <c r="H786" s="20">
        <f t="shared" si="15"/>
        <v>4676.7</v>
      </c>
    </row>
    <row r="787" spans="1:8" ht="20.100000000000001" customHeight="1" x14ac:dyDescent="0.25">
      <c r="A787" s="59" t="s">
        <v>1018</v>
      </c>
      <c r="B787" s="3" t="s">
        <v>17</v>
      </c>
      <c r="C787" s="43" t="s">
        <v>1019</v>
      </c>
      <c r="D787" s="6" t="s">
        <v>1433</v>
      </c>
      <c r="E787" s="78">
        <v>12</v>
      </c>
      <c r="F787" s="3" t="s">
        <v>38</v>
      </c>
      <c r="G787" s="78">
        <v>877.19</v>
      </c>
      <c r="H787" s="20">
        <f t="shared" si="15"/>
        <v>10526.28</v>
      </c>
    </row>
    <row r="788" spans="1:8" ht="20.100000000000001" customHeight="1" x14ac:dyDescent="0.25">
      <c r="A788" s="59" t="s">
        <v>1020</v>
      </c>
      <c r="B788" s="3" t="s">
        <v>17</v>
      </c>
      <c r="C788" s="43" t="s">
        <v>1021</v>
      </c>
      <c r="D788" s="6" t="s">
        <v>1434</v>
      </c>
      <c r="E788" s="78">
        <v>12</v>
      </c>
      <c r="F788" s="3" t="s">
        <v>38</v>
      </c>
      <c r="G788" s="78">
        <v>695.02</v>
      </c>
      <c r="H788" s="20">
        <f t="shared" si="15"/>
        <v>8340.24</v>
      </c>
    </row>
    <row r="789" spans="1:8" ht="20.100000000000001" customHeight="1" x14ac:dyDescent="0.25">
      <c r="A789" s="59" t="s">
        <v>1022</v>
      </c>
      <c r="B789" s="3" t="s">
        <v>17</v>
      </c>
      <c r="C789" s="43" t="s">
        <v>1024</v>
      </c>
      <c r="D789" s="95" t="s">
        <v>1435</v>
      </c>
      <c r="E789" s="78">
        <v>2</v>
      </c>
      <c r="F789" s="3" t="s">
        <v>1023</v>
      </c>
      <c r="G789" s="78">
        <f>+H781/100</f>
        <v>14778.72</v>
      </c>
      <c r="H789" s="20">
        <f t="shared" si="15"/>
        <v>29557.439999999999</v>
      </c>
    </row>
    <row r="790" spans="1:8" ht="20.100000000000001" customHeight="1" x14ac:dyDescent="0.25">
      <c r="A790" s="59" t="s">
        <v>1025</v>
      </c>
      <c r="B790" s="3" t="s">
        <v>17</v>
      </c>
      <c r="C790" s="43" t="s">
        <v>1026</v>
      </c>
      <c r="D790" s="95" t="s">
        <v>1436</v>
      </c>
      <c r="E790" s="78">
        <v>3</v>
      </c>
      <c r="F790" s="3" t="s">
        <v>1023</v>
      </c>
      <c r="G790" s="78">
        <f>+H781/100</f>
        <v>14778.72</v>
      </c>
      <c r="H790" s="20">
        <f t="shared" si="15"/>
        <v>44336.160000000003</v>
      </c>
    </row>
    <row r="791" spans="1:8" ht="20.100000000000001" customHeight="1" x14ac:dyDescent="0.25">
      <c r="A791" s="59" t="s">
        <v>1027</v>
      </c>
      <c r="B791" s="3" t="s">
        <v>17</v>
      </c>
      <c r="C791" s="43" t="s">
        <v>1028</v>
      </c>
      <c r="D791" s="95" t="s">
        <v>1437</v>
      </c>
      <c r="E791" s="78">
        <v>3</v>
      </c>
      <c r="F791" s="3" t="s">
        <v>1023</v>
      </c>
      <c r="G791" s="78">
        <f>+H781/100</f>
        <v>14778.72</v>
      </c>
      <c r="H791" s="20">
        <f t="shared" si="15"/>
        <v>44336.160000000003</v>
      </c>
    </row>
    <row r="792" spans="1:8" ht="20.100000000000001" customHeight="1" x14ac:dyDescent="0.25">
      <c r="A792" s="59" t="s">
        <v>1029</v>
      </c>
      <c r="B792" s="3" t="s">
        <v>17</v>
      </c>
      <c r="C792" s="43" t="s">
        <v>1030</v>
      </c>
      <c r="D792" s="95" t="s">
        <v>1438</v>
      </c>
      <c r="E792" s="78">
        <v>10</v>
      </c>
      <c r="F792" s="3" t="s">
        <v>1023</v>
      </c>
      <c r="G792" s="78">
        <f>+H781/100</f>
        <v>14778.72</v>
      </c>
      <c r="H792" s="20">
        <f t="shared" si="15"/>
        <v>147787.20000000001</v>
      </c>
    </row>
    <row r="793" spans="1:8" ht="20.100000000000001" customHeight="1" x14ac:dyDescent="0.25">
      <c r="A793" s="52"/>
      <c r="B793" s="9"/>
      <c r="C793" s="44" t="s">
        <v>1031</v>
      </c>
      <c r="D793" s="44"/>
      <c r="E793" s="78">
        <v>1</v>
      </c>
      <c r="F793" s="9"/>
      <c r="G793" s="79">
        <f>SUM(H785:H792)</f>
        <v>297600.78000000003</v>
      </c>
      <c r="H793" s="29">
        <f t="shared" si="15"/>
        <v>297600.78000000003</v>
      </c>
    </row>
    <row r="794" spans="1:8" ht="20.100000000000001" customHeight="1" x14ac:dyDescent="0.25">
      <c r="A794" s="60"/>
      <c r="B794" s="12"/>
      <c r="C794" s="45"/>
      <c r="D794" s="45"/>
      <c r="E794" s="34"/>
      <c r="F794" s="12"/>
      <c r="G794" s="34"/>
      <c r="H794" s="30"/>
    </row>
    <row r="795" spans="1:8" s="8" customFormat="1" ht="20.100000000000001" customHeight="1" x14ac:dyDescent="0.25">
      <c r="A795" s="52"/>
      <c r="B795" s="9"/>
      <c r="C795" s="44" t="s">
        <v>1032</v>
      </c>
      <c r="D795" s="44" t="s">
        <v>1032</v>
      </c>
      <c r="E795" s="89">
        <v>1</v>
      </c>
      <c r="F795" s="9"/>
      <c r="G795" s="79">
        <f>H784</f>
        <v>297600.78000000003</v>
      </c>
      <c r="H795" s="29">
        <f>ROUND(E795*G795,2)</f>
        <v>297600.78000000003</v>
      </c>
    </row>
    <row r="796" spans="1:8" ht="20.100000000000001" customHeight="1" x14ac:dyDescent="0.25">
      <c r="A796" s="60"/>
      <c r="B796" s="12"/>
      <c r="C796" s="45"/>
      <c r="D796" s="45"/>
      <c r="E796" s="34"/>
      <c r="F796" s="12"/>
      <c r="G796" s="34"/>
      <c r="H796" s="30"/>
    </row>
    <row r="797" spans="1:8" ht="20.100000000000001" customHeight="1" thickBot="1" x14ac:dyDescent="0.3">
      <c r="A797" s="59"/>
      <c r="B797" s="3"/>
      <c r="C797" s="95" t="s">
        <v>1439</v>
      </c>
      <c r="D797" s="95" t="s">
        <v>1439</v>
      </c>
      <c r="E797" s="89">
        <f>+(H781+H793)/100</f>
        <v>17755</v>
      </c>
      <c r="F797" s="3" t="s">
        <v>1023</v>
      </c>
      <c r="G797" s="78">
        <v>1.8</v>
      </c>
      <c r="H797" s="20">
        <f>ROUND(E797*G797,2)</f>
        <v>31959</v>
      </c>
    </row>
    <row r="798" spans="1:8" s="8" customFormat="1" ht="20.100000000000001" customHeight="1" thickBot="1" x14ac:dyDescent="0.3">
      <c r="A798" s="67"/>
      <c r="B798" s="68"/>
      <c r="C798" s="69" t="s">
        <v>1033</v>
      </c>
      <c r="D798" s="69"/>
      <c r="E798" s="90">
        <v>1</v>
      </c>
      <c r="F798" s="68"/>
      <c r="G798" s="85">
        <f>H7+H783+H797</f>
        <v>1807432.11</v>
      </c>
      <c r="H798" s="70">
        <f>ROUND(E798*G798,2)</f>
        <v>1807432.11</v>
      </c>
    </row>
    <row r="799" spans="1:8" ht="20.100000000000001" customHeight="1" x14ac:dyDescent="0.25">
      <c r="A799" s="66"/>
      <c r="B799" s="12"/>
      <c r="C799" s="45"/>
      <c r="D799" s="45"/>
      <c r="E799" s="34"/>
      <c r="F799" s="12"/>
      <c r="G799" s="34"/>
      <c r="H799" s="34"/>
    </row>
    <row r="801" spans="3:7" ht="20.100000000000001" customHeight="1" x14ac:dyDescent="0.25">
      <c r="C801" s="1"/>
      <c r="D801" s="1" t="s">
        <v>1459</v>
      </c>
      <c r="E801" s="96">
        <v>972.98</v>
      </c>
      <c r="F801" s="13" t="s">
        <v>1460</v>
      </c>
      <c r="G801" s="2"/>
    </row>
    <row r="802" spans="3:7" ht="20.100000000000001" customHeight="1" x14ac:dyDescent="0.25">
      <c r="C802" s="1"/>
      <c r="D802" s="1" t="s">
        <v>1461</v>
      </c>
      <c r="E802" s="96">
        <f>+H798/E801</f>
        <v>1857.63</v>
      </c>
      <c r="F802" s="13" t="s">
        <v>1462</v>
      </c>
      <c r="G802" s="2"/>
    </row>
  </sheetData>
  <phoneticPr fontId="8" type="noConversion"/>
  <dataValidations disablePrompts="1" count="1">
    <dataValidation type="list" allowBlank="1" showInputMessage="1" showErrorMessage="1" sqref="B7:B799" xr:uid="{EF6DDB95-FF1E-4916-B2FE-6E45EDB38DC2}">
      <formula1>"Capítulo,Partida,Mano de obra,Maquinaria,Material,Otros,Tarea,"</formula1>
    </dataValidation>
  </dataValidations>
  <printOptions gridLines="1"/>
  <pageMargins left="0.70866141732283472" right="0.70866141732283472" top="0.74803149606299213" bottom="0.74803149606299213" header="0.31496062992125984" footer="0.31496062992125984"/>
  <pageSetup paperSize="9" scale="60" fitToWidth="0" orientation="portrait" r:id="rId1"/>
  <rowBreaks count="6" manualBreakCount="6">
    <brk id="283" max="7" man="1"/>
    <brk id="379" max="7" man="1"/>
    <brk id="431" max="7" man="1"/>
    <brk id="657" max="7" man="1"/>
    <brk id="734" max="7" man="1"/>
    <brk id="782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020E-06B5-457E-A7A8-DFC4C89E6907}">
  <dimension ref="A1:M812"/>
  <sheetViews>
    <sheetView topLeftCell="A788" workbookViewId="0">
      <selection activeCell="I798" sqref="I798"/>
    </sheetView>
  </sheetViews>
  <sheetFormatPr defaultColWidth="11.42578125" defaultRowHeight="20.100000000000001" customHeight="1" outlineLevelRow="1" outlineLevelCol="1" x14ac:dyDescent="0.25"/>
  <cols>
    <col min="1" max="1" width="10.28515625" style="50" customWidth="1"/>
    <col min="2" max="2" width="6.7109375" style="13" hidden="1" customWidth="1" outlineLevel="1"/>
    <col min="3" max="3" width="50.85546875" style="50" hidden="1" customWidth="1" outlineLevel="1"/>
    <col min="4" max="4" width="64.5703125" style="50" customWidth="1" collapsed="1"/>
    <col min="5" max="5" width="15.5703125" style="35" customWidth="1"/>
    <col min="6" max="6" width="8.7109375" style="13" customWidth="1"/>
    <col min="7" max="8" width="16.85546875" style="35" customWidth="1"/>
    <col min="9" max="9" width="13.7109375" style="2" bestFit="1" customWidth="1"/>
    <col min="10" max="16384" width="11.42578125" style="2"/>
  </cols>
  <sheetData>
    <row r="1" spans="1:8" ht="20.100000000000001" customHeight="1" x14ac:dyDescent="0.25">
      <c r="A1" s="51"/>
      <c r="B1" s="14"/>
      <c r="C1" s="36"/>
      <c r="D1" s="36"/>
      <c r="E1" s="86" t="s">
        <v>1065</v>
      </c>
      <c r="F1" s="14"/>
      <c r="G1" s="72"/>
      <c r="H1" s="22"/>
    </row>
    <row r="2" spans="1:8" ht="20.100000000000001" customHeight="1" x14ac:dyDescent="0.25">
      <c r="A2" s="52"/>
      <c r="B2" s="9"/>
      <c r="C2" s="37"/>
      <c r="D2" s="37"/>
      <c r="E2" s="87" t="s">
        <v>1066</v>
      </c>
      <c r="F2" s="9"/>
      <c r="G2" s="73"/>
      <c r="H2" s="23"/>
    </row>
    <row r="3" spans="1:8" ht="20.100000000000001" customHeight="1" x14ac:dyDescent="0.25">
      <c r="A3" s="52"/>
      <c r="B3" s="9"/>
      <c r="C3" s="37"/>
      <c r="D3" s="37"/>
      <c r="E3" s="87" t="s">
        <v>1067</v>
      </c>
      <c r="F3" s="9"/>
      <c r="G3" s="73"/>
      <c r="H3" s="23"/>
    </row>
    <row r="4" spans="1:8" ht="20.100000000000001" customHeight="1" x14ac:dyDescent="0.25">
      <c r="A4" s="53" t="s">
        <v>0</v>
      </c>
      <c r="B4" s="9"/>
      <c r="C4" s="37"/>
      <c r="D4" s="37"/>
      <c r="E4" s="73"/>
      <c r="F4" s="9"/>
      <c r="G4" s="73"/>
      <c r="H4" s="23"/>
    </row>
    <row r="5" spans="1:8" ht="20.100000000000001" customHeight="1" thickBot="1" x14ac:dyDescent="0.3">
      <c r="A5" s="54" t="s">
        <v>1034</v>
      </c>
      <c r="B5" s="10"/>
      <c r="C5" s="38"/>
      <c r="D5" s="38"/>
      <c r="E5" s="71"/>
      <c r="F5" s="10"/>
      <c r="G5" s="71"/>
      <c r="H5" s="24"/>
    </row>
    <row r="6" spans="1:8" ht="20.100000000000001" customHeight="1" thickBot="1" x14ac:dyDescent="0.3">
      <c r="A6" s="55" t="s">
        <v>1</v>
      </c>
      <c r="B6" s="11" t="s">
        <v>2</v>
      </c>
      <c r="C6" s="39" t="s">
        <v>4</v>
      </c>
      <c r="D6" s="39" t="s">
        <v>1038</v>
      </c>
      <c r="E6" s="74" t="s">
        <v>5</v>
      </c>
      <c r="F6" s="11" t="s">
        <v>3</v>
      </c>
      <c r="G6" s="74" t="s">
        <v>6</v>
      </c>
      <c r="H6" s="25" t="s">
        <v>7</v>
      </c>
    </row>
    <row r="7" spans="1:8" ht="20.100000000000001" customHeight="1" x14ac:dyDescent="0.25">
      <c r="A7" s="56" t="s">
        <v>8</v>
      </c>
      <c r="B7" s="15" t="s">
        <v>9</v>
      </c>
      <c r="C7" s="40" t="s">
        <v>11</v>
      </c>
      <c r="D7" s="40" t="s">
        <v>1035</v>
      </c>
      <c r="E7" s="88">
        <f>E781</f>
        <v>1</v>
      </c>
      <c r="F7" s="15" t="s">
        <v>10</v>
      </c>
      <c r="G7" s="75">
        <f>G781</f>
        <v>2422882.1</v>
      </c>
      <c r="H7" s="26">
        <f>H781</f>
        <v>2422882.1</v>
      </c>
    </row>
    <row r="8" spans="1:8" ht="20.100000000000001" customHeight="1" x14ac:dyDescent="0.25">
      <c r="A8" s="57" t="s">
        <v>12</v>
      </c>
      <c r="B8" s="16" t="s">
        <v>9</v>
      </c>
      <c r="C8" s="41" t="s">
        <v>13</v>
      </c>
      <c r="D8" s="41" t="s">
        <v>1036</v>
      </c>
      <c r="E8" s="76">
        <f>E35</f>
        <v>1</v>
      </c>
      <c r="F8" s="16" t="s">
        <v>10</v>
      </c>
      <c r="G8" s="76">
        <f>G35</f>
        <v>161713.73000000001</v>
      </c>
      <c r="H8" s="27">
        <f>H35</f>
        <v>161713.73000000001</v>
      </c>
    </row>
    <row r="9" spans="1:8" ht="20.100000000000001" customHeight="1" x14ac:dyDescent="0.25">
      <c r="A9" s="58" t="s">
        <v>14</v>
      </c>
      <c r="B9" s="5" t="s">
        <v>9</v>
      </c>
      <c r="C9" s="42" t="s">
        <v>15</v>
      </c>
      <c r="D9" s="42" t="s">
        <v>1037</v>
      </c>
      <c r="E9" s="77">
        <f>E12</f>
        <v>1</v>
      </c>
      <c r="F9" s="5" t="s">
        <v>10</v>
      </c>
      <c r="G9" s="77">
        <f>G12</f>
        <v>10612.17</v>
      </c>
      <c r="H9" s="28">
        <f>H12</f>
        <v>10612.17</v>
      </c>
    </row>
    <row r="10" spans="1:8" ht="20.100000000000001" customHeight="1" x14ac:dyDescent="0.25">
      <c r="A10" s="59" t="s">
        <v>16</v>
      </c>
      <c r="B10" s="3" t="s">
        <v>17</v>
      </c>
      <c r="C10" s="43" t="s">
        <v>19</v>
      </c>
      <c r="D10" s="43" t="s">
        <v>1039</v>
      </c>
      <c r="E10" s="78">
        <v>2868.89</v>
      </c>
      <c r="F10" s="3" t="s">
        <v>18</v>
      </c>
      <c r="G10" s="78">
        <v>1.96</v>
      </c>
      <c r="H10" s="20">
        <f>ROUND(E10*G10,2)</f>
        <v>5623.02</v>
      </c>
    </row>
    <row r="11" spans="1:8" ht="20.100000000000001" customHeight="1" x14ac:dyDescent="0.25">
      <c r="A11" s="59" t="s">
        <v>20</v>
      </c>
      <c r="B11" s="3" t="s">
        <v>17</v>
      </c>
      <c r="C11" s="43" t="s">
        <v>21</v>
      </c>
      <c r="D11" s="43" t="s">
        <v>1040</v>
      </c>
      <c r="E11" s="78">
        <v>1794.66</v>
      </c>
      <c r="F11" s="3" t="s">
        <v>18</v>
      </c>
      <c r="G11" s="78">
        <v>2.78</v>
      </c>
      <c r="H11" s="20">
        <f>ROUND(E11*G11,2)</f>
        <v>4989.1499999999996</v>
      </c>
    </row>
    <row r="12" spans="1:8" ht="20.100000000000001" customHeight="1" x14ac:dyDescent="0.25">
      <c r="A12" s="52"/>
      <c r="B12" s="9"/>
      <c r="C12" s="44" t="s">
        <v>22</v>
      </c>
      <c r="D12" s="44" t="s">
        <v>22</v>
      </c>
      <c r="E12" s="78">
        <v>1</v>
      </c>
      <c r="F12" s="9"/>
      <c r="G12" s="79">
        <f>SUM(H10:H11)</f>
        <v>10612.17</v>
      </c>
      <c r="H12" s="29">
        <f>ROUND(E12*G12,2)</f>
        <v>10612.17</v>
      </c>
    </row>
    <row r="13" spans="1:8" ht="20.100000000000001" customHeight="1" x14ac:dyDescent="0.25">
      <c r="A13" s="60"/>
      <c r="B13" s="12"/>
      <c r="C13" s="45"/>
      <c r="D13" s="45"/>
      <c r="E13" s="34"/>
      <c r="F13" s="12"/>
      <c r="G13" s="34"/>
      <c r="H13" s="30"/>
    </row>
    <row r="14" spans="1:8" ht="20.100000000000001" customHeight="1" x14ac:dyDescent="0.25">
      <c r="A14" s="58" t="s">
        <v>23</v>
      </c>
      <c r="B14" s="5" t="s">
        <v>9</v>
      </c>
      <c r="C14" s="42" t="s">
        <v>24</v>
      </c>
      <c r="D14" s="42" t="s">
        <v>1043</v>
      </c>
      <c r="E14" s="77">
        <f>E17</f>
        <v>1</v>
      </c>
      <c r="F14" s="5" t="s">
        <v>10</v>
      </c>
      <c r="G14" s="77">
        <f>G17</f>
        <v>5115.58</v>
      </c>
      <c r="H14" s="28">
        <f>H17</f>
        <v>5115.58</v>
      </c>
    </row>
    <row r="15" spans="1:8" ht="20.100000000000001" customHeight="1" x14ac:dyDescent="0.25">
      <c r="A15" s="59" t="s">
        <v>25</v>
      </c>
      <c r="B15" s="3" t="s">
        <v>17</v>
      </c>
      <c r="C15" s="43" t="s">
        <v>27</v>
      </c>
      <c r="D15" s="43" t="s">
        <v>1041</v>
      </c>
      <c r="E15" s="78">
        <v>1</v>
      </c>
      <c r="F15" s="3" t="s">
        <v>26</v>
      </c>
      <c r="G15" s="78">
        <v>3563</v>
      </c>
      <c r="H15" s="20">
        <f>ROUND(E15*G15,2)</f>
        <v>3563</v>
      </c>
    </row>
    <row r="16" spans="1:8" ht="20.100000000000001" customHeight="1" x14ac:dyDescent="0.25">
      <c r="A16" s="59" t="s">
        <v>28</v>
      </c>
      <c r="B16" s="3" t="s">
        <v>17</v>
      </c>
      <c r="C16" s="43" t="s">
        <v>30</v>
      </c>
      <c r="D16" s="43" t="s">
        <v>1042</v>
      </c>
      <c r="E16" s="78">
        <v>176.43</v>
      </c>
      <c r="F16" s="3" t="s">
        <v>29</v>
      </c>
      <c r="G16" s="78">
        <v>8.8000000000000007</v>
      </c>
      <c r="H16" s="20">
        <f>ROUND(E16*G16,2)</f>
        <v>1552.58</v>
      </c>
    </row>
    <row r="17" spans="1:8" ht="20.100000000000001" customHeight="1" x14ac:dyDescent="0.25">
      <c r="A17" s="52"/>
      <c r="B17" s="9"/>
      <c r="C17" s="44" t="s">
        <v>31</v>
      </c>
      <c r="D17" s="44" t="s">
        <v>31</v>
      </c>
      <c r="E17" s="78">
        <v>1</v>
      </c>
      <c r="F17" s="9"/>
      <c r="G17" s="79">
        <f>SUM(H15:H16)</f>
        <v>5115.58</v>
      </c>
      <c r="H17" s="29">
        <f>ROUND(E17*G17,2)</f>
        <v>5115.58</v>
      </c>
    </row>
    <row r="18" spans="1:8" ht="20.100000000000001" customHeight="1" x14ac:dyDescent="0.25">
      <c r="A18" s="60"/>
      <c r="B18" s="12"/>
      <c r="C18" s="45"/>
      <c r="D18" s="45"/>
      <c r="E18" s="34"/>
      <c r="F18" s="12"/>
      <c r="G18" s="34"/>
      <c r="H18" s="30"/>
    </row>
    <row r="19" spans="1:8" ht="20.100000000000001" customHeight="1" x14ac:dyDescent="0.25">
      <c r="A19" s="58" t="s">
        <v>32</v>
      </c>
      <c r="B19" s="5" t="s">
        <v>9</v>
      </c>
      <c r="C19" s="42" t="s">
        <v>33</v>
      </c>
      <c r="D19" s="42" t="s">
        <v>1050</v>
      </c>
      <c r="E19" s="77">
        <f>E23</f>
        <v>1</v>
      </c>
      <c r="F19" s="5" t="s">
        <v>10</v>
      </c>
      <c r="G19" s="77">
        <f>G23</f>
        <v>20725.509999999998</v>
      </c>
      <c r="H19" s="28">
        <f>H23</f>
        <v>20725.509999999998</v>
      </c>
    </row>
    <row r="20" spans="1:8" ht="20.100000000000001" customHeight="1" x14ac:dyDescent="0.25">
      <c r="A20" s="59" t="s">
        <v>34</v>
      </c>
      <c r="B20" s="3" t="s">
        <v>17</v>
      </c>
      <c r="C20" s="43" t="s">
        <v>36</v>
      </c>
      <c r="D20" s="43" t="s">
        <v>1044</v>
      </c>
      <c r="E20" s="78">
        <v>396</v>
      </c>
      <c r="F20" s="3" t="s">
        <v>35</v>
      </c>
      <c r="G20" s="78">
        <v>29.82</v>
      </c>
      <c r="H20" s="20">
        <f>ROUND(E20*G20,2)</f>
        <v>11808.72</v>
      </c>
    </row>
    <row r="21" spans="1:8" ht="20.100000000000001" customHeight="1" x14ac:dyDescent="0.25">
      <c r="A21" s="59" t="s">
        <v>37</v>
      </c>
      <c r="B21" s="3" t="s">
        <v>17</v>
      </c>
      <c r="C21" s="43" t="s">
        <v>39</v>
      </c>
      <c r="D21" s="43" t="s">
        <v>1045</v>
      </c>
      <c r="E21" s="78">
        <v>24</v>
      </c>
      <c r="F21" s="3" t="s">
        <v>38</v>
      </c>
      <c r="G21" s="78">
        <v>197.28</v>
      </c>
      <c r="H21" s="20">
        <f>ROUND(E21*G21,2)</f>
        <v>4734.72</v>
      </c>
    </row>
    <row r="22" spans="1:8" ht="20.100000000000001" customHeight="1" x14ac:dyDescent="0.25">
      <c r="A22" s="59" t="s">
        <v>40</v>
      </c>
      <c r="B22" s="3" t="s">
        <v>17</v>
      </c>
      <c r="C22" s="43" t="s">
        <v>41</v>
      </c>
      <c r="D22" s="43" t="s">
        <v>1046</v>
      </c>
      <c r="E22" s="78">
        <v>1</v>
      </c>
      <c r="F22" s="3" t="s">
        <v>10</v>
      </c>
      <c r="G22" s="78">
        <v>4182.07</v>
      </c>
      <c r="H22" s="20">
        <f>ROUND(E22*G22,2)</f>
        <v>4182.07</v>
      </c>
    </row>
    <row r="23" spans="1:8" ht="20.100000000000001" customHeight="1" x14ac:dyDescent="0.25">
      <c r="A23" s="52"/>
      <c r="B23" s="9"/>
      <c r="C23" s="44" t="s">
        <v>42</v>
      </c>
      <c r="D23" s="44" t="s">
        <v>42</v>
      </c>
      <c r="E23" s="78">
        <v>1</v>
      </c>
      <c r="F23" s="9"/>
      <c r="G23" s="79">
        <f>SUM(H20:H22)</f>
        <v>20725.509999999998</v>
      </c>
      <c r="H23" s="29">
        <f>ROUND(E23*G23,2)</f>
        <v>20725.509999999998</v>
      </c>
    </row>
    <row r="24" spans="1:8" ht="20.100000000000001" customHeight="1" x14ac:dyDescent="0.25">
      <c r="A24" s="60"/>
      <c r="B24" s="12"/>
      <c r="C24" s="45"/>
      <c r="D24" s="45"/>
      <c r="E24" s="34"/>
      <c r="F24" s="12"/>
      <c r="G24" s="34"/>
      <c r="H24" s="30"/>
    </row>
    <row r="25" spans="1:8" ht="20.100000000000001" customHeight="1" x14ac:dyDescent="0.25">
      <c r="A25" s="58" t="s">
        <v>43</v>
      </c>
      <c r="B25" s="5" t="s">
        <v>9</v>
      </c>
      <c r="C25" s="42" t="s">
        <v>44</v>
      </c>
      <c r="D25" s="42" t="s">
        <v>1049</v>
      </c>
      <c r="E25" s="77">
        <f>E28</f>
        <v>1</v>
      </c>
      <c r="F25" s="5" t="s">
        <v>10</v>
      </c>
      <c r="G25" s="77">
        <f>G28</f>
        <v>83956.4</v>
      </c>
      <c r="H25" s="28">
        <f>H28</f>
        <v>83956.4</v>
      </c>
    </row>
    <row r="26" spans="1:8" ht="20.100000000000001" customHeight="1" x14ac:dyDescent="0.25">
      <c r="A26" s="59" t="s">
        <v>45</v>
      </c>
      <c r="B26" s="3" t="s">
        <v>17</v>
      </c>
      <c r="C26" s="43" t="s">
        <v>46</v>
      </c>
      <c r="D26" s="43" t="s">
        <v>1047</v>
      </c>
      <c r="E26" s="78">
        <v>24</v>
      </c>
      <c r="F26" s="3" t="s">
        <v>38</v>
      </c>
      <c r="G26" s="78">
        <v>3325.87</v>
      </c>
      <c r="H26" s="20">
        <f>ROUND(E26*G26,2)</f>
        <v>79820.88</v>
      </c>
    </row>
    <row r="27" spans="1:8" ht="20.100000000000001" customHeight="1" x14ac:dyDescent="0.25">
      <c r="A27" s="59" t="s">
        <v>47</v>
      </c>
      <c r="B27" s="3" t="s">
        <v>17</v>
      </c>
      <c r="C27" s="43" t="s">
        <v>49</v>
      </c>
      <c r="D27" s="43" t="s">
        <v>1048</v>
      </c>
      <c r="E27" s="78">
        <v>559.61</v>
      </c>
      <c r="F27" s="3" t="s">
        <v>48</v>
      </c>
      <c r="G27" s="78">
        <v>7.39</v>
      </c>
      <c r="H27" s="20">
        <f>ROUND(E27*G27,2)</f>
        <v>4135.5200000000004</v>
      </c>
    </row>
    <row r="28" spans="1:8" ht="20.100000000000001" customHeight="1" x14ac:dyDescent="0.25">
      <c r="A28" s="52"/>
      <c r="B28" s="9"/>
      <c r="C28" s="44" t="s">
        <v>50</v>
      </c>
      <c r="D28" s="44" t="s">
        <v>50</v>
      </c>
      <c r="E28" s="78">
        <v>1</v>
      </c>
      <c r="F28" s="9"/>
      <c r="G28" s="79">
        <f>SUM(H26:H27)</f>
        <v>83956.4</v>
      </c>
      <c r="H28" s="29">
        <f>ROUND(E28*G28,2)</f>
        <v>83956.4</v>
      </c>
    </row>
    <row r="29" spans="1:8" ht="20.100000000000001" customHeight="1" x14ac:dyDescent="0.25">
      <c r="A29" s="60"/>
      <c r="B29" s="12"/>
      <c r="C29" s="45"/>
      <c r="D29" s="45"/>
      <c r="E29" s="34"/>
      <c r="F29" s="12"/>
      <c r="G29" s="34"/>
      <c r="H29" s="30"/>
    </row>
    <row r="30" spans="1:8" ht="20.100000000000001" customHeight="1" x14ac:dyDescent="0.25">
      <c r="A30" s="58" t="s">
        <v>51</v>
      </c>
      <c r="B30" s="5" t="s">
        <v>9</v>
      </c>
      <c r="C30" s="42" t="s">
        <v>52</v>
      </c>
      <c r="D30" s="42" t="s">
        <v>1051</v>
      </c>
      <c r="E30" s="77">
        <f>E33</f>
        <v>1</v>
      </c>
      <c r="F30" s="5" t="s">
        <v>10</v>
      </c>
      <c r="G30" s="77">
        <f>G33</f>
        <v>41304.07</v>
      </c>
      <c r="H30" s="28">
        <f>H33</f>
        <v>41304.07</v>
      </c>
    </row>
    <row r="31" spans="1:8" ht="20.100000000000001" customHeight="1" x14ac:dyDescent="0.25">
      <c r="A31" s="59" t="s">
        <v>53</v>
      </c>
      <c r="B31" s="3" t="s">
        <v>17</v>
      </c>
      <c r="C31" s="43" t="s">
        <v>55</v>
      </c>
      <c r="D31" s="43" t="s">
        <v>1063</v>
      </c>
      <c r="E31" s="78">
        <v>977.83</v>
      </c>
      <c r="F31" s="3" t="s">
        <v>54</v>
      </c>
      <c r="G31" s="78">
        <v>27.54</v>
      </c>
      <c r="H31" s="20">
        <f>ROUND(E31*G31,2)</f>
        <v>26929.439999999999</v>
      </c>
    </row>
    <row r="32" spans="1:8" ht="20.100000000000001" customHeight="1" x14ac:dyDescent="0.25">
      <c r="A32" s="59" t="s">
        <v>56</v>
      </c>
      <c r="B32" s="3" t="s">
        <v>17</v>
      </c>
      <c r="C32" s="43" t="s">
        <v>57</v>
      </c>
      <c r="D32" s="43" t="s">
        <v>1064</v>
      </c>
      <c r="E32" s="78">
        <v>760.16</v>
      </c>
      <c r="F32" s="3" t="s">
        <v>54</v>
      </c>
      <c r="G32" s="78">
        <v>18.91</v>
      </c>
      <c r="H32" s="20">
        <f>ROUND(E32*G32,2)</f>
        <v>14374.63</v>
      </c>
    </row>
    <row r="33" spans="1:8" ht="20.100000000000001" customHeight="1" x14ac:dyDescent="0.25">
      <c r="A33" s="52"/>
      <c r="B33" s="9"/>
      <c r="C33" s="44" t="s">
        <v>58</v>
      </c>
      <c r="D33" s="44" t="s">
        <v>58</v>
      </c>
      <c r="E33" s="78">
        <v>1</v>
      </c>
      <c r="F33" s="9"/>
      <c r="G33" s="79">
        <f>SUM(H31:H32)</f>
        <v>41304.07</v>
      </c>
      <c r="H33" s="29">
        <f>ROUND(E33*G33,2)</f>
        <v>41304.07</v>
      </c>
    </row>
    <row r="34" spans="1:8" ht="20.100000000000001" customHeight="1" x14ac:dyDescent="0.25">
      <c r="A34" s="60"/>
      <c r="B34" s="12"/>
      <c r="C34" s="45"/>
      <c r="D34" s="45"/>
      <c r="E34" s="34"/>
      <c r="F34" s="12"/>
      <c r="G34" s="34"/>
      <c r="H34" s="30"/>
    </row>
    <row r="35" spans="1:8" ht="20.100000000000001" customHeight="1" x14ac:dyDescent="0.25">
      <c r="A35" s="52"/>
      <c r="B35" s="9"/>
      <c r="C35" s="44" t="s">
        <v>59</v>
      </c>
      <c r="D35" s="44" t="s">
        <v>59</v>
      </c>
      <c r="E35" s="78">
        <v>1</v>
      </c>
      <c r="F35" s="9"/>
      <c r="G35" s="79">
        <f>H9+H14+H19+H25+H30</f>
        <v>161713.73000000001</v>
      </c>
      <c r="H35" s="29">
        <f>ROUND(E35*G35,2)</f>
        <v>161713.73000000001</v>
      </c>
    </row>
    <row r="36" spans="1:8" ht="20.100000000000001" customHeight="1" x14ac:dyDescent="0.25">
      <c r="A36" s="60"/>
      <c r="B36" s="12"/>
      <c r="C36" s="45"/>
      <c r="D36" s="45"/>
      <c r="E36" s="34"/>
      <c r="F36" s="12"/>
      <c r="G36" s="34"/>
      <c r="H36" s="30"/>
    </row>
    <row r="37" spans="1:8" ht="20.100000000000001" customHeight="1" x14ac:dyDescent="0.25">
      <c r="A37" s="57" t="s">
        <v>60</v>
      </c>
      <c r="B37" s="16" t="s">
        <v>9</v>
      </c>
      <c r="C37" s="41" t="s">
        <v>61</v>
      </c>
      <c r="D37" s="41" t="s">
        <v>1052</v>
      </c>
      <c r="E37" s="76">
        <f>E605</f>
        <v>1</v>
      </c>
      <c r="F37" s="16" t="s">
        <v>10</v>
      </c>
      <c r="G37" s="76">
        <f>G605</f>
        <v>1150525.95</v>
      </c>
      <c r="H37" s="27">
        <f>H605</f>
        <v>1150525.95</v>
      </c>
    </row>
    <row r="38" spans="1:8" ht="20.100000000000001" customHeight="1" x14ac:dyDescent="0.25">
      <c r="A38" s="58" t="s">
        <v>62</v>
      </c>
      <c r="B38" s="5" t="s">
        <v>9</v>
      </c>
      <c r="C38" s="42" t="s">
        <v>63</v>
      </c>
      <c r="D38" s="42" t="s">
        <v>1053</v>
      </c>
      <c r="E38" s="77">
        <f>E221</f>
        <v>1</v>
      </c>
      <c r="F38" s="5" t="s">
        <v>10</v>
      </c>
      <c r="G38" s="77">
        <f>G221</f>
        <v>424351.74</v>
      </c>
      <c r="H38" s="28">
        <f>H221</f>
        <v>424351.74</v>
      </c>
    </row>
    <row r="39" spans="1:8" ht="20.100000000000001" customHeight="1" x14ac:dyDescent="0.25">
      <c r="A39" s="61" t="s">
        <v>64</v>
      </c>
      <c r="B39" s="17" t="s">
        <v>9</v>
      </c>
      <c r="C39" s="46" t="s">
        <v>66</v>
      </c>
      <c r="D39" s="46" t="s">
        <v>1054</v>
      </c>
      <c r="E39" s="80">
        <f>E94</f>
        <v>1</v>
      </c>
      <c r="F39" s="17" t="s">
        <v>65</v>
      </c>
      <c r="G39" s="80">
        <f>G94</f>
        <v>131156.24</v>
      </c>
      <c r="H39" s="31">
        <f>H94</f>
        <v>131156.24</v>
      </c>
    </row>
    <row r="40" spans="1:8" ht="20.100000000000001" customHeight="1" x14ac:dyDescent="0.25">
      <c r="A40" s="62" t="s">
        <v>67</v>
      </c>
      <c r="B40" s="7" t="s">
        <v>9</v>
      </c>
      <c r="C40" s="47" t="s">
        <v>68</v>
      </c>
      <c r="D40" s="47" t="s">
        <v>1055</v>
      </c>
      <c r="E40" s="81">
        <f>E48</f>
        <v>1</v>
      </c>
      <c r="F40" s="7" t="s">
        <v>10</v>
      </c>
      <c r="G40" s="81">
        <f>G48</f>
        <v>37920.06</v>
      </c>
      <c r="H40" s="21">
        <f>H48</f>
        <v>37920.06</v>
      </c>
    </row>
    <row r="41" spans="1:8" ht="20.100000000000001" customHeight="1" x14ac:dyDescent="0.25">
      <c r="A41" s="59" t="s">
        <v>69</v>
      </c>
      <c r="B41" s="3" t="s">
        <v>17</v>
      </c>
      <c r="C41" s="43" t="s">
        <v>71</v>
      </c>
      <c r="D41" s="43" t="s">
        <v>1056</v>
      </c>
      <c r="E41" s="78">
        <v>119.73</v>
      </c>
      <c r="F41" s="3" t="s">
        <v>70</v>
      </c>
      <c r="G41" s="78">
        <v>33.47</v>
      </c>
      <c r="H41" s="20">
        <f t="shared" ref="H41:H48" si="0">ROUND(E41*G41,2)</f>
        <v>4007.36</v>
      </c>
    </row>
    <row r="42" spans="1:8" ht="20.100000000000001" customHeight="1" x14ac:dyDescent="0.25">
      <c r="A42" s="59" t="s">
        <v>72</v>
      </c>
      <c r="B42" s="3" t="s">
        <v>17</v>
      </c>
      <c r="C42" s="43" t="s">
        <v>73</v>
      </c>
      <c r="D42" s="43" t="s">
        <v>1057</v>
      </c>
      <c r="E42" s="78">
        <v>164.25</v>
      </c>
      <c r="F42" s="3" t="s">
        <v>70</v>
      </c>
      <c r="G42" s="78">
        <v>33.47</v>
      </c>
      <c r="H42" s="20">
        <f t="shared" si="0"/>
        <v>5497.45</v>
      </c>
    </row>
    <row r="43" spans="1:8" ht="20.100000000000001" customHeight="1" x14ac:dyDescent="0.25">
      <c r="A43" s="59" t="s">
        <v>74</v>
      </c>
      <c r="B43" s="3" t="s">
        <v>17</v>
      </c>
      <c r="C43" s="43" t="s">
        <v>76</v>
      </c>
      <c r="D43" s="43" t="s">
        <v>1059</v>
      </c>
      <c r="E43" s="78">
        <v>151.58000000000001</v>
      </c>
      <c r="F43" s="3" t="s">
        <v>75</v>
      </c>
      <c r="G43" s="78">
        <v>17.46</v>
      </c>
      <c r="H43" s="20">
        <f t="shared" si="0"/>
        <v>2646.59</v>
      </c>
    </row>
    <row r="44" spans="1:8" ht="20.100000000000001" customHeight="1" x14ac:dyDescent="0.25">
      <c r="A44" s="59" t="s">
        <v>77</v>
      </c>
      <c r="B44" s="3" t="s">
        <v>17</v>
      </c>
      <c r="C44" s="43" t="s">
        <v>78</v>
      </c>
      <c r="D44" s="43" t="s">
        <v>1058</v>
      </c>
      <c r="E44" s="78">
        <v>595.71</v>
      </c>
      <c r="F44" s="3" t="s">
        <v>54</v>
      </c>
      <c r="G44" s="78">
        <v>27.54</v>
      </c>
      <c r="H44" s="20">
        <f t="shared" si="0"/>
        <v>16405.849999999999</v>
      </c>
    </row>
    <row r="45" spans="1:8" ht="20.100000000000001" customHeight="1" x14ac:dyDescent="0.25">
      <c r="A45" s="59" t="s">
        <v>79</v>
      </c>
      <c r="B45" s="3" t="s">
        <v>17</v>
      </c>
      <c r="C45" s="43" t="s">
        <v>81</v>
      </c>
      <c r="D45" s="43" t="s">
        <v>1060</v>
      </c>
      <c r="E45" s="78">
        <v>217.84</v>
      </c>
      <c r="F45" s="3" t="s">
        <v>80</v>
      </c>
      <c r="G45" s="78">
        <v>8.08</v>
      </c>
      <c r="H45" s="20">
        <f t="shared" si="0"/>
        <v>1760.15</v>
      </c>
    </row>
    <row r="46" spans="1:8" ht="20.100000000000001" customHeight="1" x14ac:dyDescent="0.25">
      <c r="A46" s="59" t="s">
        <v>82</v>
      </c>
      <c r="B46" s="3" t="s">
        <v>17</v>
      </c>
      <c r="C46" s="43" t="s">
        <v>83</v>
      </c>
      <c r="D46" s="43" t="s">
        <v>1061</v>
      </c>
      <c r="E46" s="78">
        <v>2273.17</v>
      </c>
      <c r="F46" s="3" t="s">
        <v>18</v>
      </c>
      <c r="G46" s="78">
        <v>2.65</v>
      </c>
      <c r="H46" s="20">
        <f t="shared" si="0"/>
        <v>6023.9</v>
      </c>
    </row>
    <row r="47" spans="1:8" ht="20.100000000000001" customHeight="1" x14ac:dyDescent="0.25">
      <c r="A47" s="59" t="s">
        <v>84</v>
      </c>
      <c r="B47" s="3" t="s">
        <v>17</v>
      </c>
      <c r="C47" s="43" t="s">
        <v>85</v>
      </c>
      <c r="D47" s="43" t="s">
        <v>1062</v>
      </c>
      <c r="E47" s="78">
        <v>595.76</v>
      </c>
      <c r="F47" s="3" t="s">
        <v>18</v>
      </c>
      <c r="G47" s="78">
        <v>2.65</v>
      </c>
      <c r="H47" s="20">
        <f t="shared" si="0"/>
        <v>1578.76</v>
      </c>
    </row>
    <row r="48" spans="1:8" ht="20.100000000000001" customHeight="1" x14ac:dyDescent="0.25">
      <c r="A48" s="52"/>
      <c r="B48" s="9"/>
      <c r="C48" s="44" t="s">
        <v>86</v>
      </c>
      <c r="D48" s="44" t="s">
        <v>86</v>
      </c>
      <c r="E48" s="78">
        <v>1</v>
      </c>
      <c r="F48" s="9"/>
      <c r="G48" s="79">
        <f>SUM(H41:H47)</f>
        <v>37920.06</v>
      </c>
      <c r="H48" s="29">
        <f t="shared" si="0"/>
        <v>37920.06</v>
      </c>
    </row>
    <row r="49" spans="1:8" ht="20.100000000000001" customHeight="1" x14ac:dyDescent="0.25">
      <c r="A49" s="60"/>
      <c r="B49" s="12"/>
      <c r="C49" s="45"/>
      <c r="D49" s="45"/>
      <c r="E49" s="34"/>
      <c r="F49" s="12"/>
      <c r="G49" s="34"/>
      <c r="H49" s="30"/>
    </row>
    <row r="50" spans="1:8" ht="20.100000000000001" customHeight="1" x14ac:dyDescent="0.25">
      <c r="A50" s="62" t="s">
        <v>87</v>
      </c>
      <c r="B50" s="7" t="s">
        <v>9</v>
      </c>
      <c r="C50" s="47" t="s">
        <v>88</v>
      </c>
      <c r="D50" s="47" t="s">
        <v>1150</v>
      </c>
      <c r="E50" s="81">
        <f>E87</f>
        <v>1</v>
      </c>
      <c r="F50" s="7" t="s">
        <v>10</v>
      </c>
      <c r="G50" s="81">
        <f>G87</f>
        <v>61427.93</v>
      </c>
      <c r="H50" s="21">
        <f>H87</f>
        <v>61427.93</v>
      </c>
    </row>
    <row r="51" spans="1:8" ht="20.100000000000001" customHeight="1" x14ac:dyDescent="0.25">
      <c r="A51" s="59" t="s">
        <v>89</v>
      </c>
      <c r="B51" s="3" t="s">
        <v>17</v>
      </c>
      <c r="C51" s="43" t="s">
        <v>90</v>
      </c>
      <c r="D51" s="43" t="s">
        <v>1068</v>
      </c>
      <c r="E51" s="78">
        <v>4.37</v>
      </c>
      <c r="F51" s="3" t="s">
        <v>54</v>
      </c>
      <c r="G51" s="78">
        <v>243.76</v>
      </c>
      <c r="H51" s="20">
        <f t="shared" ref="H51:H87" si="1">ROUND(E51*G51,2)</f>
        <v>1065.23</v>
      </c>
    </row>
    <row r="52" spans="1:8" ht="20.100000000000001" customHeight="1" x14ac:dyDescent="0.25">
      <c r="A52" s="59" t="s">
        <v>91</v>
      </c>
      <c r="B52" s="3" t="s">
        <v>17</v>
      </c>
      <c r="C52" s="43" t="s">
        <v>92</v>
      </c>
      <c r="D52" s="43" t="s">
        <v>1069</v>
      </c>
      <c r="E52" s="78">
        <v>0.78</v>
      </c>
      <c r="F52" s="3" t="s">
        <v>54</v>
      </c>
      <c r="G52" s="78">
        <v>243</v>
      </c>
      <c r="H52" s="20">
        <f t="shared" si="1"/>
        <v>189.54</v>
      </c>
    </row>
    <row r="53" spans="1:8" ht="20.100000000000001" customHeight="1" x14ac:dyDescent="0.25">
      <c r="A53" s="59" t="s">
        <v>93</v>
      </c>
      <c r="B53" s="3" t="s">
        <v>17</v>
      </c>
      <c r="C53" s="43" t="s">
        <v>94</v>
      </c>
      <c r="D53" s="43" t="s">
        <v>1070</v>
      </c>
      <c r="E53" s="78">
        <v>1.6</v>
      </c>
      <c r="F53" s="3" t="s">
        <v>54</v>
      </c>
      <c r="G53" s="78">
        <v>243</v>
      </c>
      <c r="H53" s="20">
        <f t="shared" si="1"/>
        <v>388.8</v>
      </c>
    </row>
    <row r="54" spans="1:8" ht="20.100000000000001" customHeight="1" x14ac:dyDescent="0.25">
      <c r="A54" s="59" t="s">
        <v>95</v>
      </c>
      <c r="B54" s="3" t="s">
        <v>17</v>
      </c>
      <c r="C54" s="43" t="s">
        <v>96</v>
      </c>
      <c r="D54" s="43" t="s">
        <v>1071</v>
      </c>
      <c r="E54" s="78">
        <v>3.74</v>
      </c>
      <c r="F54" s="3" t="s">
        <v>54</v>
      </c>
      <c r="G54" s="78">
        <v>242.25</v>
      </c>
      <c r="H54" s="20">
        <f t="shared" si="1"/>
        <v>906.02</v>
      </c>
    </row>
    <row r="55" spans="1:8" ht="20.100000000000001" customHeight="1" x14ac:dyDescent="0.25">
      <c r="A55" s="59" t="s">
        <v>97</v>
      </c>
      <c r="B55" s="3" t="s">
        <v>17</v>
      </c>
      <c r="C55" s="43" t="s">
        <v>98</v>
      </c>
      <c r="D55" s="43" t="s">
        <v>1072</v>
      </c>
      <c r="E55" s="78">
        <v>2.2000000000000002</v>
      </c>
      <c r="F55" s="3" t="s">
        <v>54</v>
      </c>
      <c r="G55" s="78">
        <v>239.95</v>
      </c>
      <c r="H55" s="20">
        <f t="shared" si="1"/>
        <v>527.89</v>
      </c>
    </row>
    <row r="56" spans="1:8" ht="20.100000000000001" customHeight="1" x14ac:dyDescent="0.25">
      <c r="A56" s="59" t="s">
        <v>99</v>
      </c>
      <c r="B56" s="3" t="s">
        <v>17</v>
      </c>
      <c r="C56" s="43" t="s">
        <v>100</v>
      </c>
      <c r="D56" s="43" t="s">
        <v>1073</v>
      </c>
      <c r="E56" s="78">
        <v>2.2999999999999998</v>
      </c>
      <c r="F56" s="3" t="s">
        <v>54</v>
      </c>
      <c r="G56" s="78">
        <v>278.11</v>
      </c>
      <c r="H56" s="20">
        <f t="shared" si="1"/>
        <v>639.65</v>
      </c>
    </row>
    <row r="57" spans="1:8" ht="20.100000000000001" customHeight="1" x14ac:dyDescent="0.25">
      <c r="A57" s="59" t="s">
        <v>101</v>
      </c>
      <c r="B57" s="3" t="s">
        <v>17</v>
      </c>
      <c r="C57" s="43" t="s">
        <v>102</v>
      </c>
      <c r="D57" s="43" t="s">
        <v>1074</v>
      </c>
      <c r="E57" s="78">
        <v>1.31</v>
      </c>
      <c r="F57" s="3" t="s">
        <v>54</v>
      </c>
      <c r="G57" s="78">
        <v>326.95999999999998</v>
      </c>
      <c r="H57" s="20">
        <f t="shared" si="1"/>
        <v>428.32</v>
      </c>
    </row>
    <row r="58" spans="1:8" ht="20.100000000000001" customHeight="1" x14ac:dyDescent="0.25">
      <c r="A58" s="59" t="s">
        <v>103</v>
      </c>
      <c r="B58" s="3" t="s">
        <v>17</v>
      </c>
      <c r="C58" s="43" t="s">
        <v>104</v>
      </c>
      <c r="D58" s="43" t="s">
        <v>1075</v>
      </c>
      <c r="E58" s="78">
        <v>7.38</v>
      </c>
      <c r="F58" s="3" t="s">
        <v>54</v>
      </c>
      <c r="G58" s="78">
        <v>288.02999999999997</v>
      </c>
      <c r="H58" s="20">
        <f t="shared" si="1"/>
        <v>2125.66</v>
      </c>
    </row>
    <row r="59" spans="1:8" ht="20.100000000000001" customHeight="1" x14ac:dyDescent="0.25">
      <c r="A59" s="59" t="s">
        <v>105</v>
      </c>
      <c r="B59" s="3" t="s">
        <v>17</v>
      </c>
      <c r="C59" s="43" t="s">
        <v>106</v>
      </c>
      <c r="D59" s="43" t="s">
        <v>1076</v>
      </c>
      <c r="E59" s="78">
        <v>1.98</v>
      </c>
      <c r="F59" s="3" t="s">
        <v>54</v>
      </c>
      <c r="G59" s="78">
        <v>234.61</v>
      </c>
      <c r="H59" s="20">
        <f t="shared" si="1"/>
        <v>464.53</v>
      </c>
    </row>
    <row r="60" spans="1:8" ht="20.100000000000001" customHeight="1" x14ac:dyDescent="0.25">
      <c r="A60" s="59" t="s">
        <v>107</v>
      </c>
      <c r="B60" s="3" t="s">
        <v>17</v>
      </c>
      <c r="C60" s="43" t="s">
        <v>108</v>
      </c>
      <c r="D60" s="43" t="s">
        <v>1077</v>
      </c>
      <c r="E60" s="78">
        <v>3.19</v>
      </c>
      <c r="F60" s="3" t="s">
        <v>54</v>
      </c>
      <c r="G60" s="78">
        <v>232.31</v>
      </c>
      <c r="H60" s="20">
        <f t="shared" si="1"/>
        <v>741.07</v>
      </c>
    </row>
    <row r="61" spans="1:8" ht="20.100000000000001" customHeight="1" x14ac:dyDescent="0.25">
      <c r="A61" s="59" t="s">
        <v>109</v>
      </c>
      <c r="B61" s="3" t="s">
        <v>17</v>
      </c>
      <c r="C61" s="43" t="s">
        <v>110</v>
      </c>
      <c r="D61" s="43" t="s">
        <v>1078</v>
      </c>
      <c r="E61" s="78">
        <v>1.94</v>
      </c>
      <c r="F61" s="3" t="s">
        <v>54</v>
      </c>
      <c r="G61" s="78">
        <v>236.19</v>
      </c>
      <c r="H61" s="20">
        <f t="shared" si="1"/>
        <v>458.21</v>
      </c>
    </row>
    <row r="62" spans="1:8" ht="20.100000000000001" customHeight="1" x14ac:dyDescent="0.25">
      <c r="A62" s="59" t="s">
        <v>111</v>
      </c>
      <c r="B62" s="3" t="s">
        <v>17</v>
      </c>
      <c r="C62" s="43" t="s">
        <v>112</v>
      </c>
      <c r="D62" s="43" t="s">
        <v>1079</v>
      </c>
      <c r="E62" s="78">
        <v>2.34</v>
      </c>
      <c r="F62" s="3" t="s">
        <v>54</v>
      </c>
      <c r="G62" s="78">
        <v>238.82</v>
      </c>
      <c r="H62" s="20">
        <f t="shared" si="1"/>
        <v>558.84</v>
      </c>
    </row>
    <row r="63" spans="1:8" ht="20.100000000000001" customHeight="1" x14ac:dyDescent="0.25">
      <c r="A63" s="59" t="s">
        <v>113</v>
      </c>
      <c r="B63" s="3" t="s">
        <v>17</v>
      </c>
      <c r="C63" s="43" t="s">
        <v>114</v>
      </c>
      <c r="D63" s="43" t="s">
        <v>1080</v>
      </c>
      <c r="E63" s="78">
        <v>4.42</v>
      </c>
      <c r="F63" s="3" t="s">
        <v>54</v>
      </c>
      <c r="G63" s="78">
        <v>264.38</v>
      </c>
      <c r="H63" s="20">
        <f t="shared" si="1"/>
        <v>1168.56</v>
      </c>
    </row>
    <row r="64" spans="1:8" ht="20.100000000000001" customHeight="1" x14ac:dyDescent="0.25">
      <c r="A64" s="59" t="s">
        <v>115</v>
      </c>
      <c r="B64" s="3" t="s">
        <v>17</v>
      </c>
      <c r="C64" s="43" t="s">
        <v>116</v>
      </c>
      <c r="D64" s="43" t="s">
        <v>1081</v>
      </c>
      <c r="E64" s="78">
        <v>0.97</v>
      </c>
      <c r="F64" s="3" t="s">
        <v>54</v>
      </c>
      <c r="G64" s="78">
        <v>281.92</v>
      </c>
      <c r="H64" s="20">
        <f t="shared" si="1"/>
        <v>273.45999999999998</v>
      </c>
    </row>
    <row r="65" spans="1:8" ht="20.100000000000001" customHeight="1" x14ac:dyDescent="0.25">
      <c r="A65" s="59" t="s">
        <v>117</v>
      </c>
      <c r="B65" s="3" t="s">
        <v>17</v>
      </c>
      <c r="C65" s="43" t="s">
        <v>118</v>
      </c>
      <c r="D65" s="43" t="s">
        <v>1082</v>
      </c>
      <c r="E65" s="78">
        <v>1.22</v>
      </c>
      <c r="F65" s="3" t="s">
        <v>54</v>
      </c>
      <c r="G65" s="78">
        <v>280.68</v>
      </c>
      <c r="H65" s="20">
        <f t="shared" si="1"/>
        <v>342.43</v>
      </c>
    </row>
    <row r="66" spans="1:8" ht="20.100000000000001" customHeight="1" x14ac:dyDescent="0.25">
      <c r="A66" s="59" t="s">
        <v>119</v>
      </c>
      <c r="B66" s="3" t="s">
        <v>17</v>
      </c>
      <c r="C66" s="43" t="s">
        <v>120</v>
      </c>
      <c r="D66" s="43" t="s">
        <v>1083</v>
      </c>
      <c r="E66" s="78">
        <v>1.44</v>
      </c>
      <c r="F66" s="3" t="s">
        <v>54</v>
      </c>
      <c r="G66" s="78">
        <v>275.82</v>
      </c>
      <c r="H66" s="20">
        <f t="shared" si="1"/>
        <v>397.18</v>
      </c>
    </row>
    <row r="67" spans="1:8" ht="20.100000000000001" customHeight="1" x14ac:dyDescent="0.25">
      <c r="A67" s="59" t="s">
        <v>121</v>
      </c>
      <c r="B67" s="3" t="s">
        <v>17</v>
      </c>
      <c r="C67" s="43" t="s">
        <v>122</v>
      </c>
      <c r="D67" s="43" t="s">
        <v>1084</v>
      </c>
      <c r="E67" s="78">
        <v>41.44</v>
      </c>
      <c r="F67" s="3" t="s">
        <v>54</v>
      </c>
      <c r="G67" s="78">
        <v>227.35</v>
      </c>
      <c r="H67" s="20">
        <f t="shared" si="1"/>
        <v>9421.3799999999992</v>
      </c>
    </row>
    <row r="68" spans="1:8" ht="20.100000000000001" customHeight="1" x14ac:dyDescent="0.25">
      <c r="A68" s="59" t="s">
        <v>123</v>
      </c>
      <c r="B68" s="3" t="s">
        <v>17</v>
      </c>
      <c r="C68" s="43" t="s">
        <v>124</v>
      </c>
      <c r="D68" s="43" t="s">
        <v>1085</v>
      </c>
      <c r="E68" s="78">
        <v>5.27</v>
      </c>
      <c r="F68" s="3" t="s">
        <v>54</v>
      </c>
      <c r="G68" s="78">
        <v>227.35</v>
      </c>
      <c r="H68" s="20">
        <f t="shared" si="1"/>
        <v>1198.1300000000001</v>
      </c>
    </row>
    <row r="69" spans="1:8" ht="20.100000000000001" customHeight="1" x14ac:dyDescent="0.25">
      <c r="A69" s="59" t="s">
        <v>125</v>
      </c>
      <c r="B69" s="3" t="s">
        <v>17</v>
      </c>
      <c r="C69" s="43" t="s">
        <v>126</v>
      </c>
      <c r="D69" s="43" t="s">
        <v>1086</v>
      </c>
      <c r="E69" s="78">
        <v>0.56999999999999995</v>
      </c>
      <c r="F69" s="3" t="s">
        <v>54</v>
      </c>
      <c r="G69" s="78">
        <v>249.04</v>
      </c>
      <c r="H69" s="20">
        <f t="shared" si="1"/>
        <v>141.94999999999999</v>
      </c>
    </row>
    <row r="70" spans="1:8" ht="20.100000000000001" customHeight="1" x14ac:dyDescent="0.25">
      <c r="A70" s="59" t="s">
        <v>127</v>
      </c>
      <c r="B70" s="3" t="s">
        <v>17</v>
      </c>
      <c r="C70" s="43" t="s">
        <v>128</v>
      </c>
      <c r="D70" s="43" t="s">
        <v>1087</v>
      </c>
      <c r="E70" s="78">
        <v>3.58</v>
      </c>
      <c r="F70" s="3" t="s">
        <v>54</v>
      </c>
      <c r="G70" s="78">
        <v>869.71</v>
      </c>
      <c r="H70" s="20">
        <f t="shared" si="1"/>
        <v>3113.56</v>
      </c>
    </row>
    <row r="71" spans="1:8" ht="20.100000000000001" customHeight="1" x14ac:dyDescent="0.25">
      <c r="A71" s="59" t="s">
        <v>129</v>
      </c>
      <c r="B71" s="3" t="s">
        <v>17</v>
      </c>
      <c r="C71" s="43" t="s">
        <v>130</v>
      </c>
      <c r="D71" s="43" t="s">
        <v>1088</v>
      </c>
      <c r="E71" s="78">
        <v>0.54</v>
      </c>
      <c r="F71" s="3" t="s">
        <v>54</v>
      </c>
      <c r="G71" s="78">
        <v>763.31</v>
      </c>
      <c r="H71" s="20">
        <f t="shared" si="1"/>
        <v>412.19</v>
      </c>
    </row>
    <row r="72" spans="1:8" ht="20.100000000000001" customHeight="1" x14ac:dyDescent="0.25">
      <c r="A72" s="59" t="s">
        <v>131</v>
      </c>
      <c r="B72" s="3" t="s">
        <v>17</v>
      </c>
      <c r="C72" s="43" t="s">
        <v>132</v>
      </c>
      <c r="D72" s="43" t="s">
        <v>1089</v>
      </c>
      <c r="E72" s="78">
        <v>0.81</v>
      </c>
      <c r="F72" s="3" t="s">
        <v>54</v>
      </c>
      <c r="G72" s="78">
        <v>771.01</v>
      </c>
      <c r="H72" s="20">
        <f t="shared" si="1"/>
        <v>624.52</v>
      </c>
    </row>
    <row r="73" spans="1:8" ht="20.100000000000001" customHeight="1" x14ac:dyDescent="0.25">
      <c r="A73" s="59" t="s">
        <v>133</v>
      </c>
      <c r="B73" s="3" t="s">
        <v>17</v>
      </c>
      <c r="C73" s="43" t="s">
        <v>134</v>
      </c>
      <c r="D73" s="43" t="s">
        <v>1090</v>
      </c>
      <c r="E73" s="78">
        <v>0.68</v>
      </c>
      <c r="F73" s="3" t="s">
        <v>54</v>
      </c>
      <c r="G73" s="78">
        <v>701.85</v>
      </c>
      <c r="H73" s="20">
        <f t="shared" si="1"/>
        <v>477.26</v>
      </c>
    </row>
    <row r="74" spans="1:8" ht="20.100000000000001" customHeight="1" x14ac:dyDescent="0.25">
      <c r="A74" s="59" t="s">
        <v>135</v>
      </c>
      <c r="B74" s="3" t="s">
        <v>17</v>
      </c>
      <c r="C74" s="43" t="s">
        <v>136</v>
      </c>
      <c r="D74" s="43" t="s">
        <v>1091</v>
      </c>
      <c r="E74" s="78">
        <v>0.98</v>
      </c>
      <c r="F74" s="3" t="s">
        <v>54</v>
      </c>
      <c r="G74" s="78">
        <v>879.79</v>
      </c>
      <c r="H74" s="20">
        <f t="shared" si="1"/>
        <v>862.19</v>
      </c>
    </row>
    <row r="75" spans="1:8" ht="20.100000000000001" customHeight="1" x14ac:dyDescent="0.25">
      <c r="A75" s="59" t="s">
        <v>137</v>
      </c>
      <c r="B75" s="3" t="s">
        <v>17</v>
      </c>
      <c r="C75" s="43" t="s">
        <v>138</v>
      </c>
      <c r="D75" s="43" t="s">
        <v>1092</v>
      </c>
      <c r="E75" s="78">
        <v>0.34</v>
      </c>
      <c r="F75" s="3" t="s">
        <v>54</v>
      </c>
      <c r="G75" s="78">
        <v>761.64</v>
      </c>
      <c r="H75" s="20">
        <f t="shared" si="1"/>
        <v>258.95999999999998</v>
      </c>
    </row>
    <row r="76" spans="1:8" ht="20.100000000000001" customHeight="1" x14ac:dyDescent="0.25">
      <c r="A76" s="59" t="s">
        <v>139</v>
      </c>
      <c r="B76" s="3" t="s">
        <v>17</v>
      </c>
      <c r="C76" s="43" t="s">
        <v>140</v>
      </c>
      <c r="D76" s="43" t="s">
        <v>1093</v>
      </c>
      <c r="E76" s="78">
        <v>0.68</v>
      </c>
      <c r="F76" s="3" t="s">
        <v>54</v>
      </c>
      <c r="G76" s="78">
        <v>701.85</v>
      </c>
      <c r="H76" s="20">
        <f t="shared" si="1"/>
        <v>477.26</v>
      </c>
    </row>
    <row r="77" spans="1:8" ht="20.100000000000001" customHeight="1" x14ac:dyDescent="0.25">
      <c r="A77" s="59" t="s">
        <v>141</v>
      </c>
      <c r="B77" s="3" t="s">
        <v>17</v>
      </c>
      <c r="C77" s="43" t="s">
        <v>142</v>
      </c>
      <c r="D77" s="43" t="s">
        <v>1094</v>
      </c>
      <c r="E77" s="78">
        <v>2.79</v>
      </c>
      <c r="F77" s="3" t="s">
        <v>54</v>
      </c>
      <c r="G77" s="78">
        <v>763.38</v>
      </c>
      <c r="H77" s="20">
        <f t="shared" si="1"/>
        <v>2129.83</v>
      </c>
    </row>
    <row r="78" spans="1:8" ht="20.100000000000001" customHeight="1" x14ac:dyDescent="0.25">
      <c r="A78" s="59" t="s">
        <v>143</v>
      </c>
      <c r="B78" s="3" t="s">
        <v>17</v>
      </c>
      <c r="C78" s="43" t="s">
        <v>144</v>
      </c>
      <c r="D78" s="43" t="s">
        <v>1095</v>
      </c>
      <c r="E78" s="78">
        <v>3.24</v>
      </c>
      <c r="F78" s="3" t="s">
        <v>54</v>
      </c>
      <c r="G78" s="78">
        <v>658.41</v>
      </c>
      <c r="H78" s="20">
        <f t="shared" si="1"/>
        <v>2133.25</v>
      </c>
    </row>
    <row r="79" spans="1:8" ht="20.100000000000001" customHeight="1" x14ac:dyDescent="0.25">
      <c r="A79" s="59" t="s">
        <v>145</v>
      </c>
      <c r="B79" s="3" t="s">
        <v>17</v>
      </c>
      <c r="C79" s="43" t="s">
        <v>146</v>
      </c>
      <c r="D79" s="43" t="s">
        <v>1096</v>
      </c>
      <c r="E79" s="78">
        <v>1.35</v>
      </c>
      <c r="F79" s="3" t="s">
        <v>54</v>
      </c>
      <c r="G79" s="78">
        <v>694.32</v>
      </c>
      <c r="H79" s="20">
        <f t="shared" si="1"/>
        <v>937.33</v>
      </c>
    </row>
    <row r="80" spans="1:8" ht="39.950000000000003" customHeight="1" x14ac:dyDescent="0.25">
      <c r="A80" s="59" t="s">
        <v>147</v>
      </c>
      <c r="B80" s="3" t="s">
        <v>17</v>
      </c>
      <c r="C80" s="43" t="s">
        <v>148</v>
      </c>
      <c r="D80" s="43" t="s">
        <v>1097</v>
      </c>
      <c r="E80" s="78">
        <v>2.93</v>
      </c>
      <c r="F80" s="3" t="s">
        <v>54</v>
      </c>
      <c r="G80" s="78">
        <v>950.17</v>
      </c>
      <c r="H80" s="20">
        <f t="shared" si="1"/>
        <v>2784</v>
      </c>
    </row>
    <row r="81" spans="1:8" ht="20.100000000000001" customHeight="1" x14ac:dyDescent="0.25">
      <c r="A81" s="59" t="s">
        <v>149</v>
      </c>
      <c r="B81" s="3" t="s">
        <v>17</v>
      </c>
      <c r="C81" s="43" t="s">
        <v>150</v>
      </c>
      <c r="D81" s="43" t="s">
        <v>1098</v>
      </c>
      <c r="E81" s="78">
        <v>1.22</v>
      </c>
      <c r="F81" s="3" t="s">
        <v>54</v>
      </c>
      <c r="G81" s="78">
        <v>588.64</v>
      </c>
      <c r="H81" s="20">
        <f t="shared" si="1"/>
        <v>718.14</v>
      </c>
    </row>
    <row r="82" spans="1:8" ht="20.100000000000001" customHeight="1" x14ac:dyDescent="0.25">
      <c r="A82" s="59" t="s">
        <v>151</v>
      </c>
      <c r="B82" s="3" t="s">
        <v>17</v>
      </c>
      <c r="C82" s="43" t="s">
        <v>152</v>
      </c>
      <c r="D82" s="43" t="s">
        <v>1099</v>
      </c>
      <c r="E82" s="78">
        <v>0.68</v>
      </c>
      <c r="F82" s="3" t="s">
        <v>54</v>
      </c>
      <c r="G82" s="78">
        <v>553.72</v>
      </c>
      <c r="H82" s="20">
        <f t="shared" si="1"/>
        <v>376.53</v>
      </c>
    </row>
    <row r="83" spans="1:8" ht="20.100000000000001" customHeight="1" x14ac:dyDescent="0.25">
      <c r="A83" s="59" t="s">
        <v>153</v>
      </c>
      <c r="B83" s="3" t="s">
        <v>17</v>
      </c>
      <c r="C83" s="43" t="s">
        <v>155</v>
      </c>
      <c r="D83" s="43" t="s">
        <v>1100</v>
      </c>
      <c r="E83" s="78">
        <v>43</v>
      </c>
      <c r="F83" s="3" t="s">
        <v>154</v>
      </c>
      <c r="G83" s="78">
        <v>37.68</v>
      </c>
      <c r="H83" s="20">
        <f t="shared" si="1"/>
        <v>1620.24</v>
      </c>
    </row>
    <row r="84" spans="1:8" ht="20.100000000000001" customHeight="1" x14ac:dyDescent="0.25">
      <c r="A84" s="59" t="s">
        <v>156</v>
      </c>
      <c r="B84" s="3" t="s">
        <v>17</v>
      </c>
      <c r="C84" s="43" t="s">
        <v>157</v>
      </c>
      <c r="D84" s="43" t="s">
        <v>1101</v>
      </c>
      <c r="E84" s="78">
        <v>1.07</v>
      </c>
      <c r="F84" s="3" t="s">
        <v>54</v>
      </c>
      <c r="G84" s="78">
        <v>762.71</v>
      </c>
      <c r="H84" s="20">
        <f t="shared" si="1"/>
        <v>816.1</v>
      </c>
    </row>
    <row r="85" spans="1:8" ht="20.100000000000001" customHeight="1" x14ac:dyDescent="0.25">
      <c r="A85" s="59" t="s">
        <v>158</v>
      </c>
      <c r="B85" s="3" t="s">
        <v>17</v>
      </c>
      <c r="C85" s="43" t="s">
        <v>159</v>
      </c>
      <c r="D85" s="43" t="s">
        <v>1102</v>
      </c>
      <c r="E85" s="78">
        <v>11.54</v>
      </c>
      <c r="F85" s="3" t="s">
        <v>54</v>
      </c>
      <c r="G85" s="78">
        <v>685.01</v>
      </c>
      <c r="H85" s="20">
        <f t="shared" si="1"/>
        <v>7905.02</v>
      </c>
    </row>
    <row r="86" spans="1:8" ht="20.100000000000001" customHeight="1" x14ac:dyDescent="0.25">
      <c r="A86" s="59" t="s">
        <v>160</v>
      </c>
      <c r="B86" s="3" t="s">
        <v>17</v>
      </c>
      <c r="C86" s="43" t="s">
        <v>161</v>
      </c>
      <c r="D86" s="43" t="s">
        <v>1103</v>
      </c>
      <c r="E86" s="78">
        <v>595.71</v>
      </c>
      <c r="F86" s="3" t="s">
        <v>18</v>
      </c>
      <c r="G86" s="78">
        <v>24.08</v>
      </c>
      <c r="H86" s="20">
        <f t="shared" si="1"/>
        <v>14344.7</v>
      </c>
    </row>
    <row r="87" spans="1:8" ht="20.100000000000001" customHeight="1" x14ac:dyDescent="0.25">
      <c r="A87" s="52"/>
      <c r="B87" s="9"/>
      <c r="C87" s="44" t="s">
        <v>162</v>
      </c>
      <c r="D87" s="44" t="s">
        <v>162</v>
      </c>
      <c r="E87" s="78">
        <v>1</v>
      </c>
      <c r="F87" s="9"/>
      <c r="G87" s="79">
        <f>SUM(H51:H86)</f>
        <v>61427.93</v>
      </c>
      <c r="H87" s="29">
        <f t="shared" si="1"/>
        <v>61427.93</v>
      </c>
    </row>
    <row r="88" spans="1:8" ht="20.100000000000001" customHeight="1" x14ac:dyDescent="0.25">
      <c r="A88" s="60"/>
      <c r="B88" s="12"/>
      <c r="C88" s="45"/>
      <c r="D88" s="45"/>
      <c r="E88" s="34"/>
      <c r="F88" s="12"/>
      <c r="G88" s="34"/>
      <c r="H88" s="30"/>
    </row>
    <row r="89" spans="1:8" ht="20.100000000000001" customHeight="1" x14ac:dyDescent="0.25">
      <c r="A89" s="62" t="s">
        <v>163</v>
      </c>
      <c r="B89" s="7" t="s">
        <v>9</v>
      </c>
      <c r="C89" s="47" t="s">
        <v>164</v>
      </c>
      <c r="D89" s="47" t="s">
        <v>1151</v>
      </c>
      <c r="E89" s="81">
        <f>E92</f>
        <v>1</v>
      </c>
      <c r="F89" s="7" t="s">
        <v>10</v>
      </c>
      <c r="G89" s="81">
        <f>G92</f>
        <v>31808.25</v>
      </c>
      <c r="H89" s="21">
        <f>H92</f>
        <v>31808.25</v>
      </c>
    </row>
    <row r="90" spans="1:8" ht="20.100000000000001" customHeight="1" x14ac:dyDescent="0.25">
      <c r="A90" s="59" t="s">
        <v>165</v>
      </c>
      <c r="B90" s="3" t="s">
        <v>17</v>
      </c>
      <c r="C90" s="43" t="s">
        <v>166</v>
      </c>
      <c r="D90" s="43" t="s">
        <v>1104</v>
      </c>
      <c r="E90" s="78">
        <v>76.56</v>
      </c>
      <c r="F90" s="3" t="s">
        <v>18</v>
      </c>
      <c r="G90" s="78">
        <v>40.200000000000003</v>
      </c>
      <c r="H90" s="20">
        <f>ROUND(E90*G90,2)</f>
        <v>3077.71</v>
      </c>
    </row>
    <row r="91" spans="1:8" ht="20.100000000000001" customHeight="1" x14ac:dyDescent="0.25">
      <c r="A91" s="59" t="s">
        <v>167</v>
      </c>
      <c r="B91" s="3" t="s">
        <v>17</v>
      </c>
      <c r="C91" s="43" t="s">
        <v>168</v>
      </c>
      <c r="D91" s="43" t="s">
        <v>1105</v>
      </c>
      <c r="E91" s="78">
        <v>620.53</v>
      </c>
      <c r="F91" s="3" t="s">
        <v>18</v>
      </c>
      <c r="G91" s="78">
        <v>46.3</v>
      </c>
      <c r="H91" s="20">
        <f>ROUND(E91*G91,2)</f>
        <v>28730.54</v>
      </c>
    </row>
    <row r="92" spans="1:8" ht="20.100000000000001" customHeight="1" x14ac:dyDescent="0.25">
      <c r="A92" s="52"/>
      <c r="B92" s="9"/>
      <c r="C92" s="44" t="s">
        <v>169</v>
      </c>
      <c r="D92" s="44" t="s">
        <v>169</v>
      </c>
      <c r="E92" s="78">
        <v>1</v>
      </c>
      <c r="F92" s="9"/>
      <c r="G92" s="79">
        <f>SUM(H90:H91)</f>
        <v>31808.25</v>
      </c>
      <c r="H92" s="29">
        <f>ROUND(E92*G92,2)</f>
        <v>31808.25</v>
      </c>
    </row>
    <row r="93" spans="1:8" ht="20.100000000000001" customHeight="1" x14ac:dyDescent="0.25">
      <c r="A93" s="60"/>
      <c r="B93" s="12"/>
      <c r="C93" s="45"/>
      <c r="D93" s="45"/>
      <c r="E93" s="34"/>
      <c r="F93" s="12"/>
      <c r="G93" s="34"/>
      <c r="H93" s="30"/>
    </row>
    <row r="94" spans="1:8" ht="20.100000000000001" customHeight="1" x14ac:dyDescent="0.25">
      <c r="A94" s="52"/>
      <c r="B94" s="9"/>
      <c r="C94" s="44" t="s">
        <v>170</v>
      </c>
      <c r="D94" s="44"/>
      <c r="E94" s="78">
        <v>1</v>
      </c>
      <c r="F94" s="9"/>
      <c r="G94" s="79">
        <f>H40+H50+H89</f>
        <v>131156.24</v>
      </c>
      <c r="H94" s="29">
        <f>ROUND(E94*G94,2)</f>
        <v>131156.24</v>
      </c>
    </row>
    <row r="95" spans="1:8" ht="20.100000000000001" customHeight="1" x14ac:dyDescent="0.25">
      <c r="A95" s="60"/>
      <c r="B95" s="12"/>
      <c r="C95" s="45"/>
      <c r="D95" s="45"/>
      <c r="E95" s="34"/>
      <c r="F95" s="12"/>
      <c r="G95" s="34"/>
      <c r="H95" s="30"/>
    </row>
    <row r="96" spans="1:8" ht="20.100000000000001" customHeight="1" x14ac:dyDescent="0.25">
      <c r="A96" s="61" t="s">
        <v>171</v>
      </c>
      <c r="B96" s="17" t="s">
        <v>9</v>
      </c>
      <c r="C96" s="46" t="s">
        <v>172</v>
      </c>
      <c r="D96" s="46" t="s">
        <v>1152</v>
      </c>
      <c r="E96" s="80">
        <f>E166</f>
        <v>1</v>
      </c>
      <c r="F96" s="17" t="s">
        <v>65</v>
      </c>
      <c r="G96" s="80">
        <f>G166</f>
        <v>164745.03</v>
      </c>
      <c r="H96" s="31">
        <f>H166</f>
        <v>164745.03</v>
      </c>
    </row>
    <row r="97" spans="1:8" ht="20.100000000000001" customHeight="1" x14ac:dyDescent="0.25">
      <c r="A97" s="62" t="s">
        <v>173</v>
      </c>
      <c r="B97" s="7" t="s">
        <v>9</v>
      </c>
      <c r="C97" s="47" t="s">
        <v>88</v>
      </c>
      <c r="D97" s="47" t="s">
        <v>1150</v>
      </c>
      <c r="E97" s="81">
        <f>E157</f>
        <v>1</v>
      </c>
      <c r="F97" s="7" t="s">
        <v>10</v>
      </c>
      <c r="G97" s="81">
        <f>G157</f>
        <v>129656.55</v>
      </c>
      <c r="H97" s="21">
        <f>H157</f>
        <v>129656.55</v>
      </c>
    </row>
    <row r="98" spans="1:8" ht="20.100000000000001" customHeight="1" x14ac:dyDescent="0.25">
      <c r="A98" s="59" t="s">
        <v>174</v>
      </c>
      <c r="B98" s="3" t="s">
        <v>17</v>
      </c>
      <c r="C98" s="43" t="s">
        <v>128</v>
      </c>
      <c r="D98" s="43" t="s">
        <v>1087</v>
      </c>
      <c r="E98" s="78">
        <v>2.4500000000000002</v>
      </c>
      <c r="F98" s="3" t="s">
        <v>54</v>
      </c>
      <c r="G98" s="78">
        <v>784.73</v>
      </c>
      <c r="H98" s="20">
        <f t="shared" ref="H98:H129" si="2">ROUND(E98*G98,2)</f>
        <v>1922.59</v>
      </c>
    </row>
    <row r="99" spans="1:8" ht="20.100000000000001" customHeight="1" x14ac:dyDescent="0.25">
      <c r="A99" s="59" t="s">
        <v>175</v>
      </c>
      <c r="B99" s="3" t="s">
        <v>17</v>
      </c>
      <c r="C99" s="43" t="s">
        <v>176</v>
      </c>
      <c r="D99" s="43" t="s">
        <v>1106</v>
      </c>
      <c r="E99" s="78">
        <v>4.66</v>
      </c>
      <c r="F99" s="3" t="s">
        <v>54</v>
      </c>
      <c r="G99" s="78">
        <v>784.73</v>
      </c>
      <c r="H99" s="20">
        <f t="shared" si="2"/>
        <v>3656.84</v>
      </c>
    </row>
    <row r="100" spans="1:8" ht="20.100000000000001" customHeight="1" x14ac:dyDescent="0.25">
      <c r="A100" s="59" t="s">
        <v>177</v>
      </c>
      <c r="B100" s="3" t="s">
        <v>17</v>
      </c>
      <c r="C100" s="43" t="s">
        <v>130</v>
      </c>
      <c r="D100" s="43" t="s">
        <v>1088</v>
      </c>
      <c r="E100" s="78">
        <v>0.96</v>
      </c>
      <c r="F100" s="3" t="s">
        <v>54</v>
      </c>
      <c r="G100" s="78">
        <v>715.37</v>
      </c>
      <c r="H100" s="20">
        <f t="shared" si="2"/>
        <v>686.76</v>
      </c>
    </row>
    <row r="101" spans="1:8" ht="20.100000000000001" customHeight="1" x14ac:dyDescent="0.25">
      <c r="A101" s="59" t="s">
        <v>178</v>
      </c>
      <c r="B101" s="3" t="s">
        <v>17</v>
      </c>
      <c r="C101" s="43" t="s">
        <v>132</v>
      </c>
      <c r="D101" s="43" t="s">
        <v>1089</v>
      </c>
      <c r="E101" s="78">
        <v>1.44</v>
      </c>
      <c r="F101" s="3" t="s">
        <v>54</v>
      </c>
      <c r="G101" s="78">
        <v>719.13</v>
      </c>
      <c r="H101" s="20">
        <f t="shared" si="2"/>
        <v>1035.55</v>
      </c>
    </row>
    <row r="102" spans="1:8" ht="20.100000000000001" customHeight="1" x14ac:dyDescent="0.25">
      <c r="A102" s="59" t="s">
        <v>179</v>
      </c>
      <c r="B102" s="3" t="s">
        <v>17</v>
      </c>
      <c r="C102" s="43" t="s">
        <v>134</v>
      </c>
      <c r="D102" s="43" t="s">
        <v>1090</v>
      </c>
      <c r="E102" s="78">
        <v>1.2</v>
      </c>
      <c r="F102" s="3" t="s">
        <v>54</v>
      </c>
      <c r="G102" s="78">
        <v>655.98</v>
      </c>
      <c r="H102" s="20">
        <f t="shared" si="2"/>
        <v>787.18</v>
      </c>
    </row>
    <row r="103" spans="1:8" ht="20.100000000000001" customHeight="1" x14ac:dyDescent="0.25">
      <c r="A103" s="59" t="s">
        <v>180</v>
      </c>
      <c r="B103" s="3" t="s">
        <v>17</v>
      </c>
      <c r="C103" s="43" t="s">
        <v>136</v>
      </c>
      <c r="D103" s="43" t="s">
        <v>1091</v>
      </c>
      <c r="E103" s="78">
        <v>1.75</v>
      </c>
      <c r="F103" s="3" t="s">
        <v>54</v>
      </c>
      <c r="G103" s="78">
        <v>806.1</v>
      </c>
      <c r="H103" s="20">
        <f t="shared" si="2"/>
        <v>1410.68</v>
      </c>
    </row>
    <row r="104" spans="1:8" ht="20.100000000000001" customHeight="1" x14ac:dyDescent="0.25">
      <c r="A104" s="59" t="s">
        <v>181</v>
      </c>
      <c r="B104" s="3" t="s">
        <v>17</v>
      </c>
      <c r="C104" s="43" t="s">
        <v>138</v>
      </c>
      <c r="D104" s="43" t="s">
        <v>1092</v>
      </c>
      <c r="E104" s="78">
        <v>0.6</v>
      </c>
      <c r="F104" s="3" t="s">
        <v>54</v>
      </c>
      <c r="G104" s="78">
        <v>696.37</v>
      </c>
      <c r="H104" s="20">
        <f t="shared" si="2"/>
        <v>417.82</v>
      </c>
    </row>
    <row r="105" spans="1:8" ht="20.100000000000001" customHeight="1" x14ac:dyDescent="0.25">
      <c r="A105" s="59" t="s">
        <v>182</v>
      </c>
      <c r="B105" s="3" t="s">
        <v>17</v>
      </c>
      <c r="C105" s="43" t="s">
        <v>140</v>
      </c>
      <c r="D105" s="43" t="s">
        <v>1093</v>
      </c>
      <c r="E105" s="78">
        <v>1.2</v>
      </c>
      <c r="F105" s="3" t="s">
        <v>54</v>
      </c>
      <c r="G105" s="78">
        <v>655.98</v>
      </c>
      <c r="H105" s="20">
        <f t="shared" si="2"/>
        <v>787.18</v>
      </c>
    </row>
    <row r="106" spans="1:8" ht="20.100000000000001" customHeight="1" x14ac:dyDescent="0.25">
      <c r="A106" s="59" t="s">
        <v>183</v>
      </c>
      <c r="B106" s="3" t="s">
        <v>17</v>
      </c>
      <c r="C106" s="43" t="s">
        <v>142</v>
      </c>
      <c r="D106" s="43" t="s">
        <v>1094</v>
      </c>
      <c r="E106" s="78">
        <v>4.96</v>
      </c>
      <c r="F106" s="3" t="s">
        <v>54</v>
      </c>
      <c r="G106" s="78">
        <v>716.49</v>
      </c>
      <c r="H106" s="20">
        <f t="shared" si="2"/>
        <v>3553.79</v>
      </c>
    </row>
    <row r="107" spans="1:8" ht="20.100000000000001" customHeight="1" x14ac:dyDescent="0.25">
      <c r="A107" s="59" t="s">
        <v>184</v>
      </c>
      <c r="B107" s="3" t="s">
        <v>17</v>
      </c>
      <c r="C107" s="43" t="s">
        <v>144</v>
      </c>
      <c r="D107" s="43" t="s">
        <v>1095</v>
      </c>
      <c r="E107" s="78">
        <v>5.76</v>
      </c>
      <c r="F107" s="3" t="s">
        <v>54</v>
      </c>
      <c r="G107" s="78">
        <v>608.61</v>
      </c>
      <c r="H107" s="20">
        <f t="shared" si="2"/>
        <v>3505.59</v>
      </c>
    </row>
    <row r="108" spans="1:8" ht="20.100000000000001" customHeight="1" x14ac:dyDescent="0.25">
      <c r="A108" s="59" t="s">
        <v>185</v>
      </c>
      <c r="B108" s="3" t="s">
        <v>17</v>
      </c>
      <c r="C108" s="43" t="s">
        <v>146</v>
      </c>
      <c r="D108" s="43" t="s">
        <v>1096</v>
      </c>
      <c r="E108" s="78">
        <v>2.4</v>
      </c>
      <c r="F108" s="3" t="s">
        <v>54</v>
      </c>
      <c r="G108" s="78">
        <v>638.67999999999995</v>
      </c>
      <c r="H108" s="20">
        <f t="shared" si="2"/>
        <v>1532.83</v>
      </c>
    </row>
    <row r="109" spans="1:8" ht="39.950000000000003" customHeight="1" x14ac:dyDescent="0.25">
      <c r="A109" s="59" t="s">
        <v>186</v>
      </c>
      <c r="B109" s="3" t="s">
        <v>17</v>
      </c>
      <c r="C109" s="43" t="s">
        <v>148</v>
      </c>
      <c r="D109" s="43" t="s">
        <v>1097</v>
      </c>
      <c r="E109" s="78">
        <v>5.2</v>
      </c>
      <c r="F109" s="3" t="s">
        <v>54</v>
      </c>
      <c r="G109" s="78">
        <v>861.44</v>
      </c>
      <c r="H109" s="20">
        <f t="shared" si="2"/>
        <v>4479.49</v>
      </c>
    </row>
    <row r="110" spans="1:8" ht="20.100000000000001" customHeight="1" x14ac:dyDescent="0.25">
      <c r="A110" s="59" t="s">
        <v>187</v>
      </c>
      <c r="B110" s="3" t="s">
        <v>17</v>
      </c>
      <c r="C110" s="43" t="s">
        <v>150</v>
      </c>
      <c r="D110" s="43" t="s">
        <v>1098</v>
      </c>
      <c r="E110" s="78">
        <v>2.16</v>
      </c>
      <c r="F110" s="3" t="s">
        <v>54</v>
      </c>
      <c r="G110" s="78">
        <v>553.88</v>
      </c>
      <c r="H110" s="20">
        <f t="shared" si="2"/>
        <v>1196.3800000000001</v>
      </c>
    </row>
    <row r="111" spans="1:8" ht="20.100000000000001" customHeight="1" x14ac:dyDescent="0.25">
      <c r="A111" s="59" t="s">
        <v>188</v>
      </c>
      <c r="B111" s="3" t="s">
        <v>17</v>
      </c>
      <c r="C111" s="43" t="s">
        <v>152</v>
      </c>
      <c r="D111" s="43" t="s">
        <v>1099</v>
      </c>
      <c r="E111" s="78">
        <v>1.2</v>
      </c>
      <c r="F111" s="3" t="s">
        <v>54</v>
      </c>
      <c r="G111" s="78">
        <v>529.35</v>
      </c>
      <c r="H111" s="20">
        <f t="shared" si="2"/>
        <v>635.22</v>
      </c>
    </row>
    <row r="112" spans="1:8" ht="20.100000000000001" customHeight="1" x14ac:dyDescent="0.25">
      <c r="A112" s="59" t="s">
        <v>189</v>
      </c>
      <c r="B112" s="3" t="s">
        <v>17</v>
      </c>
      <c r="C112" s="43" t="s">
        <v>155</v>
      </c>
      <c r="D112" s="43" t="s">
        <v>1100</v>
      </c>
      <c r="E112" s="78">
        <v>49.15</v>
      </c>
      <c r="F112" s="3" t="s">
        <v>154</v>
      </c>
      <c r="G112" s="78">
        <v>67.98</v>
      </c>
      <c r="H112" s="20">
        <f t="shared" si="2"/>
        <v>3341.22</v>
      </c>
    </row>
    <row r="113" spans="1:8" ht="20.100000000000001" customHeight="1" x14ac:dyDescent="0.25">
      <c r="A113" s="59" t="s">
        <v>190</v>
      </c>
      <c r="B113" s="3" t="s">
        <v>17</v>
      </c>
      <c r="C113" s="43" t="s">
        <v>191</v>
      </c>
      <c r="D113" s="43" t="s">
        <v>1107</v>
      </c>
      <c r="E113" s="78">
        <v>0.94</v>
      </c>
      <c r="F113" s="3" t="s">
        <v>54</v>
      </c>
      <c r="G113" s="78">
        <v>597.01</v>
      </c>
      <c r="H113" s="20">
        <f t="shared" si="2"/>
        <v>561.19000000000005</v>
      </c>
    </row>
    <row r="114" spans="1:8" ht="20.100000000000001" customHeight="1" x14ac:dyDescent="0.25">
      <c r="A114" s="59" t="s">
        <v>192</v>
      </c>
      <c r="B114" s="3" t="s">
        <v>17</v>
      </c>
      <c r="C114" s="43" t="s">
        <v>193</v>
      </c>
      <c r="D114" s="43" t="s">
        <v>1108</v>
      </c>
      <c r="E114" s="78">
        <v>1.72</v>
      </c>
      <c r="F114" s="3" t="s">
        <v>54</v>
      </c>
      <c r="G114" s="78">
        <v>610.19000000000005</v>
      </c>
      <c r="H114" s="20">
        <f t="shared" si="2"/>
        <v>1049.53</v>
      </c>
    </row>
    <row r="115" spans="1:8" ht="20.100000000000001" customHeight="1" x14ac:dyDescent="0.25">
      <c r="A115" s="59" t="s">
        <v>194</v>
      </c>
      <c r="B115" s="3" t="s">
        <v>17</v>
      </c>
      <c r="C115" s="43" t="s">
        <v>195</v>
      </c>
      <c r="D115" s="43" t="s">
        <v>1109</v>
      </c>
      <c r="E115" s="78">
        <v>1.72</v>
      </c>
      <c r="F115" s="3" t="s">
        <v>54</v>
      </c>
      <c r="G115" s="78">
        <v>610.19000000000005</v>
      </c>
      <c r="H115" s="20">
        <f t="shared" si="2"/>
        <v>1049.53</v>
      </c>
    </row>
    <row r="116" spans="1:8" ht="20.100000000000001" customHeight="1" x14ac:dyDescent="0.25">
      <c r="A116" s="59" t="s">
        <v>196</v>
      </c>
      <c r="B116" s="3" t="s">
        <v>17</v>
      </c>
      <c r="C116" s="43" t="s">
        <v>197</v>
      </c>
      <c r="D116" s="43" t="s">
        <v>1110</v>
      </c>
      <c r="E116" s="78">
        <v>0.69</v>
      </c>
      <c r="F116" s="3" t="s">
        <v>54</v>
      </c>
      <c r="G116" s="78">
        <v>499.81</v>
      </c>
      <c r="H116" s="20">
        <f t="shared" si="2"/>
        <v>344.87</v>
      </c>
    </row>
    <row r="117" spans="1:8" ht="20.100000000000001" customHeight="1" x14ac:dyDescent="0.25">
      <c r="A117" s="59" t="s">
        <v>198</v>
      </c>
      <c r="B117" s="3" t="s">
        <v>17</v>
      </c>
      <c r="C117" s="43" t="s">
        <v>199</v>
      </c>
      <c r="D117" s="43" t="s">
        <v>1111</v>
      </c>
      <c r="E117" s="78">
        <v>1.36</v>
      </c>
      <c r="F117" s="3" t="s">
        <v>54</v>
      </c>
      <c r="G117" s="78">
        <v>599.53</v>
      </c>
      <c r="H117" s="20">
        <f t="shared" si="2"/>
        <v>815.36</v>
      </c>
    </row>
    <row r="118" spans="1:8" ht="20.100000000000001" customHeight="1" x14ac:dyDescent="0.25">
      <c r="A118" s="59" t="s">
        <v>200</v>
      </c>
      <c r="B118" s="3" t="s">
        <v>17</v>
      </c>
      <c r="C118" s="43" t="s">
        <v>201</v>
      </c>
      <c r="D118" s="43" t="s">
        <v>1112</v>
      </c>
      <c r="E118" s="78">
        <v>0.99</v>
      </c>
      <c r="F118" s="3" t="s">
        <v>54</v>
      </c>
      <c r="G118" s="78">
        <v>616.41</v>
      </c>
      <c r="H118" s="20">
        <f t="shared" si="2"/>
        <v>610.25</v>
      </c>
    </row>
    <row r="119" spans="1:8" ht="20.100000000000001" customHeight="1" x14ac:dyDescent="0.25">
      <c r="A119" s="59" t="s">
        <v>202</v>
      </c>
      <c r="B119" s="3" t="s">
        <v>17</v>
      </c>
      <c r="C119" s="43" t="s">
        <v>203</v>
      </c>
      <c r="D119" s="43" t="s">
        <v>1113</v>
      </c>
      <c r="E119" s="78">
        <v>1.63</v>
      </c>
      <c r="F119" s="3" t="s">
        <v>54</v>
      </c>
      <c r="G119" s="78">
        <v>599.53</v>
      </c>
      <c r="H119" s="20">
        <f t="shared" si="2"/>
        <v>977.23</v>
      </c>
    </row>
    <row r="120" spans="1:8" ht="20.100000000000001" customHeight="1" x14ac:dyDescent="0.25">
      <c r="A120" s="59" t="s">
        <v>204</v>
      </c>
      <c r="B120" s="3" t="s">
        <v>17</v>
      </c>
      <c r="C120" s="43" t="s">
        <v>205</v>
      </c>
      <c r="D120" s="43" t="s">
        <v>1114</v>
      </c>
      <c r="E120" s="78">
        <v>1.63</v>
      </c>
      <c r="F120" s="3" t="s">
        <v>54</v>
      </c>
      <c r="G120" s="78">
        <v>564.01</v>
      </c>
      <c r="H120" s="20">
        <f t="shared" si="2"/>
        <v>919.34</v>
      </c>
    </row>
    <row r="121" spans="1:8" ht="20.100000000000001" customHeight="1" x14ac:dyDescent="0.25">
      <c r="A121" s="59" t="s">
        <v>206</v>
      </c>
      <c r="B121" s="3" t="s">
        <v>17</v>
      </c>
      <c r="C121" s="43" t="s">
        <v>207</v>
      </c>
      <c r="D121" s="43" t="s">
        <v>1115</v>
      </c>
      <c r="E121" s="78">
        <v>1.91</v>
      </c>
      <c r="F121" s="3" t="s">
        <v>54</v>
      </c>
      <c r="G121" s="78">
        <v>617.35</v>
      </c>
      <c r="H121" s="20">
        <f t="shared" si="2"/>
        <v>1179.1400000000001</v>
      </c>
    </row>
    <row r="122" spans="1:8" ht="20.100000000000001" customHeight="1" x14ac:dyDescent="0.25">
      <c r="A122" s="59" t="s">
        <v>208</v>
      </c>
      <c r="B122" s="3" t="s">
        <v>17</v>
      </c>
      <c r="C122" s="43" t="s">
        <v>209</v>
      </c>
      <c r="D122" s="43" t="s">
        <v>1116</v>
      </c>
      <c r="E122" s="78">
        <v>0.7</v>
      </c>
      <c r="F122" s="3" t="s">
        <v>54</v>
      </c>
      <c r="G122" s="78">
        <v>566.79999999999995</v>
      </c>
      <c r="H122" s="20">
        <f t="shared" si="2"/>
        <v>396.76</v>
      </c>
    </row>
    <row r="123" spans="1:8" ht="20.100000000000001" customHeight="1" x14ac:dyDescent="0.25">
      <c r="A123" s="59" t="s">
        <v>210</v>
      </c>
      <c r="B123" s="3" t="s">
        <v>17</v>
      </c>
      <c r="C123" s="43" t="s">
        <v>211</v>
      </c>
      <c r="D123" s="43" t="s">
        <v>1117</v>
      </c>
      <c r="E123" s="78">
        <v>1.1399999999999999</v>
      </c>
      <c r="F123" s="3" t="s">
        <v>54</v>
      </c>
      <c r="G123" s="78">
        <v>588.9</v>
      </c>
      <c r="H123" s="20">
        <f t="shared" si="2"/>
        <v>671.35</v>
      </c>
    </row>
    <row r="124" spans="1:8" ht="20.100000000000001" customHeight="1" x14ac:dyDescent="0.25">
      <c r="A124" s="59" t="s">
        <v>212</v>
      </c>
      <c r="B124" s="3" t="s">
        <v>17</v>
      </c>
      <c r="C124" s="43" t="s">
        <v>213</v>
      </c>
      <c r="D124" s="43" t="s">
        <v>1118</v>
      </c>
      <c r="E124" s="78">
        <v>1.1100000000000001</v>
      </c>
      <c r="F124" s="3" t="s">
        <v>54</v>
      </c>
      <c r="G124" s="78">
        <v>570.54999999999995</v>
      </c>
      <c r="H124" s="20">
        <f t="shared" si="2"/>
        <v>633.30999999999995</v>
      </c>
    </row>
    <row r="125" spans="1:8" ht="20.100000000000001" customHeight="1" x14ac:dyDescent="0.25">
      <c r="A125" s="59" t="s">
        <v>214</v>
      </c>
      <c r="B125" s="3" t="s">
        <v>17</v>
      </c>
      <c r="C125" s="43" t="s">
        <v>215</v>
      </c>
      <c r="D125" s="43" t="s">
        <v>1119</v>
      </c>
      <c r="E125" s="78">
        <v>0.79</v>
      </c>
      <c r="F125" s="3" t="s">
        <v>54</v>
      </c>
      <c r="G125" s="78">
        <v>567.99</v>
      </c>
      <c r="H125" s="20">
        <f t="shared" si="2"/>
        <v>448.71</v>
      </c>
    </row>
    <row r="126" spans="1:8" ht="20.100000000000001" customHeight="1" x14ac:dyDescent="0.25">
      <c r="A126" s="59" t="s">
        <v>216</v>
      </c>
      <c r="B126" s="3" t="s">
        <v>17</v>
      </c>
      <c r="C126" s="43" t="s">
        <v>217</v>
      </c>
      <c r="D126" s="43" t="s">
        <v>1120</v>
      </c>
      <c r="E126" s="78">
        <v>1.83</v>
      </c>
      <c r="F126" s="3" t="s">
        <v>54</v>
      </c>
      <c r="G126" s="78">
        <v>601.99</v>
      </c>
      <c r="H126" s="20">
        <f t="shared" si="2"/>
        <v>1101.6400000000001</v>
      </c>
    </row>
    <row r="127" spans="1:8" ht="20.100000000000001" customHeight="1" x14ac:dyDescent="0.25">
      <c r="A127" s="59" t="s">
        <v>218</v>
      </c>
      <c r="B127" s="3" t="s">
        <v>17</v>
      </c>
      <c r="C127" s="43" t="s">
        <v>219</v>
      </c>
      <c r="D127" s="43" t="s">
        <v>1121</v>
      </c>
      <c r="E127" s="78">
        <v>1.1599999999999999</v>
      </c>
      <c r="F127" s="3" t="s">
        <v>54</v>
      </c>
      <c r="G127" s="78">
        <v>540.25</v>
      </c>
      <c r="H127" s="20">
        <f t="shared" si="2"/>
        <v>626.69000000000005</v>
      </c>
    </row>
    <row r="128" spans="1:8" ht="20.100000000000001" customHeight="1" x14ac:dyDescent="0.25">
      <c r="A128" s="59" t="s">
        <v>220</v>
      </c>
      <c r="B128" s="3" t="s">
        <v>17</v>
      </c>
      <c r="C128" s="43" t="s">
        <v>221</v>
      </c>
      <c r="D128" s="43" t="s">
        <v>1122</v>
      </c>
      <c r="E128" s="78">
        <v>2.58</v>
      </c>
      <c r="F128" s="3" t="s">
        <v>54</v>
      </c>
      <c r="G128" s="78">
        <v>601.99</v>
      </c>
      <c r="H128" s="20">
        <f t="shared" si="2"/>
        <v>1553.13</v>
      </c>
    </row>
    <row r="129" spans="1:8" ht="20.100000000000001" customHeight="1" x14ac:dyDescent="0.25">
      <c r="A129" s="59" t="s">
        <v>222</v>
      </c>
      <c r="B129" s="3" t="s">
        <v>17</v>
      </c>
      <c r="C129" s="43" t="s">
        <v>223</v>
      </c>
      <c r="D129" s="43" t="s">
        <v>1123</v>
      </c>
      <c r="E129" s="78">
        <v>1.77</v>
      </c>
      <c r="F129" s="3" t="s">
        <v>54</v>
      </c>
      <c r="G129" s="78">
        <v>540.25</v>
      </c>
      <c r="H129" s="20">
        <f t="shared" si="2"/>
        <v>956.24</v>
      </c>
    </row>
    <row r="130" spans="1:8" ht="20.100000000000001" customHeight="1" x14ac:dyDescent="0.25">
      <c r="A130" s="59" t="s">
        <v>224</v>
      </c>
      <c r="B130" s="3" t="s">
        <v>17</v>
      </c>
      <c r="C130" s="43" t="s">
        <v>225</v>
      </c>
      <c r="D130" s="43" t="s">
        <v>1124</v>
      </c>
      <c r="E130" s="78">
        <v>1.32</v>
      </c>
      <c r="F130" s="3" t="s">
        <v>54</v>
      </c>
      <c r="G130" s="78">
        <v>601.99</v>
      </c>
      <c r="H130" s="20">
        <f t="shared" ref="H130:H157" si="3">ROUND(E130*G130,2)</f>
        <v>794.63</v>
      </c>
    </row>
    <row r="131" spans="1:8" ht="20.100000000000001" customHeight="1" x14ac:dyDescent="0.25">
      <c r="A131" s="59" t="s">
        <v>226</v>
      </c>
      <c r="B131" s="3" t="s">
        <v>17</v>
      </c>
      <c r="C131" s="43" t="s">
        <v>227</v>
      </c>
      <c r="D131" s="43" t="s">
        <v>1125</v>
      </c>
      <c r="E131" s="78">
        <v>2.88</v>
      </c>
      <c r="F131" s="3" t="s">
        <v>54</v>
      </c>
      <c r="G131" s="78">
        <v>594.64</v>
      </c>
      <c r="H131" s="20">
        <f t="shared" si="3"/>
        <v>1712.56</v>
      </c>
    </row>
    <row r="132" spans="1:8" ht="20.100000000000001" customHeight="1" x14ac:dyDescent="0.25">
      <c r="A132" s="59" t="s">
        <v>228</v>
      </c>
      <c r="B132" s="3" t="s">
        <v>17</v>
      </c>
      <c r="C132" s="43" t="s">
        <v>229</v>
      </c>
      <c r="D132" s="43" t="s">
        <v>1126</v>
      </c>
      <c r="E132" s="78">
        <v>1.34</v>
      </c>
      <c r="F132" s="3" t="s">
        <v>54</v>
      </c>
      <c r="G132" s="78">
        <v>542.70000000000005</v>
      </c>
      <c r="H132" s="20">
        <f t="shared" si="3"/>
        <v>727.22</v>
      </c>
    </row>
    <row r="133" spans="1:8" ht="20.100000000000001" customHeight="1" x14ac:dyDescent="0.25">
      <c r="A133" s="59" t="s">
        <v>230</v>
      </c>
      <c r="B133" s="3" t="s">
        <v>17</v>
      </c>
      <c r="C133" s="43" t="s">
        <v>231</v>
      </c>
      <c r="D133" s="43" t="s">
        <v>1127</v>
      </c>
      <c r="E133" s="78">
        <v>4.53</v>
      </c>
      <c r="F133" s="3" t="s">
        <v>54</v>
      </c>
      <c r="G133" s="78">
        <v>500.9</v>
      </c>
      <c r="H133" s="20">
        <f t="shared" si="3"/>
        <v>2269.08</v>
      </c>
    </row>
    <row r="134" spans="1:8" ht="20.100000000000001" customHeight="1" x14ac:dyDescent="0.25">
      <c r="A134" s="59" t="s">
        <v>232</v>
      </c>
      <c r="B134" s="3" t="s">
        <v>17</v>
      </c>
      <c r="C134" s="43" t="s">
        <v>233</v>
      </c>
      <c r="D134" s="43" t="s">
        <v>1128</v>
      </c>
      <c r="E134" s="78">
        <v>1.39</v>
      </c>
      <c r="F134" s="3" t="s">
        <v>54</v>
      </c>
      <c r="G134" s="78">
        <v>487.98</v>
      </c>
      <c r="H134" s="20">
        <f t="shared" si="3"/>
        <v>678.29</v>
      </c>
    </row>
    <row r="135" spans="1:8" ht="20.100000000000001" customHeight="1" x14ac:dyDescent="0.25">
      <c r="A135" s="59" t="s">
        <v>234</v>
      </c>
      <c r="B135" s="3" t="s">
        <v>17</v>
      </c>
      <c r="C135" s="43" t="s">
        <v>235</v>
      </c>
      <c r="D135" s="43" t="s">
        <v>1129</v>
      </c>
      <c r="E135" s="78">
        <v>0.87</v>
      </c>
      <c r="F135" s="3" t="s">
        <v>54</v>
      </c>
      <c r="G135" s="78">
        <v>581.79999999999995</v>
      </c>
      <c r="H135" s="20">
        <f t="shared" si="3"/>
        <v>506.17</v>
      </c>
    </row>
    <row r="136" spans="1:8" ht="20.100000000000001" customHeight="1" x14ac:dyDescent="0.25">
      <c r="A136" s="59" t="s">
        <v>236</v>
      </c>
      <c r="B136" s="3" t="s">
        <v>17</v>
      </c>
      <c r="C136" s="43" t="s">
        <v>237</v>
      </c>
      <c r="D136" s="43" t="s">
        <v>1130</v>
      </c>
      <c r="E136" s="78">
        <v>0.96</v>
      </c>
      <c r="F136" s="3" t="s">
        <v>54</v>
      </c>
      <c r="G136" s="78">
        <v>603.12</v>
      </c>
      <c r="H136" s="20">
        <f t="shared" si="3"/>
        <v>579</v>
      </c>
    </row>
    <row r="137" spans="1:8" ht="20.100000000000001" customHeight="1" x14ac:dyDescent="0.25">
      <c r="A137" s="59" t="s">
        <v>238</v>
      </c>
      <c r="B137" s="3" t="s">
        <v>17</v>
      </c>
      <c r="C137" s="43" t="s">
        <v>239</v>
      </c>
      <c r="D137" s="43" t="s">
        <v>1131</v>
      </c>
      <c r="E137" s="78">
        <v>0.87</v>
      </c>
      <c r="F137" s="3" t="s">
        <v>54</v>
      </c>
      <c r="G137" s="78">
        <v>591.54</v>
      </c>
      <c r="H137" s="20">
        <f t="shared" si="3"/>
        <v>514.64</v>
      </c>
    </row>
    <row r="138" spans="1:8" ht="20.100000000000001" customHeight="1" x14ac:dyDescent="0.25">
      <c r="A138" s="59" t="s">
        <v>240</v>
      </c>
      <c r="B138" s="3" t="s">
        <v>17</v>
      </c>
      <c r="C138" s="43" t="s">
        <v>241</v>
      </c>
      <c r="D138" s="43" t="s">
        <v>1132</v>
      </c>
      <c r="E138" s="78">
        <v>0.87</v>
      </c>
      <c r="F138" s="3" t="s">
        <v>54</v>
      </c>
      <c r="G138" s="78">
        <v>603.12</v>
      </c>
      <c r="H138" s="20">
        <f t="shared" si="3"/>
        <v>524.71</v>
      </c>
    </row>
    <row r="139" spans="1:8" ht="20.100000000000001" customHeight="1" x14ac:dyDescent="0.25">
      <c r="A139" s="59" t="s">
        <v>242</v>
      </c>
      <c r="B139" s="3" t="s">
        <v>17</v>
      </c>
      <c r="C139" s="43" t="s">
        <v>243</v>
      </c>
      <c r="D139" s="43" t="s">
        <v>1133</v>
      </c>
      <c r="E139" s="78">
        <v>1.23</v>
      </c>
      <c r="F139" s="3" t="s">
        <v>54</v>
      </c>
      <c r="G139" s="78">
        <v>615.22</v>
      </c>
      <c r="H139" s="20">
        <f t="shared" si="3"/>
        <v>756.72</v>
      </c>
    </row>
    <row r="140" spans="1:8" ht="20.100000000000001" customHeight="1" x14ac:dyDescent="0.25">
      <c r="A140" s="59" t="s">
        <v>244</v>
      </c>
      <c r="B140" s="3" t="s">
        <v>17</v>
      </c>
      <c r="C140" s="43" t="s">
        <v>245</v>
      </c>
      <c r="D140" s="43" t="s">
        <v>1134</v>
      </c>
      <c r="E140" s="78">
        <v>3.02</v>
      </c>
      <c r="F140" s="3" t="s">
        <v>54</v>
      </c>
      <c r="G140" s="78">
        <v>581.79999999999995</v>
      </c>
      <c r="H140" s="20">
        <f t="shared" si="3"/>
        <v>1757.04</v>
      </c>
    </row>
    <row r="141" spans="1:8" ht="20.100000000000001" customHeight="1" x14ac:dyDescent="0.25">
      <c r="A141" s="59" t="s">
        <v>246</v>
      </c>
      <c r="B141" s="3" t="s">
        <v>17</v>
      </c>
      <c r="C141" s="43" t="s">
        <v>247</v>
      </c>
      <c r="D141" s="43" t="s">
        <v>1135</v>
      </c>
      <c r="E141" s="78">
        <v>2.97</v>
      </c>
      <c r="F141" s="3" t="s">
        <v>54</v>
      </c>
      <c r="G141" s="78">
        <v>594.64</v>
      </c>
      <c r="H141" s="20">
        <f t="shared" si="3"/>
        <v>1766.08</v>
      </c>
    </row>
    <row r="142" spans="1:8" ht="20.100000000000001" customHeight="1" x14ac:dyDescent="0.25">
      <c r="A142" s="59" t="s">
        <v>248</v>
      </c>
      <c r="B142" s="3" t="s">
        <v>17</v>
      </c>
      <c r="C142" s="43" t="s">
        <v>249</v>
      </c>
      <c r="D142" s="43" t="s">
        <v>1136</v>
      </c>
      <c r="E142" s="78">
        <v>2.97</v>
      </c>
      <c r="F142" s="3" t="s">
        <v>54</v>
      </c>
      <c r="G142" s="78">
        <v>581.79999999999995</v>
      </c>
      <c r="H142" s="20">
        <f t="shared" si="3"/>
        <v>1727.95</v>
      </c>
    </row>
    <row r="143" spans="1:8" ht="20.100000000000001" customHeight="1" x14ac:dyDescent="0.25">
      <c r="A143" s="59" t="s">
        <v>250</v>
      </c>
      <c r="B143" s="3" t="s">
        <v>17</v>
      </c>
      <c r="C143" s="43" t="s">
        <v>251</v>
      </c>
      <c r="D143" s="43" t="s">
        <v>1139</v>
      </c>
      <c r="E143" s="78">
        <v>11.33</v>
      </c>
      <c r="F143" s="3" t="s">
        <v>54</v>
      </c>
      <c r="G143" s="78">
        <v>549.4</v>
      </c>
      <c r="H143" s="20">
        <f t="shared" si="3"/>
        <v>6224.7</v>
      </c>
    </row>
    <row r="144" spans="1:8" ht="20.100000000000001" customHeight="1" x14ac:dyDescent="0.25">
      <c r="A144" s="59" t="s">
        <v>252</v>
      </c>
      <c r="B144" s="3" t="s">
        <v>17</v>
      </c>
      <c r="C144" s="43" t="s">
        <v>253</v>
      </c>
      <c r="D144" s="43" t="s">
        <v>1140</v>
      </c>
      <c r="E144" s="78">
        <v>2.12</v>
      </c>
      <c r="F144" s="3" t="s">
        <v>54</v>
      </c>
      <c r="G144" s="78">
        <v>656.11</v>
      </c>
      <c r="H144" s="20">
        <f t="shared" si="3"/>
        <v>1390.95</v>
      </c>
    </row>
    <row r="145" spans="1:8" ht="20.100000000000001" customHeight="1" x14ac:dyDescent="0.25">
      <c r="A145" s="59" t="s">
        <v>254</v>
      </c>
      <c r="B145" s="3" t="s">
        <v>17</v>
      </c>
      <c r="C145" s="43" t="s">
        <v>255</v>
      </c>
      <c r="D145" s="43" t="s">
        <v>1138</v>
      </c>
      <c r="E145" s="78">
        <v>0.49</v>
      </c>
      <c r="F145" s="3" t="s">
        <v>54</v>
      </c>
      <c r="G145" s="78">
        <v>556.51</v>
      </c>
      <c r="H145" s="20">
        <f t="shared" si="3"/>
        <v>272.69</v>
      </c>
    </row>
    <row r="146" spans="1:8" ht="20.100000000000001" customHeight="1" x14ac:dyDescent="0.25">
      <c r="A146" s="59" t="s">
        <v>256</v>
      </c>
      <c r="B146" s="3" t="s">
        <v>17</v>
      </c>
      <c r="C146" s="43" t="s">
        <v>257</v>
      </c>
      <c r="D146" s="43" t="s">
        <v>1137</v>
      </c>
      <c r="E146" s="78">
        <v>1.18</v>
      </c>
      <c r="F146" s="3" t="s">
        <v>54</v>
      </c>
      <c r="G146" s="78">
        <v>665.58</v>
      </c>
      <c r="H146" s="20">
        <f t="shared" si="3"/>
        <v>785.38</v>
      </c>
    </row>
    <row r="147" spans="1:8" ht="20.100000000000001" customHeight="1" x14ac:dyDescent="0.25">
      <c r="A147" s="59" t="s">
        <v>258</v>
      </c>
      <c r="B147" s="3" t="s">
        <v>17</v>
      </c>
      <c r="C147" s="43" t="s">
        <v>259</v>
      </c>
      <c r="D147" s="43" t="s">
        <v>1141</v>
      </c>
      <c r="E147" s="78">
        <v>4.72</v>
      </c>
      <c r="F147" s="3" t="s">
        <v>54</v>
      </c>
      <c r="G147" s="78">
        <v>582.67999999999995</v>
      </c>
      <c r="H147" s="20">
        <f t="shared" si="3"/>
        <v>2750.25</v>
      </c>
    </row>
    <row r="148" spans="1:8" ht="20.100000000000001" customHeight="1" x14ac:dyDescent="0.25">
      <c r="A148" s="59" t="s">
        <v>260</v>
      </c>
      <c r="B148" s="3" t="s">
        <v>17</v>
      </c>
      <c r="C148" s="43" t="s">
        <v>261</v>
      </c>
      <c r="D148" s="43" t="s">
        <v>1142</v>
      </c>
      <c r="E148" s="78">
        <v>0.79</v>
      </c>
      <c r="F148" s="3" t="s">
        <v>54</v>
      </c>
      <c r="G148" s="78">
        <v>679.06</v>
      </c>
      <c r="H148" s="20">
        <f t="shared" si="3"/>
        <v>536.46</v>
      </c>
    </row>
    <row r="149" spans="1:8" ht="20.100000000000001" customHeight="1" x14ac:dyDescent="0.25">
      <c r="A149" s="59" t="s">
        <v>262</v>
      </c>
      <c r="B149" s="3" t="s">
        <v>17</v>
      </c>
      <c r="C149" s="43" t="s">
        <v>263</v>
      </c>
      <c r="D149" s="43" t="s">
        <v>1143</v>
      </c>
      <c r="E149" s="78">
        <v>43.39</v>
      </c>
      <c r="F149" s="3" t="s">
        <v>54</v>
      </c>
      <c r="G149" s="78">
        <v>394.96</v>
      </c>
      <c r="H149" s="20">
        <f t="shared" si="3"/>
        <v>17137.310000000001</v>
      </c>
    </row>
    <row r="150" spans="1:8" ht="39.950000000000003" customHeight="1" x14ac:dyDescent="0.25">
      <c r="A150" s="59" t="s">
        <v>264</v>
      </c>
      <c r="B150" s="3" t="s">
        <v>17</v>
      </c>
      <c r="C150" s="43" t="s">
        <v>265</v>
      </c>
      <c r="D150" s="43" t="s">
        <v>1144</v>
      </c>
      <c r="E150" s="78">
        <v>32.35</v>
      </c>
      <c r="F150" s="3" t="s">
        <v>54</v>
      </c>
      <c r="G150" s="78">
        <v>482.63</v>
      </c>
      <c r="H150" s="20">
        <f t="shared" si="3"/>
        <v>15613.08</v>
      </c>
    </row>
    <row r="151" spans="1:8" ht="20.100000000000001" customHeight="1" x14ac:dyDescent="0.25">
      <c r="A151" s="59" t="s">
        <v>266</v>
      </c>
      <c r="B151" s="3" t="s">
        <v>17</v>
      </c>
      <c r="C151" s="43" t="s">
        <v>267</v>
      </c>
      <c r="D151" s="43" t="s">
        <v>1145</v>
      </c>
      <c r="E151" s="78">
        <v>140.03</v>
      </c>
      <c r="F151" s="3" t="s">
        <v>35</v>
      </c>
      <c r="G151" s="78">
        <v>104.18</v>
      </c>
      <c r="H151" s="20">
        <f t="shared" si="3"/>
        <v>14588.33</v>
      </c>
    </row>
    <row r="152" spans="1:8" ht="39.950000000000003" customHeight="1" x14ac:dyDescent="0.25">
      <c r="A152" s="59" t="s">
        <v>268</v>
      </c>
      <c r="B152" s="3" t="s">
        <v>17</v>
      </c>
      <c r="C152" s="43" t="s">
        <v>269</v>
      </c>
      <c r="D152" s="43" t="s">
        <v>1146</v>
      </c>
      <c r="E152" s="78">
        <v>2.35</v>
      </c>
      <c r="F152" s="3" t="s">
        <v>48</v>
      </c>
      <c r="G152" s="78">
        <v>1188.1600000000001</v>
      </c>
      <c r="H152" s="20">
        <f t="shared" si="3"/>
        <v>2792.18</v>
      </c>
    </row>
    <row r="153" spans="1:8" s="4" customFormat="1" ht="20.100000000000001" customHeight="1" x14ac:dyDescent="0.25">
      <c r="A153" s="59" t="s">
        <v>270</v>
      </c>
      <c r="B153" s="3" t="s">
        <v>17</v>
      </c>
      <c r="C153" s="43" t="s">
        <v>271</v>
      </c>
      <c r="D153" s="43" t="s">
        <v>1147</v>
      </c>
      <c r="E153" s="78">
        <v>26.7</v>
      </c>
      <c r="F153" s="3" t="s">
        <v>29</v>
      </c>
      <c r="G153" s="78">
        <v>26.55</v>
      </c>
      <c r="H153" s="20">
        <f t="shared" si="3"/>
        <v>708.89</v>
      </c>
    </row>
    <row r="154" spans="1:8" s="4" customFormat="1" ht="20.100000000000001" customHeight="1" x14ac:dyDescent="0.25">
      <c r="A154" s="59" t="s">
        <v>272</v>
      </c>
      <c r="B154" s="3" t="s">
        <v>17</v>
      </c>
      <c r="C154" s="43" t="s">
        <v>273</v>
      </c>
      <c r="D154" s="43" t="s">
        <v>1148</v>
      </c>
      <c r="E154" s="78">
        <v>15.5</v>
      </c>
      <c r="F154" s="3" t="s">
        <v>29</v>
      </c>
      <c r="G154" s="78">
        <v>47.52</v>
      </c>
      <c r="H154" s="20">
        <f t="shared" si="3"/>
        <v>736.56</v>
      </c>
    </row>
    <row r="155" spans="1:8" s="4" customFormat="1" ht="20.100000000000001" customHeight="1" x14ac:dyDescent="0.25">
      <c r="A155" s="59" t="s">
        <v>274</v>
      </c>
      <c r="B155" s="3" t="s">
        <v>17</v>
      </c>
      <c r="C155" s="43" t="s">
        <v>275</v>
      </c>
      <c r="D155" s="43" t="s">
        <v>1458</v>
      </c>
      <c r="E155" s="78">
        <v>2.88</v>
      </c>
      <c r="F155" s="3" t="s">
        <v>54</v>
      </c>
      <c r="G155" s="78">
        <v>863.07</v>
      </c>
      <c r="H155" s="20">
        <f t="shared" si="3"/>
        <v>2485.64</v>
      </c>
    </row>
    <row r="156" spans="1:8" s="4" customFormat="1" ht="39.950000000000003" customHeight="1" x14ac:dyDescent="0.25">
      <c r="A156" s="59" t="s">
        <v>276</v>
      </c>
      <c r="B156" s="3" t="s">
        <v>17</v>
      </c>
      <c r="C156" s="43" t="s">
        <v>278</v>
      </c>
      <c r="D156" s="43" t="s">
        <v>1149</v>
      </c>
      <c r="E156" s="78">
        <v>23.4</v>
      </c>
      <c r="F156" s="3" t="s">
        <v>277</v>
      </c>
      <c r="G156" s="78">
        <v>276.77999999999997</v>
      </c>
      <c r="H156" s="20">
        <f t="shared" si="3"/>
        <v>6476.65</v>
      </c>
    </row>
    <row r="157" spans="1:8" ht="20.100000000000001" customHeight="1" x14ac:dyDescent="0.25">
      <c r="A157" s="52"/>
      <c r="B157" s="9"/>
      <c r="C157" s="44" t="s">
        <v>279</v>
      </c>
      <c r="D157" s="44" t="s">
        <v>279</v>
      </c>
      <c r="E157" s="78">
        <v>1</v>
      </c>
      <c r="F157" s="9"/>
      <c r="G157" s="79">
        <f>SUM(H98:H156)</f>
        <v>129656.55</v>
      </c>
      <c r="H157" s="29">
        <f t="shared" si="3"/>
        <v>129656.55</v>
      </c>
    </row>
    <row r="158" spans="1:8" ht="20.100000000000001" customHeight="1" x14ac:dyDescent="0.25">
      <c r="A158" s="60"/>
      <c r="B158" s="12"/>
      <c r="C158" s="45"/>
      <c r="D158" s="45"/>
      <c r="E158" s="34"/>
      <c r="F158" s="12"/>
      <c r="G158" s="34"/>
      <c r="H158" s="30"/>
    </row>
    <row r="159" spans="1:8" ht="20.100000000000001" customHeight="1" x14ac:dyDescent="0.25">
      <c r="A159" s="62" t="s">
        <v>280</v>
      </c>
      <c r="B159" s="7" t="s">
        <v>9</v>
      </c>
      <c r="C159" s="47" t="s">
        <v>164</v>
      </c>
      <c r="D159" s="47" t="s">
        <v>1151</v>
      </c>
      <c r="E159" s="81">
        <f>E164</f>
        <v>1</v>
      </c>
      <c r="F159" s="7" t="s">
        <v>10</v>
      </c>
      <c r="G159" s="81">
        <f>G164</f>
        <v>35088.480000000003</v>
      </c>
      <c r="H159" s="21">
        <f>H164</f>
        <v>35088.480000000003</v>
      </c>
    </row>
    <row r="160" spans="1:8" ht="20.100000000000001" customHeight="1" x14ac:dyDescent="0.25">
      <c r="A160" s="59" t="s">
        <v>281</v>
      </c>
      <c r="B160" s="3" t="s">
        <v>17</v>
      </c>
      <c r="C160" s="43" t="s">
        <v>282</v>
      </c>
      <c r="D160" s="43" t="s">
        <v>1153</v>
      </c>
      <c r="E160" s="78">
        <v>570.39</v>
      </c>
      <c r="F160" s="3" t="s">
        <v>18</v>
      </c>
      <c r="G160" s="78">
        <v>48.24</v>
      </c>
      <c r="H160" s="20">
        <f>ROUND(E160*G160,2)</f>
        <v>27515.61</v>
      </c>
    </row>
    <row r="161" spans="1:8" ht="20.100000000000001" customHeight="1" x14ac:dyDescent="0.25">
      <c r="A161" s="59" t="s">
        <v>283</v>
      </c>
      <c r="B161" s="3" t="s">
        <v>17</v>
      </c>
      <c r="C161" s="43" t="s">
        <v>284</v>
      </c>
      <c r="D161" s="43" t="s">
        <v>1154</v>
      </c>
      <c r="E161" s="78">
        <v>96.57</v>
      </c>
      <c r="F161" s="3" t="s">
        <v>18</v>
      </c>
      <c r="G161" s="78">
        <v>42.51</v>
      </c>
      <c r="H161" s="20">
        <f>ROUND(E161*G161,2)</f>
        <v>4105.1899999999996</v>
      </c>
    </row>
    <row r="162" spans="1:8" ht="20.100000000000001" customHeight="1" x14ac:dyDescent="0.25">
      <c r="A162" s="59" t="s">
        <v>285</v>
      </c>
      <c r="B162" s="3" t="s">
        <v>17</v>
      </c>
      <c r="C162" s="43" t="s">
        <v>286</v>
      </c>
      <c r="D162" s="43" t="s">
        <v>1155</v>
      </c>
      <c r="E162" s="78">
        <v>64.3</v>
      </c>
      <c r="F162" s="3" t="s">
        <v>18</v>
      </c>
      <c r="G162" s="78">
        <v>49.61</v>
      </c>
      <c r="H162" s="20">
        <f>ROUND(E162*G162,2)</f>
        <v>3189.92</v>
      </c>
    </row>
    <row r="163" spans="1:8" ht="20.100000000000001" customHeight="1" x14ac:dyDescent="0.25">
      <c r="A163" s="59" t="s">
        <v>287</v>
      </c>
      <c r="B163" s="3" t="s">
        <v>17</v>
      </c>
      <c r="C163" s="43" t="s">
        <v>288</v>
      </c>
      <c r="D163" s="43" t="s">
        <v>1156</v>
      </c>
      <c r="E163" s="78">
        <v>6.33</v>
      </c>
      <c r="F163" s="3" t="s">
        <v>18</v>
      </c>
      <c r="G163" s="78">
        <v>43.88</v>
      </c>
      <c r="H163" s="20">
        <f>ROUND(E163*G163,2)</f>
        <v>277.76</v>
      </c>
    </row>
    <row r="164" spans="1:8" ht="20.100000000000001" customHeight="1" x14ac:dyDescent="0.25">
      <c r="A164" s="52"/>
      <c r="B164" s="9"/>
      <c r="C164" s="44" t="s">
        <v>289</v>
      </c>
      <c r="D164" s="44" t="s">
        <v>289</v>
      </c>
      <c r="E164" s="78">
        <v>1</v>
      </c>
      <c r="F164" s="9"/>
      <c r="G164" s="79">
        <f>SUM(H160:H163)</f>
        <v>35088.480000000003</v>
      </c>
      <c r="H164" s="29">
        <f>ROUND(E164*G164,2)</f>
        <v>35088.480000000003</v>
      </c>
    </row>
    <row r="165" spans="1:8" ht="20.100000000000001" customHeight="1" x14ac:dyDescent="0.25">
      <c r="A165" s="60"/>
      <c r="B165" s="12"/>
      <c r="C165" s="45"/>
      <c r="D165" s="45"/>
      <c r="E165" s="34"/>
      <c r="F165" s="12"/>
      <c r="G165" s="34"/>
      <c r="H165" s="30"/>
    </row>
    <row r="166" spans="1:8" ht="20.100000000000001" customHeight="1" x14ac:dyDescent="0.25">
      <c r="A166" s="52"/>
      <c r="B166" s="9"/>
      <c r="C166" s="44" t="s">
        <v>290</v>
      </c>
      <c r="D166" s="44" t="s">
        <v>290</v>
      </c>
      <c r="E166" s="78">
        <v>1</v>
      </c>
      <c r="F166" s="9"/>
      <c r="G166" s="79">
        <f>H97+H159</f>
        <v>164745.03</v>
      </c>
      <c r="H166" s="29">
        <f>ROUND(E166*G166,2)</f>
        <v>164745.03</v>
      </c>
    </row>
    <row r="167" spans="1:8" ht="20.100000000000001" customHeight="1" x14ac:dyDescent="0.25">
      <c r="A167" s="60"/>
      <c r="B167" s="12"/>
      <c r="C167" s="45"/>
      <c r="D167" s="45"/>
      <c r="E167" s="34"/>
      <c r="F167" s="12"/>
      <c r="G167" s="34"/>
      <c r="H167" s="30"/>
    </row>
    <row r="168" spans="1:8" ht="20.100000000000001" customHeight="1" x14ac:dyDescent="0.25">
      <c r="A168" s="61" t="s">
        <v>291</v>
      </c>
      <c r="B168" s="17" t="s">
        <v>9</v>
      </c>
      <c r="C168" s="46" t="s">
        <v>292</v>
      </c>
      <c r="D168" s="46" t="s">
        <v>1157</v>
      </c>
      <c r="E168" s="80">
        <f>E219</f>
        <v>1</v>
      </c>
      <c r="F168" s="17" t="s">
        <v>65</v>
      </c>
      <c r="G168" s="80">
        <f>G219</f>
        <v>128450.47</v>
      </c>
      <c r="H168" s="31">
        <f>H219</f>
        <v>128450.47</v>
      </c>
    </row>
    <row r="169" spans="1:8" ht="20.100000000000001" customHeight="1" x14ac:dyDescent="0.25">
      <c r="A169" s="62" t="s">
        <v>293</v>
      </c>
      <c r="B169" s="7" t="s">
        <v>9</v>
      </c>
      <c r="C169" s="47" t="s">
        <v>88</v>
      </c>
      <c r="D169" s="47" t="s">
        <v>1150</v>
      </c>
      <c r="E169" s="81">
        <f>E209</f>
        <v>1</v>
      </c>
      <c r="F169" s="7" t="s">
        <v>10</v>
      </c>
      <c r="G169" s="81">
        <f>G209</f>
        <v>101672.6</v>
      </c>
      <c r="H169" s="21">
        <f>H209</f>
        <v>101672.6</v>
      </c>
    </row>
    <row r="170" spans="1:8" ht="20.100000000000001" customHeight="1" x14ac:dyDescent="0.25">
      <c r="A170" s="59" t="s">
        <v>294</v>
      </c>
      <c r="B170" s="3" t="s">
        <v>17</v>
      </c>
      <c r="C170" s="43" t="s">
        <v>128</v>
      </c>
      <c r="D170" s="43" t="s">
        <v>1087</v>
      </c>
      <c r="E170" s="78">
        <v>1.81</v>
      </c>
      <c r="F170" s="3" t="s">
        <v>54</v>
      </c>
      <c r="G170" s="78">
        <v>811.65</v>
      </c>
      <c r="H170" s="20">
        <f t="shared" ref="H170:H209" si="4">ROUND(E170*G170,2)</f>
        <v>1469.09</v>
      </c>
    </row>
    <row r="171" spans="1:8" ht="20.100000000000001" customHeight="1" x14ac:dyDescent="0.25">
      <c r="A171" s="59" t="s">
        <v>295</v>
      </c>
      <c r="B171" s="3" t="s">
        <v>17</v>
      </c>
      <c r="C171" s="43" t="s">
        <v>134</v>
      </c>
      <c r="D171" s="43" t="s">
        <v>1090</v>
      </c>
      <c r="E171" s="78">
        <v>1.1100000000000001</v>
      </c>
      <c r="F171" s="3" t="s">
        <v>54</v>
      </c>
      <c r="G171" s="78">
        <v>680.33</v>
      </c>
      <c r="H171" s="20">
        <f t="shared" si="4"/>
        <v>755.17</v>
      </c>
    </row>
    <row r="172" spans="1:8" ht="20.100000000000001" customHeight="1" x14ac:dyDescent="0.25">
      <c r="A172" s="59" t="s">
        <v>296</v>
      </c>
      <c r="B172" s="3" t="s">
        <v>17</v>
      </c>
      <c r="C172" s="43" t="s">
        <v>136</v>
      </c>
      <c r="D172" s="43" t="s">
        <v>1091</v>
      </c>
      <c r="E172" s="78">
        <v>1.62</v>
      </c>
      <c r="F172" s="3" t="s">
        <v>54</v>
      </c>
      <c r="G172" s="78">
        <v>839.55</v>
      </c>
      <c r="H172" s="20">
        <f t="shared" si="4"/>
        <v>1360.07</v>
      </c>
    </row>
    <row r="173" spans="1:8" ht="20.100000000000001" customHeight="1" x14ac:dyDescent="0.25">
      <c r="A173" s="59" t="s">
        <v>297</v>
      </c>
      <c r="B173" s="3" t="s">
        <v>17</v>
      </c>
      <c r="C173" s="43" t="s">
        <v>138</v>
      </c>
      <c r="D173" s="43" t="s">
        <v>1092</v>
      </c>
      <c r="E173" s="78">
        <v>0.56000000000000005</v>
      </c>
      <c r="F173" s="3" t="s">
        <v>54</v>
      </c>
      <c r="G173" s="78">
        <v>720.62</v>
      </c>
      <c r="H173" s="20">
        <f t="shared" si="4"/>
        <v>403.55</v>
      </c>
    </row>
    <row r="174" spans="1:8" ht="20.100000000000001" customHeight="1" x14ac:dyDescent="0.25">
      <c r="A174" s="59" t="s">
        <v>298</v>
      </c>
      <c r="B174" s="3" t="s">
        <v>17</v>
      </c>
      <c r="C174" s="43" t="s">
        <v>140</v>
      </c>
      <c r="D174" s="43" t="s">
        <v>1093</v>
      </c>
      <c r="E174" s="78">
        <v>1.1100000000000001</v>
      </c>
      <c r="F174" s="3" t="s">
        <v>54</v>
      </c>
      <c r="G174" s="78">
        <v>680.33</v>
      </c>
      <c r="H174" s="20">
        <f t="shared" si="4"/>
        <v>755.17</v>
      </c>
    </row>
    <row r="175" spans="1:8" ht="20.100000000000001" customHeight="1" x14ac:dyDescent="0.25">
      <c r="A175" s="59" t="s">
        <v>299</v>
      </c>
      <c r="B175" s="3" t="s">
        <v>17</v>
      </c>
      <c r="C175" s="43" t="s">
        <v>142</v>
      </c>
      <c r="D175" s="43" t="s">
        <v>1094</v>
      </c>
      <c r="E175" s="78">
        <v>3.7</v>
      </c>
      <c r="F175" s="3" t="s">
        <v>54</v>
      </c>
      <c r="G175" s="78">
        <v>743.37</v>
      </c>
      <c r="H175" s="20">
        <f t="shared" si="4"/>
        <v>2750.47</v>
      </c>
    </row>
    <row r="176" spans="1:8" ht="20.100000000000001" customHeight="1" x14ac:dyDescent="0.25">
      <c r="A176" s="59" t="s">
        <v>300</v>
      </c>
      <c r="B176" s="3" t="s">
        <v>17</v>
      </c>
      <c r="C176" s="43" t="s">
        <v>144</v>
      </c>
      <c r="D176" s="43" t="s">
        <v>1095</v>
      </c>
      <c r="E176" s="78">
        <v>5.33</v>
      </c>
      <c r="F176" s="3" t="s">
        <v>54</v>
      </c>
      <c r="G176" s="78">
        <v>629.16999999999996</v>
      </c>
      <c r="H176" s="20">
        <f t="shared" si="4"/>
        <v>3353.48</v>
      </c>
    </row>
    <row r="177" spans="1:8" ht="20.100000000000001" customHeight="1" x14ac:dyDescent="0.25">
      <c r="A177" s="59" t="s">
        <v>301</v>
      </c>
      <c r="B177" s="3" t="s">
        <v>17</v>
      </c>
      <c r="C177" s="43" t="s">
        <v>146</v>
      </c>
      <c r="D177" s="43" t="s">
        <v>1096</v>
      </c>
      <c r="E177" s="78">
        <v>2.2200000000000002</v>
      </c>
      <c r="F177" s="3" t="s">
        <v>54</v>
      </c>
      <c r="G177" s="78">
        <v>660.49</v>
      </c>
      <c r="H177" s="20">
        <f t="shared" si="4"/>
        <v>1466.29</v>
      </c>
    </row>
    <row r="178" spans="1:8" ht="39.950000000000003" customHeight="1" x14ac:dyDescent="0.25">
      <c r="A178" s="59" t="s">
        <v>302</v>
      </c>
      <c r="B178" s="3" t="s">
        <v>17</v>
      </c>
      <c r="C178" s="43" t="s">
        <v>148</v>
      </c>
      <c r="D178" s="43" t="s">
        <v>1097</v>
      </c>
      <c r="E178" s="78">
        <v>7.02</v>
      </c>
      <c r="F178" s="3" t="s">
        <v>54</v>
      </c>
      <c r="G178" s="78">
        <v>886.26</v>
      </c>
      <c r="H178" s="20">
        <f t="shared" si="4"/>
        <v>6221.55</v>
      </c>
    </row>
    <row r="179" spans="1:8" ht="20.100000000000001" customHeight="1" x14ac:dyDescent="0.25">
      <c r="A179" s="59" t="s">
        <v>303</v>
      </c>
      <c r="B179" s="3" t="s">
        <v>17</v>
      </c>
      <c r="C179" s="43" t="s">
        <v>150</v>
      </c>
      <c r="D179" s="43" t="s">
        <v>1098</v>
      </c>
      <c r="E179" s="78">
        <v>3.26</v>
      </c>
      <c r="F179" s="3" t="s">
        <v>54</v>
      </c>
      <c r="G179" s="78">
        <v>571.54</v>
      </c>
      <c r="H179" s="20">
        <f t="shared" si="4"/>
        <v>1863.22</v>
      </c>
    </row>
    <row r="180" spans="1:8" ht="20.100000000000001" customHeight="1" x14ac:dyDescent="0.25">
      <c r="A180" s="59" t="s">
        <v>304</v>
      </c>
      <c r="B180" s="3" t="s">
        <v>17</v>
      </c>
      <c r="C180" s="43" t="s">
        <v>152</v>
      </c>
      <c r="D180" s="43" t="s">
        <v>1099</v>
      </c>
      <c r="E180" s="78">
        <v>1.81</v>
      </c>
      <c r="F180" s="3" t="s">
        <v>54</v>
      </c>
      <c r="G180" s="78">
        <v>547.96</v>
      </c>
      <c r="H180" s="20">
        <f t="shared" si="4"/>
        <v>991.81</v>
      </c>
    </row>
    <row r="181" spans="1:8" ht="20.100000000000001" customHeight="1" x14ac:dyDescent="0.25">
      <c r="A181" s="59" t="s">
        <v>305</v>
      </c>
      <c r="B181" s="3" t="s">
        <v>17</v>
      </c>
      <c r="C181" s="43" t="s">
        <v>155</v>
      </c>
      <c r="D181" s="43" t="s">
        <v>1100</v>
      </c>
      <c r="E181" s="78">
        <v>31.89</v>
      </c>
      <c r="F181" s="3" t="s">
        <v>154</v>
      </c>
      <c r="G181" s="78">
        <v>74.78</v>
      </c>
      <c r="H181" s="20">
        <f t="shared" si="4"/>
        <v>2384.73</v>
      </c>
    </row>
    <row r="182" spans="1:8" ht="20.100000000000001" customHeight="1" x14ac:dyDescent="0.25">
      <c r="A182" s="59" t="s">
        <v>306</v>
      </c>
      <c r="B182" s="3" t="s">
        <v>17</v>
      </c>
      <c r="C182" s="43" t="s">
        <v>307</v>
      </c>
      <c r="D182" s="43" t="s">
        <v>1158</v>
      </c>
      <c r="E182" s="78">
        <v>0.98</v>
      </c>
      <c r="F182" s="3" t="s">
        <v>54</v>
      </c>
      <c r="G182" s="78">
        <v>572.21</v>
      </c>
      <c r="H182" s="20">
        <f t="shared" si="4"/>
        <v>560.77</v>
      </c>
    </row>
    <row r="183" spans="1:8" ht="20.100000000000001" customHeight="1" x14ac:dyDescent="0.25">
      <c r="A183" s="59" t="s">
        <v>308</v>
      </c>
      <c r="B183" s="3" t="s">
        <v>17</v>
      </c>
      <c r="C183" s="43" t="s">
        <v>309</v>
      </c>
      <c r="D183" s="43" t="s">
        <v>1162</v>
      </c>
      <c r="E183" s="78">
        <v>4.2</v>
      </c>
      <c r="F183" s="3" t="s">
        <v>54</v>
      </c>
      <c r="G183" s="78">
        <v>551.5</v>
      </c>
      <c r="H183" s="20">
        <f t="shared" si="4"/>
        <v>2316.3000000000002</v>
      </c>
    </row>
    <row r="184" spans="1:8" ht="20.100000000000001" customHeight="1" x14ac:dyDescent="0.25">
      <c r="A184" s="59" t="s">
        <v>310</v>
      </c>
      <c r="B184" s="3" t="s">
        <v>17</v>
      </c>
      <c r="C184" s="43" t="s">
        <v>221</v>
      </c>
      <c r="D184" s="43" t="s">
        <v>1122</v>
      </c>
      <c r="E184" s="78">
        <v>1.67</v>
      </c>
      <c r="F184" s="3" t="s">
        <v>54</v>
      </c>
      <c r="G184" s="78">
        <v>602.71</v>
      </c>
      <c r="H184" s="20">
        <f t="shared" si="4"/>
        <v>1006.53</v>
      </c>
    </row>
    <row r="185" spans="1:8" ht="20.100000000000001" customHeight="1" x14ac:dyDescent="0.25">
      <c r="A185" s="59" t="s">
        <v>311</v>
      </c>
      <c r="B185" s="3" t="s">
        <v>17</v>
      </c>
      <c r="C185" s="43" t="s">
        <v>312</v>
      </c>
      <c r="D185" s="43" t="s">
        <v>1163</v>
      </c>
      <c r="E185" s="78">
        <v>1.87</v>
      </c>
      <c r="F185" s="3" t="s">
        <v>54</v>
      </c>
      <c r="G185" s="78">
        <v>629.30999999999995</v>
      </c>
      <c r="H185" s="20">
        <f t="shared" si="4"/>
        <v>1176.81</v>
      </c>
    </row>
    <row r="186" spans="1:8" ht="20.100000000000001" customHeight="1" x14ac:dyDescent="0.25">
      <c r="A186" s="59" t="s">
        <v>313</v>
      </c>
      <c r="B186" s="3" t="s">
        <v>17</v>
      </c>
      <c r="C186" s="43" t="s">
        <v>314</v>
      </c>
      <c r="D186" s="43" t="s">
        <v>1159</v>
      </c>
      <c r="E186" s="78">
        <v>2.79</v>
      </c>
      <c r="F186" s="3" t="s">
        <v>54</v>
      </c>
      <c r="G186" s="78">
        <v>555.99</v>
      </c>
      <c r="H186" s="20">
        <f t="shared" si="4"/>
        <v>1551.21</v>
      </c>
    </row>
    <row r="187" spans="1:8" ht="20.100000000000001" customHeight="1" x14ac:dyDescent="0.25">
      <c r="A187" s="59" t="s">
        <v>315</v>
      </c>
      <c r="B187" s="3" t="s">
        <v>17</v>
      </c>
      <c r="C187" s="43" t="s">
        <v>225</v>
      </c>
      <c r="D187" s="43" t="s">
        <v>1164</v>
      </c>
      <c r="E187" s="78">
        <v>1.32</v>
      </c>
      <c r="F187" s="3" t="s">
        <v>54</v>
      </c>
      <c r="G187" s="78">
        <v>619.39</v>
      </c>
      <c r="H187" s="20">
        <f t="shared" si="4"/>
        <v>817.59</v>
      </c>
    </row>
    <row r="188" spans="1:8" ht="20.100000000000001" customHeight="1" x14ac:dyDescent="0.25">
      <c r="A188" s="59" t="s">
        <v>316</v>
      </c>
      <c r="B188" s="3" t="s">
        <v>17</v>
      </c>
      <c r="C188" s="43" t="s">
        <v>227</v>
      </c>
      <c r="D188" s="43" t="s">
        <v>1125</v>
      </c>
      <c r="E188" s="78">
        <v>2.88</v>
      </c>
      <c r="F188" s="3" t="s">
        <v>54</v>
      </c>
      <c r="G188" s="78">
        <v>619.38</v>
      </c>
      <c r="H188" s="20">
        <f t="shared" si="4"/>
        <v>1783.81</v>
      </c>
    </row>
    <row r="189" spans="1:8" ht="20.100000000000001" customHeight="1" x14ac:dyDescent="0.25">
      <c r="A189" s="59" t="s">
        <v>317</v>
      </c>
      <c r="B189" s="3" t="s">
        <v>17</v>
      </c>
      <c r="C189" s="43" t="s">
        <v>318</v>
      </c>
      <c r="D189" s="43" t="s">
        <v>1160</v>
      </c>
      <c r="E189" s="78">
        <v>1.87</v>
      </c>
      <c r="F189" s="3" t="s">
        <v>54</v>
      </c>
      <c r="G189" s="78">
        <v>642.79999999999995</v>
      </c>
      <c r="H189" s="20">
        <f t="shared" si="4"/>
        <v>1202.04</v>
      </c>
    </row>
    <row r="190" spans="1:8" ht="20.100000000000001" customHeight="1" x14ac:dyDescent="0.25">
      <c r="A190" s="59" t="s">
        <v>319</v>
      </c>
      <c r="B190" s="3" t="s">
        <v>17</v>
      </c>
      <c r="C190" s="43" t="s">
        <v>320</v>
      </c>
      <c r="D190" s="43" t="s">
        <v>1161</v>
      </c>
      <c r="E190" s="78">
        <v>1.43</v>
      </c>
      <c r="F190" s="3" t="s">
        <v>54</v>
      </c>
      <c r="G190" s="78">
        <v>560.48</v>
      </c>
      <c r="H190" s="20">
        <f t="shared" si="4"/>
        <v>801.49</v>
      </c>
    </row>
    <row r="191" spans="1:8" ht="20.100000000000001" customHeight="1" x14ac:dyDescent="0.25">
      <c r="A191" s="59" t="s">
        <v>321</v>
      </c>
      <c r="B191" s="3" t="s">
        <v>17</v>
      </c>
      <c r="C191" s="43" t="s">
        <v>322</v>
      </c>
      <c r="D191" s="43" t="s">
        <v>1165</v>
      </c>
      <c r="E191" s="78">
        <v>1.18</v>
      </c>
      <c r="F191" s="3" t="s">
        <v>54</v>
      </c>
      <c r="G191" s="78">
        <v>507.77</v>
      </c>
      <c r="H191" s="20">
        <f t="shared" si="4"/>
        <v>599.16999999999996</v>
      </c>
    </row>
    <row r="192" spans="1:8" ht="20.100000000000001" customHeight="1" x14ac:dyDescent="0.25">
      <c r="A192" s="59" t="s">
        <v>323</v>
      </c>
      <c r="B192" s="3" t="s">
        <v>17</v>
      </c>
      <c r="C192" s="43" t="s">
        <v>324</v>
      </c>
      <c r="D192" s="43" t="s">
        <v>1166</v>
      </c>
      <c r="E192" s="78">
        <v>4.6399999999999997</v>
      </c>
      <c r="F192" s="3" t="s">
        <v>54</v>
      </c>
      <c r="G192" s="78">
        <v>523.27</v>
      </c>
      <c r="H192" s="20">
        <f t="shared" si="4"/>
        <v>2427.9699999999998</v>
      </c>
    </row>
    <row r="193" spans="1:8" ht="20.100000000000001" customHeight="1" x14ac:dyDescent="0.25">
      <c r="A193" s="59" t="s">
        <v>325</v>
      </c>
      <c r="B193" s="3" t="s">
        <v>17</v>
      </c>
      <c r="C193" s="43" t="s">
        <v>235</v>
      </c>
      <c r="D193" s="43" t="s">
        <v>1129</v>
      </c>
      <c r="E193" s="78">
        <v>0.87</v>
      </c>
      <c r="F193" s="3" t="s">
        <v>54</v>
      </c>
      <c r="G193" s="78">
        <v>602.89</v>
      </c>
      <c r="H193" s="20">
        <f t="shared" si="4"/>
        <v>524.51</v>
      </c>
    </row>
    <row r="194" spans="1:8" ht="20.100000000000001" customHeight="1" x14ac:dyDescent="0.25">
      <c r="A194" s="59" t="s">
        <v>326</v>
      </c>
      <c r="B194" s="3" t="s">
        <v>17</v>
      </c>
      <c r="C194" s="43" t="s">
        <v>237</v>
      </c>
      <c r="D194" s="43" t="s">
        <v>1130</v>
      </c>
      <c r="E194" s="78">
        <v>1.23</v>
      </c>
      <c r="F194" s="3" t="s">
        <v>54</v>
      </c>
      <c r="G194" s="78">
        <v>624.05999999999995</v>
      </c>
      <c r="H194" s="20">
        <f t="shared" si="4"/>
        <v>767.59</v>
      </c>
    </row>
    <row r="195" spans="1:8" ht="20.100000000000001" customHeight="1" x14ac:dyDescent="0.25">
      <c r="A195" s="59" t="s">
        <v>327</v>
      </c>
      <c r="B195" s="3" t="s">
        <v>17</v>
      </c>
      <c r="C195" s="43" t="s">
        <v>239</v>
      </c>
      <c r="D195" s="43" t="s">
        <v>1131</v>
      </c>
      <c r="E195" s="78">
        <v>0.87</v>
      </c>
      <c r="F195" s="3" t="s">
        <v>54</v>
      </c>
      <c r="G195" s="78">
        <v>610.39</v>
      </c>
      <c r="H195" s="20">
        <f t="shared" si="4"/>
        <v>531.04</v>
      </c>
    </row>
    <row r="196" spans="1:8" ht="20.100000000000001" customHeight="1" x14ac:dyDescent="0.25">
      <c r="A196" s="59" t="s">
        <v>328</v>
      </c>
      <c r="B196" s="3" t="s">
        <v>17</v>
      </c>
      <c r="C196" s="43" t="s">
        <v>243</v>
      </c>
      <c r="D196" s="43" t="s">
        <v>1133</v>
      </c>
      <c r="E196" s="78">
        <v>1.23</v>
      </c>
      <c r="F196" s="3" t="s">
        <v>54</v>
      </c>
      <c r="G196" s="78">
        <v>636.79999999999995</v>
      </c>
      <c r="H196" s="20">
        <f t="shared" si="4"/>
        <v>783.26</v>
      </c>
    </row>
    <row r="197" spans="1:8" ht="20.100000000000001" customHeight="1" x14ac:dyDescent="0.25">
      <c r="A197" s="59" t="s">
        <v>329</v>
      </c>
      <c r="B197" s="3" t="s">
        <v>17</v>
      </c>
      <c r="C197" s="43" t="s">
        <v>245</v>
      </c>
      <c r="D197" s="43" t="s">
        <v>1134</v>
      </c>
      <c r="E197" s="78">
        <v>3.02</v>
      </c>
      <c r="F197" s="3" t="s">
        <v>54</v>
      </c>
      <c r="G197" s="78">
        <v>618.82000000000005</v>
      </c>
      <c r="H197" s="20">
        <f t="shared" si="4"/>
        <v>1868.84</v>
      </c>
    </row>
    <row r="198" spans="1:8" ht="20.100000000000001" customHeight="1" x14ac:dyDescent="0.25">
      <c r="A198" s="59" t="s">
        <v>330</v>
      </c>
      <c r="B198" s="3" t="s">
        <v>17</v>
      </c>
      <c r="C198" s="43" t="s">
        <v>331</v>
      </c>
      <c r="D198" s="43" t="s">
        <v>1167</v>
      </c>
      <c r="E198" s="78">
        <v>9</v>
      </c>
      <c r="F198" s="3" t="s">
        <v>54</v>
      </c>
      <c r="G198" s="78">
        <v>523.27</v>
      </c>
      <c r="H198" s="20">
        <f t="shared" si="4"/>
        <v>4709.43</v>
      </c>
    </row>
    <row r="199" spans="1:8" ht="20.100000000000001" customHeight="1" x14ac:dyDescent="0.25">
      <c r="A199" s="59" t="s">
        <v>332</v>
      </c>
      <c r="B199" s="3" t="s">
        <v>17</v>
      </c>
      <c r="C199" s="43" t="s">
        <v>333</v>
      </c>
      <c r="D199" s="43" t="s">
        <v>1168</v>
      </c>
      <c r="E199" s="78">
        <v>4.75</v>
      </c>
      <c r="F199" s="3" t="s">
        <v>54</v>
      </c>
      <c r="G199" s="78">
        <v>507.77</v>
      </c>
      <c r="H199" s="20">
        <f t="shared" si="4"/>
        <v>2411.91</v>
      </c>
    </row>
    <row r="200" spans="1:8" ht="20.100000000000001" customHeight="1" x14ac:dyDescent="0.25">
      <c r="A200" s="59" t="s">
        <v>334</v>
      </c>
      <c r="B200" s="3" t="s">
        <v>17</v>
      </c>
      <c r="C200" s="43" t="s">
        <v>251</v>
      </c>
      <c r="D200" s="43" t="s">
        <v>1139</v>
      </c>
      <c r="E200" s="78">
        <v>1.9</v>
      </c>
      <c r="F200" s="3" t="s">
        <v>54</v>
      </c>
      <c r="G200" s="78">
        <v>575.25</v>
      </c>
      <c r="H200" s="20">
        <f t="shared" si="4"/>
        <v>1092.98</v>
      </c>
    </row>
    <row r="201" spans="1:8" ht="20.100000000000001" customHeight="1" x14ac:dyDescent="0.25">
      <c r="A201" s="59" t="s">
        <v>335</v>
      </c>
      <c r="B201" s="3" t="s">
        <v>17</v>
      </c>
      <c r="C201" s="43" t="s">
        <v>253</v>
      </c>
      <c r="D201" s="43" t="s">
        <v>1140</v>
      </c>
      <c r="E201" s="78">
        <v>2.39</v>
      </c>
      <c r="F201" s="3" t="s">
        <v>54</v>
      </c>
      <c r="G201" s="78">
        <v>685.58</v>
      </c>
      <c r="H201" s="20">
        <f t="shared" si="4"/>
        <v>1638.54</v>
      </c>
    </row>
    <row r="202" spans="1:8" ht="20.100000000000001" customHeight="1" x14ac:dyDescent="0.25">
      <c r="A202" s="59" t="s">
        <v>336</v>
      </c>
      <c r="B202" s="3" t="s">
        <v>17</v>
      </c>
      <c r="C202" s="43" t="s">
        <v>255</v>
      </c>
      <c r="D202" s="43" t="s">
        <v>1138</v>
      </c>
      <c r="E202" s="78">
        <v>4.5199999999999996</v>
      </c>
      <c r="F202" s="3" t="s">
        <v>54</v>
      </c>
      <c r="G202" s="78">
        <v>582.36</v>
      </c>
      <c r="H202" s="20">
        <f t="shared" si="4"/>
        <v>2632.27</v>
      </c>
    </row>
    <row r="203" spans="1:8" ht="20.100000000000001" customHeight="1" x14ac:dyDescent="0.25">
      <c r="A203" s="59" t="s">
        <v>337</v>
      </c>
      <c r="B203" s="3" t="s">
        <v>17</v>
      </c>
      <c r="C203" s="43" t="s">
        <v>257</v>
      </c>
      <c r="D203" s="43" t="s">
        <v>1137</v>
      </c>
      <c r="E203" s="78">
        <v>3.16</v>
      </c>
      <c r="F203" s="3" t="s">
        <v>54</v>
      </c>
      <c r="G203" s="78">
        <v>695.05</v>
      </c>
      <c r="H203" s="20">
        <f t="shared" si="4"/>
        <v>2196.36</v>
      </c>
    </row>
    <row r="204" spans="1:8" ht="20.100000000000001" customHeight="1" x14ac:dyDescent="0.25">
      <c r="A204" s="59" t="s">
        <v>338</v>
      </c>
      <c r="B204" s="3" t="s">
        <v>17</v>
      </c>
      <c r="C204" s="43" t="s">
        <v>259</v>
      </c>
      <c r="D204" s="43" t="s">
        <v>1141</v>
      </c>
      <c r="E204" s="78">
        <v>0.77</v>
      </c>
      <c r="F204" s="3" t="s">
        <v>54</v>
      </c>
      <c r="G204" s="78">
        <v>610.88</v>
      </c>
      <c r="H204" s="20">
        <f t="shared" si="4"/>
        <v>470.38</v>
      </c>
    </row>
    <row r="205" spans="1:8" ht="20.100000000000001" customHeight="1" x14ac:dyDescent="0.25">
      <c r="A205" s="59" t="s">
        <v>339</v>
      </c>
      <c r="B205" s="3" t="s">
        <v>17</v>
      </c>
      <c r="C205" s="43" t="s">
        <v>261</v>
      </c>
      <c r="D205" s="43" t="s">
        <v>1142</v>
      </c>
      <c r="E205" s="78">
        <v>0.59</v>
      </c>
      <c r="F205" s="3" t="s">
        <v>54</v>
      </c>
      <c r="G205" s="78">
        <v>714.3</v>
      </c>
      <c r="H205" s="20">
        <f t="shared" si="4"/>
        <v>421.44</v>
      </c>
    </row>
    <row r="206" spans="1:8" ht="20.100000000000001" customHeight="1" x14ac:dyDescent="0.25">
      <c r="A206" s="59" t="s">
        <v>340</v>
      </c>
      <c r="B206" s="3" t="s">
        <v>17</v>
      </c>
      <c r="C206" s="43" t="s">
        <v>263</v>
      </c>
      <c r="D206" s="43" t="s">
        <v>1143</v>
      </c>
      <c r="E206" s="78">
        <v>7.85</v>
      </c>
      <c r="F206" s="3" t="s">
        <v>54</v>
      </c>
      <c r="G206" s="78">
        <v>378.25</v>
      </c>
      <c r="H206" s="20">
        <f t="shared" si="4"/>
        <v>2969.26</v>
      </c>
    </row>
    <row r="207" spans="1:8" s="4" customFormat="1" ht="39.950000000000003" customHeight="1" x14ac:dyDescent="0.25">
      <c r="A207" s="59" t="s">
        <v>341</v>
      </c>
      <c r="B207" s="3" t="s">
        <v>17</v>
      </c>
      <c r="C207" s="43" t="s">
        <v>342</v>
      </c>
      <c r="D207" s="43" t="s">
        <v>1169</v>
      </c>
      <c r="E207" s="78">
        <v>6.03</v>
      </c>
      <c r="F207" s="3" t="s">
        <v>54</v>
      </c>
      <c r="G207" s="78">
        <v>471.68</v>
      </c>
      <c r="H207" s="20">
        <f t="shared" si="4"/>
        <v>2844.23</v>
      </c>
    </row>
    <row r="208" spans="1:8" ht="39.950000000000003" customHeight="1" x14ac:dyDescent="0.25">
      <c r="A208" s="59" t="s">
        <v>343</v>
      </c>
      <c r="B208" s="3" t="s">
        <v>17</v>
      </c>
      <c r="C208" s="43" t="s">
        <v>265</v>
      </c>
      <c r="D208" s="43" t="s">
        <v>1144</v>
      </c>
      <c r="E208" s="78">
        <v>78.58</v>
      </c>
      <c r="F208" s="3" t="s">
        <v>54</v>
      </c>
      <c r="G208" s="78">
        <v>480.94</v>
      </c>
      <c r="H208" s="20">
        <f t="shared" si="4"/>
        <v>37792.269999999997</v>
      </c>
    </row>
    <row r="209" spans="1:8" ht="20.100000000000001" customHeight="1" x14ac:dyDescent="0.25">
      <c r="A209" s="52"/>
      <c r="B209" s="9"/>
      <c r="C209" s="44" t="s">
        <v>344</v>
      </c>
      <c r="D209" s="44" t="s">
        <v>344</v>
      </c>
      <c r="E209" s="78">
        <v>1</v>
      </c>
      <c r="F209" s="9"/>
      <c r="G209" s="79">
        <f>SUM(H170:H208)</f>
        <v>101672.6</v>
      </c>
      <c r="H209" s="29">
        <f t="shared" si="4"/>
        <v>101672.6</v>
      </c>
    </row>
    <row r="210" spans="1:8" ht="20.100000000000001" customHeight="1" x14ac:dyDescent="0.25">
      <c r="A210" s="60"/>
      <c r="B210" s="12"/>
      <c r="C210" s="45"/>
      <c r="D210" s="45"/>
      <c r="E210" s="34"/>
      <c r="F210" s="12"/>
      <c r="G210" s="34"/>
      <c r="H210" s="30"/>
    </row>
    <row r="211" spans="1:8" ht="20.100000000000001" customHeight="1" x14ac:dyDescent="0.25">
      <c r="A211" s="62" t="s">
        <v>345</v>
      </c>
      <c r="B211" s="7" t="s">
        <v>9</v>
      </c>
      <c r="C211" s="47" t="s">
        <v>164</v>
      </c>
      <c r="D211" s="47" t="s">
        <v>1151</v>
      </c>
      <c r="E211" s="81">
        <f>E217</f>
        <v>1</v>
      </c>
      <c r="F211" s="7" t="s">
        <v>10</v>
      </c>
      <c r="G211" s="81">
        <f>G217</f>
        <v>26777.87</v>
      </c>
      <c r="H211" s="21">
        <f>H217</f>
        <v>26777.87</v>
      </c>
    </row>
    <row r="212" spans="1:8" ht="20.100000000000001" customHeight="1" x14ac:dyDescent="0.25">
      <c r="A212" s="59" t="s">
        <v>346</v>
      </c>
      <c r="B212" s="3" t="s">
        <v>17</v>
      </c>
      <c r="C212" s="43" t="s">
        <v>284</v>
      </c>
      <c r="D212" s="43" t="s">
        <v>1153</v>
      </c>
      <c r="E212" s="78">
        <v>108.78</v>
      </c>
      <c r="F212" s="3" t="s">
        <v>18</v>
      </c>
      <c r="G212" s="78">
        <v>43.65</v>
      </c>
      <c r="H212" s="20">
        <f t="shared" ref="H212:H217" si="5">ROUND(E212*G212,2)</f>
        <v>4748.25</v>
      </c>
    </row>
    <row r="213" spans="1:8" ht="20.100000000000001" customHeight="1" x14ac:dyDescent="0.25">
      <c r="A213" s="59" t="s">
        <v>347</v>
      </c>
      <c r="B213" s="3" t="s">
        <v>17</v>
      </c>
      <c r="C213" s="43" t="s">
        <v>282</v>
      </c>
      <c r="D213" s="43" t="s">
        <v>1154</v>
      </c>
      <c r="E213" s="78">
        <v>298.82</v>
      </c>
      <c r="F213" s="3" t="s">
        <v>18</v>
      </c>
      <c r="G213" s="78">
        <v>49.36</v>
      </c>
      <c r="H213" s="20">
        <f t="shared" si="5"/>
        <v>14749.76</v>
      </c>
    </row>
    <row r="214" spans="1:8" ht="20.100000000000001" customHeight="1" x14ac:dyDescent="0.25">
      <c r="A214" s="59" t="s">
        <v>348</v>
      </c>
      <c r="B214" s="3" t="s">
        <v>17</v>
      </c>
      <c r="C214" s="43" t="s">
        <v>288</v>
      </c>
      <c r="D214" s="43" t="s">
        <v>1155</v>
      </c>
      <c r="E214" s="78">
        <v>10.8</v>
      </c>
      <c r="F214" s="3" t="s">
        <v>18</v>
      </c>
      <c r="G214" s="78">
        <v>45.02</v>
      </c>
      <c r="H214" s="20">
        <f t="shared" si="5"/>
        <v>486.22</v>
      </c>
    </row>
    <row r="215" spans="1:8" ht="20.100000000000001" customHeight="1" x14ac:dyDescent="0.25">
      <c r="A215" s="59" t="s">
        <v>349</v>
      </c>
      <c r="B215" s="3" t="s">
        <v>17</v>
      </c>
      <c r="C215" s="43" t="s">
        <v>286</v>
      </c>
      <c r="D215" s="43" t="s">
        <v>1156</v>
      </c>
      <c r="E215" s="78">
        <v>122.33</v>
      </c>
      <c r="F215" s="3" t="s">
        <v>18</v>
      </c>
      <c r="G215" s="78">
        <v>50.73</v>
      </c>
      <c r="H215" s="20">
        <f t="shared" si="5"/>
        <v>6205.8</v>
      </c>
    </row>
    <row r="216" spans="1:8" ht="20.100000000000001" customHeight="1" x14ac:dyDescent="0.25">
      <c r="A216" s="59" t="s">
        <v>350</v>
      </c>
      <c r="B216" s="3" t="s">
        <v>17</v>
      </c>
      <c r="C216" s="43" t="s">
        <v>351</v>
      </c>
      <c r="D216" s="43" t="s">
        <v>1170</v>
      </c>
      <c r="E216" s="78">
        <v>13.92</v>
      </c>
      <c r="F216" s="3" t="s">
        <v>18</v>
      </c>
      <c r="G216" s="78">
        <v>42.23</v>
      </c>
      <c r="H216" s="20">
        <f t="shared" si="5"/>
        <v>587.84</v>
      </c>
    </row>
    <row r="217" spans="1:8" ht="20.100000000000001" customHeight="1" x14ac:dyDescent="0.25">
      <c r="A217" s="52"/>
      <c r="B217" s="9"/>
      <c r="C217" s="44" t="s">
        <v>352</v>
      </c>
      <c r="D217" s="44" t="s">
        <v>352</v>
      </c>
      <c r="E217" s="78">
        <v>1</v>
      </c>
      <c r="F217" s="9"/>
      <c r="G217" s="79">
        <f>SUM(H212:H216)</f>
        <v>26777.87</v>
      </c>
      <c r="H217" s="29">
        <f t="shared" si="5"/>
        <v>26777.87</v>
      </c>
    </row>
    <row r="218" spans="1:8" ht="20.100000000000001" customHeight="1" x14ac:dyDescent="0.25">
      <c r="A218" s="60"/>
      <c r="B218" s="12"/>
      <c r="C218" s="45"/>
      <c r="D218" s="45"/>
      <c r="E218" s="34"/>
      <c r="F218" s="12"/>
      <c r="G218" s="34"/>
      <c r="H218" s="30"/>
    </row>
    <row r="219" spans="1:8" ht="20.100000000000001" customHeight="1" x14ac:dyDescent="0.25">
      <c r="A219" s="52"/>
      <c r="B219" s="9"/>
      <c r="C219" s="44" t="s">
        <v>353</v>
      </c>
      <c r="D219" s="44" t="s">
        <v>353</v>
      </c>
      <c r="E219" s="78">
        <v>1</v>
      </c>
      <c r="F219" s="9"/>
      <c r="G219" s="79">
        <f>H169+H211</f>
        <v>128450.47</v>
      </c>
      <c r="H219" s="29">
        <f>ROUND(E219*G219,2)</f>
        <v>128450.47</v>
      </c>
    </row>
    <row r="220" spans="1:8" ht="20.100000000000001" customHeight="1" x14ac:dyDescent="0.25">
      <c r="A220" s="60"/>
      <c r="B220" s="12"/>
      <c r="C220" s="45"/>
      <c r="D220" s="45"/>
      <c r="E220" s="34"/>
      <c r="F220" s="12"/>
      <c r="G220" s="34"/>
      <c r="H220" s="30"/>
    </row>
    <row r="221" spans="1:8" ht="20.100000000000001" customHeight="1" x14ac:dyDescent="0.25">
      <c r="A221" s="52"/>
      <c r="B221" s="9"/>
      <c r="C221" s="44" t="s">
        <v>354</v>
      </c>
      <c r="D221" s="44" t="s">
        <v>354</v>
      </c>
      <c r="E221" s="78">
        <v>1</v>
      </c>
      <c r="F221" s="9"/>
      <c r="G221" s="79">
        <f>H39+H96+H168</f>
        <v>424351.74</v>
      </c>
      <c r="H221" s="29">
        <f>ROUND(E221*G221,2)</f>
        <v>424351.74</v>
      </c>
    </row>
    <row r="222" spans="1:8" ht="20.100000000000001" customHeight="1" x14ac:dyDescent="0.25">
      <c r="A222" s="60"/>
      <c r="B222" s="12"/>
      <c r="C222" s="45"/>
      <c r="D222" s="45"/>
      <c r="E222" s="34"/>
      <c r="F222" s="12"/>
      <c r="G222" s="34"/>
      <c r="H222" s="30"/>
    </row>
    <row r="223" spans="1:8" ht="20.100000000000001" customHeight="1" x14ac:dyDescent="0.25">
      <c r="A223" s="58" t="s">
        <v>355</v>
      </c>
      <c r="B223" s="5" t="s">
        <v>9</v>
      </c>
      <c r="C223" s="42" t="s">
        <v>356</v>
      </c>
      <c r="D223" s="42" t="s">
        <v>1182</v>
      </c>
      <c r="E223" s="77">
        <f>E603</f>
        <v>1</v>
      </c>
      <c r="F223" s="5" t="s">
        <v>10</v>
      </c>
      <c r="G223" s="77">
        <f>G603</f>
        <v>726174.21</v>
      </c>
      <c r="H223" s="28">
        <f>H603</f>
        <v>726174.21</v>
      </c>
    </row>
    <row r="224" spans="1:8" ht="20.100000000000001" customHeight="1" x14ac:dyDescent="0.25">
      <c r="A224" s="61" t="s">
        <v>357</v>
      </c>
      <c r="B224" s="17" t="s">
        <v>9</v>
      </c>
      <c r="C224" s="46" t="s">
        <v>172</v>
      </c>
      <c r="D224" s="46" t="s">
        <v>1152</v>
      </c>
      <c r="E224" s="80">
        <f>E430</f>
        <v>1</v>
      </c>
      <c r="F224" s="17" t="s">
        <v>10</v>
      </c>
      <c r="G224" s="80">
        <f>G430</f>
        <v>329414.46000000002</v>
      </c>
      <c r="H224" s="31">
        <f>H430</f>
        <v>329414.46000000002</v>
      </c>
    </row>
    <row r="225" spans="1:8" ht="20.100000000000001" customHeight="1" x14ac:dyDescent="0.25">
      <c r="A225" s="62" t="s">
        <v>358</v>
      </c>
      <c r="B225" s="7" t="s">
        <v>9</v>
      </c>
      <c r="C225" s="47" t="s">
        <v>359</v>
      </c>
      <c r="D225" s="47" t="s">
        <v>1183</v>
      </c>
      <c r="E225" s="81">
        <f>E237</f>
        <v>1</v>
      </c>
      <c r="F225" s="7" t="s">
        <v>10</v>
      </c>
      <c r="G225" s="81">
        <f>G237</f>
        <v>59065.919999999998</v>
      </c>
      <c r="H225" s="21">
        <f>H237</f>
        <v>59065.919999999998</v>
      </c>
    </row>
    <row r="226" spans="1:8" ht="39.950000000000003" customHeight="1" x14ac:dyDescent="0.25">
      <c r="A226" s="59" t="s">
        <v>360</v>
      </c>
      <c r="B226" s="3" t="s">
        <v>17</v>
      </c>
      <c r="C226" s="43" t="s">
        <v>361</v>
      </c>
      <c r="D226" s="43" t="s">
        <v>1171</v>
      </c>
      <c r="E226" s="78">
        <v>1931.18</v>
      </c>
      <c r="F226" s="3" t="s">
        <v>277</v>
      </c>
      <c r="G226" s="78">
        <v>4.3</v>
      </c>
      <c r="H226" s="20">
        <f t="shared" ref="H226:H237" si="6">ROUND(E226*G226,2)</f>
        <v>8304.07</v>
      </c>
    </row>
    <row r="227" spans="1:8" ht="20.100000000000001" customHeight="1" x14ac:dyDescent="0.25">
      <c r="A227" s="59" t="s">
        <v>362</v>
      </c>
      <c r="B227" s="3" t="s">
        <v>17</v>
      </c>
      <c r="C227" s="43" t="s">
        <v>363</v>
      </c>
      <c r="D227" s="43" t="s">
        <v>1172</v>
      </c>
      <c r="E227" s="78">
        <v>148.80000000000001</v>
      </c>
      <c r="F227" s="3" t="s">
        <v>35</v>
      </c>
      <c r="G227" s="78">
        <v>4.7699999999999996</v>
      </c>
      <c r="H227" s="20">
        <f t="shared" si="6"/>
        <v>709.78</v>
      </c>
    </row>
    <row r="228" spans="1:8" ht="20.100000000000001" customHeight="1" x14ac:dyDescent="0.25">
      <c r="A228" s="59" t="s">
        <v>364</v>
      </c>
      <c r="B228" s="3" t="s">
        <v>17</v>
      </c>
      <c r="C228" s="43" t="s">
        <v>365</v>
      </c>
      <c r="D228" s="43" t="s">
        <v>1173</v>
      </c>
      <c r="E228" s="78">
        <v>424.19</v>
      </c>
      <c r="F228" s="3" t="s">
        <v>277</v>
      </c>
      <c r="G228" s="78">
        <v>11.97</v>
      </c>
      <c r="H228" s="20">
        <f t="shared" si="6"/>
        <v>5077.55</v>
      </c>
    </row>
    <row r="229" spans="1:8" ht="20.100000000000001" customHeight="1" x14ac:dyDescent="0.25">
      <c r="A229" s="59" t="s">
        <v>366</v>
      </c>
      <c r="B229" s="3" t="s">
        <v>17</v>
      </c>
      <c r="C229" s="43" t="s">
        <v>367</v>
      </c>
      <c r="D229" s="43" t="s">
        <v>1174</v>
      </c>
      <c r="E229" s="78">
        <v>148.80000000000001</v>
      </c>
      <c r="F229" s="3" t="s">
        <v>35</v>
      </c>
      <c r="G229" s="78">
        <v>13</v>
      </c>
      <c r="H229" s="20">
        <f t="shared" si="6"/>
        <v>1934.4</v>
      </c>
    </row>
    <row r="230" spans="1:8" ht="20.100000000000001" customHeight="1" x14ac:dyDescent="0.25">
      <c r="A230" s="59" t="s">
        <v>368</v>
      </c>
      <c r="B230" s="3" t="s">
        <v>17</v>
      </c>
      <c r="C230" s="43" t="s">
        <v>369</v>
      </c>
      <c r="D230" s="43" t="s">
        <v>1175</v>
      </c>
      <c r="E230" s="78">
        <v>1156.26</v>
      </c>
      <c r="F230" s="3" t="s">
        <v>35</v>
      </c>
      <c r="G230" s="78">
        <v>11.59</v>
      </c>
      <c r="H230" s="20">
        <f t="shared" si="6"/>
        <v>13401.05</v>
      </c>
    </row>
    <row r="231" spans="1:8" ht="20.100000000000001" customHeight="1" x14ac:dyDescent="0.25">
      <c r="A231" s="59" t="s">
        <v>370</v>
      </c>
      <c r="B231" s="3" t="s">
        <v>17</v>
      </c>
      <c r="C231" s="43" t="s">
        <v>371</v>
      </c>
      <c r="D231" s="43" t="s">
        <v>1176</v>
      </c>
      <c r="E231" s="78">
        <v>424.59</v>
      </c>
      <c r="F231" s="3" t="s">
        <v>35</v>
      </c>
      <c r="G231" s="78">
        <v>12.31</v>
      </c>
      <c r="H231" s="20">
        <f t="shared" si="6"/>
        <v>5226.7</v>
      </c>
    </row>
    <row r="232" spans="1:8" ht="20.100000000000001" customHeight="1" x14ac:dyDescent="0.25">
      <c r="A232" s="59" t="s">
        <v>372</v>
      </c>
      <c r="B232" s="3" t="s">
        <v>17</v>
      </c>
      <c r="C232" s="43" t="s">
        <v>373</v>
      </c>
      <c r="D232" s="43" t="s">
        <v>1177</v>
      </c>
      <c r="E232" s="78">
        <v>167.84</v>
      </c>
      <c r="F232" s="3" t="s">
        <v>35</v>
      </c>
      <c r="G232" s="78">
        <v>9.18</v>
      </c>
      <c r="H232" s="20">
        <f t="shared" si="6"/>
        <v>1540.77</v>
      </c>
    </row>
    <row r="233" spans="1:8" ht="20.100000000000001" customHeight="1" x14ac:dyDescent="0.25">
      <c r="A233" s="59" t="s">
        <v>374</v>
      </c>
      <c r="B233" s="3" t="s">
        <v>17</v>
      </c>
      <c r="C233" s="43" t="s">
        <v>375</v>
      </c>
      <c r="D233" s="43" t="s">
        <v>1178</v>
      </c>
      <c r="E233" s="78">
        <v>15.64</v>
      </c>
      <c r="F233" s="3" t="s">
        <v>35</v>
      </c>
      <c r="G233" s="78">
        <v>12.31</v>
      </c>
      <c r="H233" s="20">
        <f t="shared" si="6"/>
        <v>192.53</v>
      </c>
    </row>
    <row r="234" spans="1:8" ht="20.100000000000001" customHeight="1" x14ac:dyDescent="0.25">
      <c r="A234" s="59" t="s">
        <v>376</v>
      </c>
      <c r="B234" s="3" t="s">
        <v>17</v>
      </c>
      <c r="C234" s="43" t="s">
        <v>377</v>
      </c>
      <c r="D234" s="43" t="s">
        <v>1179</v>
      </c>
      <c r="E234" s="78">
        <v>1097.1199999999999</v>
      </c>
      <c r="F234" s="3" t="s">
        <v>277</v>
      </c>
      <c r="G234" s="78">
        <v>7.25</v>
      </c>
      <c r="H234" s="20">
        <f t="shared" si="6"/>
        <v>7954.12</v>
      </c>
    </row>
    <row r="235" spans="1:8" ht="20.100000000000001" customHeight="1" x14ac:dyDescent="0.25">
      <c r="A235" s="59" t="s">
        <v>378</v>
      </c>
      <c r="B235" s="3" t="s">
        <v>17</v>
      </c>
      <c r="C235" s="43" t="s">
        <v>379</v>
      </c>
      <c r="D235" s="43" t="s">
        <v>1180</v>
      </c>
      <c r="E235" s="78">
        <v>534.69000000000005</v>
      </c>
      <c r="F235" s="3" t="s">
        <v>277</v>
      </c>
      <c r="G235" s="78">
        <v>8.5</v>
      </c>
      <c r="H235" s="20">
        <f t="shared" si="6"/>
        <v>4544.87</v>
      </c>
    </row>
    <row r="236" spans="1:8" ht="20.100000000000001" customHeight="1" x14ac:dyDescent="0.25">
      <c r="A236" s="59" t="s">
        <v>380</v>
      </c>
      <c r="B236" s="3" t="s">
        <v>17</v>
      </c>
      <c r="C236" s="43" t="s">
        <v>381</v>
      </c>
      <c r="D236" s="43" t="s">
        <v>1181</v>
      </c>
      <c r="E236" s="78">
        <v>417.73</v>
      </c>
      <c r="F236" s="3" t="s">
        <v>35</v>
      </c>
      <c r="G236" s="78">
        <v>24.37</v>
      </c>
      <c r="H236" s="20">
        <f t="shared" si="6"/>
        <v>10180.08</v>
      </c>
    </row>
    <row r="237" spans="1:8" ht="20.100000000000001" customHeight="1" x14ac:dyDescent="0.25">
      <c r="A237" s="52"/>
      <c r="B237" s="9"/>
      <c r="C237" s="44" t="s">
        <v>382</v>
      </c>
      <c r="D237" s="44" t="s">
        <v>382</v>
      </c>
      <c r="E237" s="78">
        <v>1</v>
      </c>
      <c r="F237" s="9"/>
      <c r="G237" s="79">
        <f>SUM(H226:H236)</f>
        <v>59065.919999999998</v>
      </c>
      <c r="H237" s="29">
        <f t="shared" si="6"/>
        <v>59065.919999999998</v>
      </c>
    </row>
    <row r="238" spans="1:8" ht="20.100000000000001" customHeight="1" x14ac:dyDescent="0.25">
      <c r="A238" s="60"/>
      <c r="B238" s="12"/>
      <c r="C238" s="45"/>
      <c r="D238" s="45"/>
      <c r="E238" s="34"/>
      <c r="F238" s="12"/>
      <c r="G238" s="34"/>
      <c r="H238" s="30"/>
    </row>
    <row r="239" spans="1:8" ht="20.100000000000001" customHeight="1" x14ac:dyDescent="0.25">
      <c r="A239" s="62" t="s">
        <v>383</v>
      </c>
      <c r="B239" s="7" t="s">
        <v>9</v>
      </c>
      <c r="C239" s="47" t="s">
        <v>384</v>
      </c>
      <c r="D239" s="47" t="s">
        <v>1184</v>
      </c>
      <c r="E239" s="81">
        <f>E250</f>
        <v>1</v>
      </c>
      <c r="F239" s="7" t="s">
        <v>10</v>
      </c>
      <c r="G239" s="81">
        <f>G250</f>
        <v>16704.66</v>
      </c>
      <c r="H239" s="21">
        <f>H250</f>
        <v>16704.66</v>
      </c>
    </row>
    <row r="240" spans="1:8" ht="20.100000000000001" customHeight="1" x14ac:dyDescent="0.25">
      <c r="A240" s="59" t="s">
        <v>385</v>
      </c>
      <c r="B240" s="3" t="s">
        <v>17</v>
      </c>
      <c r="C240" s="43" t="s">
        <v>386</v>
      </c>
      <c r="D240" s="43" t="s">
        <v>1185</v>
      </c>
      <c r="E240" s="78">
        <v>644.92999999999995</v>
      </c>
      <c r="F240" s="3" t="s">
        <v>18</v>
      </c>
      <c r="G240" s="78">
        <v>4.7699999999999996</v>
      </c>
      <c r="H240" s="20">
        <f t="shared" ref="H240:H250" si="7">ROUND(E240*G240,2)</f>
        <v>3076.32</v>
      </c>
    </row>
    <row r="241" spans="1:8" ht="20.100000000000001" customHeight="1" x14ac:dyDescent="0.25">
      <c r="A241" s="59" t="s">
        <v>387</v>
      </c>
      <c r="B241" s="3" t="s">
        <v>17</v>
      </c>
      <c r="C241" s="43" t="s">
        <v>388</v>
      </c>
      <c r="D241" s="43" t="s">
        <v>1194</v>
      </c>
      <c r="E241" s="78">
        <v>100.2</v>
      </c>
      <c r="F241" s="3" t="s">
        <v>18</v>
      </c>
      <c r="G241" s="78">
        <v>13</v>
      </c>
      <c r="H241" s="20">
        <f t="shared" si="7"/>
        <v>1302.5999999999999</v>
      </c>
    </row>
    <row r="242" spans="1:8" ht="20.100000000000001" customHeight="1" x14ac:dyDescent="0.25">
      <c r="A242" s="59" t="s">
        <v>389</v>
      </c>
      <c r="B242" s="3" t="s">
        <v>17</v>
      </c>
      <c r="C242" s="43" t="s">
        <v>390</v>
      </c>
      <c r="D242" s="43" t="s">
        <v>1186</v>
      </c>
      <c r="E242" s="78">
        <v>70.150000000000006</v>
      </c>
      <c r="F242" s="3" t="s">
        <v>29</v>
      </c>
      <c r="G242" s="78">
        <v>15.36</v>
      </c>
      <c r="H242" s="20">
        <f t="shared" si="7"/>
        <v>1077.5</v>
      </c>
    </row>
    <row r="243" spans="1:8" ht="20.100000000000001" customHeight="1" x14ac:dyDescent="0.25">
      <c r="A243" s="59" t="s">
        <v>391</v>
      </c>
      <c r="B243" s="3" t="s">
        <v>17</v>
      </c>
      <c r="C243" s="43" t="s">
        <v>392</v>
      </c>
      <c r="D243" s="43" t="s">
        <v>1190</v>
      </c>
      <c r="E243" s="78">
        <v>14.4</v>
      </c>
      <c r="F243" s="3" t="s">
        <v>29</v>
      </c>
      <c r="G243" s="78">
        <v>33.28</v>
      </c>
      <c r="H243" s="20">
        <f t="shared" si="7"/>
        <v>479.23</v>
      </c>
    </row>
    <row r="244" spans="1:8" ht="20.100000000000001" customHeight="1" x14ac:dyDescent="0.25">
      <c r="A244" s="59" t="s">
        <v>393</v>
      </c>
      <c r="B244" s="3" t="s">
        <v>17</v>
      </c>
      <c r="C244" s="43" t="s">
        <v>394</v>
      </c>
      <c r="D244" s="43" t="s">
        <v>1189</v>
      </c>
      <c r="E244" s="78">
        <v>42.16</v>
      </c>
      <c r="F244" s="3" t="s">
        <v>18</v>
      </c>
      <c r="G244" s="78">
        <v>17.93</v>
      </c>
      <c r="H244" s="20">
        <f t="shared" si="7"/>
        <v>755.93</v>
      </c>
    </row>
    <row r="245" spans="1:8" ht="20.100000000000001" customHeight="1" x14ac:dyDescent="0.25">
      <c r="A245" s="59" t="s">
        <v>395</v>
      </c>
      <c r="B245" s="3" t="s">
        <v>17</v>
      </c>
      <c r="C245" s="43" t="s">
        <v>396</v>
      </c>
      <c r="D245" s="43" t="s">
        <v>1188</v>
      </c>
      <c r="E245" s="78">
        <v>215.64</v>
      </c>
      <c r="F245" s="3" t="s">
        <v>18</v>
      </c>
      <c r="G245" s="78">
        <v>19.059999999999999</v>
      </c>
      <c r="H245" s="20">
        <f t="shared" si="7"/>
        <v>4110.1000000000004</v>
      </c>
    </row>
    <row r="246" spans="1:8" ht="20.100000000000001" customHeight="1" x14ac:dyDescent="0.25">
      <c r="A246" s="59" t="s">
        <v>397</v>
      </c>
      <c r="B246" s="3" t="s">
        <v>17</v>
      </c>
      <c r="C246" s="43" t="s">
        <v>398</v>
      </c>
      <c r="D246" s="43" t="s">
        <v>1191</v>
      </c>
      <c r="E246" s="78">
        <v>58.83</v>
      </c>
      <c r="F246" s="3" t="s">
        <v>29</v>
      </c>
      <c r="G246" s="78">
        <v>3.84</v>
      </c>
      <c r="H246" s="20">
        <f t="shared" si="7"/>
        <v>225.91</v>
      </c>
    </row>
    <row r="247" spans="1:8" ht="20.100000000000001" customHeight="1" x14ac:dyDescent="0.25">
      <c r="A247" s="59" t="s">
        <v>399</v>
      </c>
      <c r="B247" s="3" t="s">
        <v>17</v>
      </c>
      <c r="C247" s="43" t="s">
        <v>400</v>
      </c>
      <c r="D247" s="43" t="s">
        <v>1192</v>
      </c>
      <c r="E247" s="78">
        <v>42.16</v>
      </c>
      <c r="F247" s="3" t="s">
        <v>18</v>
      </c>
      <c r="G247" s="78">
        <v>41.27</v>
      </c>
      <c r="H247" s="20">
        <f t="shared" si="7"/>
        <v>1739.94</v>
      </c>
    </row>
    <row r="248" spans="1:8" ht="20.100000000000001" customHeight="1" x14ac:dyDescent="0.25">
      <c r="A248" s="59" t="s">
        <v>401</v>
      </c>
      <c r="B248" s="3" t="s">
        <v>17</v>
      </c>
      <c r="C248" s="43" t="s">
        <v>402</v>
      </c>
      <c r="D248" s="43" t="s">
        <v>1193</v>
      </c>
      <c r="E248" s="78">
        <v>215.16</v>
      </c>
      <c r="F248" s="3" t="s">
        <v>35</v>
      </c>
      <c r="G248" s="78">
        <v>16.52</v>
      </c>
      <c r="H248" s="20">
        <f t="shared" si="7"/>
        <v>3554.44</v>
      </c>
    </row>
    <row r="249" spans="1:8" ht="20.100000000000001" customHeight="1" x14ac:dyDescent="0.25">
      <c r="A249" s="59" t="s">
        <v>403</v>
      </c>
      <c r="B249" s="3" t="s">
        <v>17</v>
      </c>
      <c r="C249" s="43" t="s">
        <v>404</v>
      </c>
      <c r="D249" s="43"/>
      <c r="E249" s="78">
        <v>48.32</v>
      </c>
      <c r="F249" s="3" t="s">
        <v>277</v>
      </c>
      <c r="G249" s="78">
        <v>7.92</v>
      </c>
      <c r="H249" s="20">
        <f t="shared" si="7"/>
        <v>382.69</v>
      </c>
    </row>
    <row r="250" spans="1:8" ht="20.100000000000001" customHeight="1" x14ac:dyDescent="0.25">
      <c r="A250" s="52"/>
      <c r="B250" s="9"/>
      <c r="C250" s="44" t="s">
        <v>405</v>
      </c>
      <c r="D250" s="44" t="s">
        <v>405</v>
      </c>
      <c r="E250" s="78">
        <v>1</v>
      </c>
      <c r="F250" s="9"/>
      <c r="G250" s="79">
        <f>SUM(H240:H249)</f>
        <v>16704.66</v>
      </c>
      <c r="H250" s="29">
        <f t="shared" si="7"/>
        <v>16704.66</v>
      </c>
    </row>
    <row r="251" spans="1:8" ht="20.100000000000001" customHeight="1" x14ac:dyDescent="0.25">
      <c r="A251" s="60"/>
      <c r="B251" s="12"/>
      <c r="C251" s="45"/>
      <c r="D251" s="45"/>
      <c r="E251" s="34"/>
      <c r="F251" s="12"/>
      <c r="G251" s="34"/>
      <c r="H251" s="30"/>
    </row>
    <row r="252" spans="1:8" ht="20.100000000000001" customHeight="1" x14ac:dyDescent="0.25">
      <c r="A252" s="62" t="s">
        <v>406</v>
      </c>
      <c r="B252" s="7" t="s">
        <v>9</v>
      </c>
      <c r="C252" s="47" t="s">
        <v>407</v>
      </c>
      <c r="D252" s="47" t="s">
        <v>1195</v>
      </c>
      <c r="E252" s="81">
        <f>E268</f>
        <v>1</v>
      </c>
      <c r="F252" s="7" t="s">
        <v>65</v>
      </c>
      <c r="G252" s="81">
        <f>G268</f>
        <v>31729.599999999999</v>
      </c>
      <c r="H252" s="21">
        <f>H268</f>
        <v>31729.599999999999</v>
      </c>
    </row>
    <row r="253" spans="1:8" ht="20.100000000000001" customHeight="1" x14ac:dyDescent="0.25">
      <c r="A253" s="63"/>
      <c r="B253" s="18" t="s">
        <v>9</v>
      </c>
      <c r="C253" s="48" t="s">
        <v>408</v>
      </c>
      <c r="D253" s="48" t="s">
        <v>1196</v>
      </c>
      <c r="E253" s="82">
        <f>E256</f>
        <v>1</v>
      </c>
      <c r="F253" s="18" t="s">
        <v>65</v>
      </c>
      <c r="G253" s="82">
        <f>G256</f>
        <v>607.24</v>
      </c>
      <c r="H253" s="32">
        <f>H256</f>
        <v>607.24</v>
      </c>
    </row>
    <row r="254" spans="1:8" ht="20.100000000000001" customHeight="1" x14ac:dyDescent="0.25">
      <c r="A254" s="59" t="s">
        <v>409</v>
      </c>
      <c r="B254" s="3" t="s">
        <v>17</v>
      </c>
      <c r="C254" s="43" t="s">
        <v>410</v>
      </c>
      <c r="D254" s="43" t="s">
        <v>1198</v>
      </c>
      <c r="E254" s="78">
        <v>7.12</v>
      </c>
      <c r="F254" s="3" t="s">
        <v>18</v>
      </c>
      <c r="G254" s="78">
        <v>49.01</v>
      </c>
      <c r="H254" s="20">
        <f>ROUND(E254*G254,2)</f>
        <v>348.95</v>
      </c>
    </row>
    <row r="255" spans="1:8" ht="20.100000000000001" customHeight="1" x14ac:dyDescent="0.25">
      <c r="A255" s="59" t="s">
        <v>411</v>
      </c>
      <c r="B255" s="3" t="s">
        <v>17</v>
      </c>
      <c r="C255" s="43" t="s">
        <v>1199</v>
      </c>
      <c r="D255" s="91" t="s">
        <v>1200</v>
      </c>
      <c r="E255" s="78">
        <v>12.4</v>
      </c>
      <c r="F255" s="3" t="s">
        <v>29</v>
      </c>
      <c r="G255" s="78">
        <v>20.83</v>
      </c>
      <c r="H255" s="20">
        <f>ROUND(E255*G255,2)</f>
        <v>258.29000000000002</v>
      </c>
    </row>
    <row r="256" spans="1:8" ht="20.100000000000001" customHeight="1" x14ac:dyDescent="0.25">
      <c r="A256" s="52"/>
      <c r="B256" s="9"/>
      <c r="C256" s="44" t="s">
        <v>1201</v>
      </c>
      <c r="D256" s="44" t="s">
        <v>1209</v>
      </c>
      <c r="E256" s="78">
        <v>1</v>
      </c>
      <c r="F256" s="9"/>
      <c r="G256" s="79">
        <f>SUM(H254:H255)</f>
        <v>607.24</v>
      </c>
      <c r="H256" s="29">
        <f>ROUND(E256*G256,2)</f>
        <v>607.24</v>
      </c>
    </row>
    <row r="257" spans="1:8" ht="20.100000000000001" customHeight="1" x14ac:dyDescent="0.25">
      <c r="A257" s="60"/>
      <c r="B257" s="12"/>
      <c r="C257" s="45"/>
      <c r="D257" s="45"/>
      <c r="E257" s="34"/>
      <c r="F257" s="12"/>
      <c r="G257" s="34"/>
      <c r="H257" s="30"/>
    </row>
    <row r="258" spans="1:8" ht="20.100000000000001" customHeight="1" x14ac:dyDescent="0.25">
      <c r="A258" s="63"/>
      <c r="B258" s="18" t="s">
        <v>9</v>
      </c>
      <c r="C258" s="48" t="s">
        <v>413</v>
      </c>
      <c r="D258" s="48" t="s">
        <v>1197</v>
      </c>
      <c r="E258" s="82">
        <f>E266</f>
        <v>1</v>
      </c>
      <c r="F258" s="18" t="s">
        <v>65</v>
      </c>
      <c r="G258" s="82">
        <f>G266</f>
        <v>31122.36</v>
      </c>
      <c r="H258" s="32">
        <f>H266</f>
        <v>31122.36</v>
      </c>
    </row>
    <row r="259" spans="1:8" ht="20.100000000000001" customHeight="1" x14ac:dyDescent="0.25">
      <c r="A259" s="59" t="s">
        <v>414</v>
      </c>
      <c r="B259" s="3" t="s">
        <v>17</v>
      </c>
      <c r="C259" s="43" t="s">
        <v>415</v>
      </c>
      <c r="D259" s="43" t="s">
        <v>1205</v>
      </c>
      <c r="E259" s="78">
        <v>136.68</v>
      </c>
      <c r="F259" s="3" t="s">
        <v>18</v>
      </c>
      <c r="G259" s="78">
        <v>35.74</v>
      </c>
      <c r="H259" s="20">
        <f t="shared" ref="H259:H266" si="8">ROUND(E259*G259,2)</f>
        <v>4884.9399999999996</v>
      </c>
    </row>
    <row r="260" spans="1:8" ht="20.100000000000001" customHeight="1" x14ac:dyDescent="0.25">
      <c r="A260" s="59" t="s">
        <v>416</v>
      </c>
      <c r="B260" s="3" t="s">
        <v>17</v>
      </c>
      <c r="C260" s="43" t="s">
        <v>417</v>
      </c>
      <c r="D260" s="43" t="s">
        <v>1202</v>
      </c>
      <c r="E260" s="78">
        <v>161.25</v>
      </c>
      <c r="F260" s="3" t="s">
        <v>18</v>
      </c>
      <c r="G260" s="78">
        <v>46.87</v>
      </c>
      <c r="H260" s="20">
        <f t="shared" si="8"/>
        <v>7557.79</v>
      </c>
    </row>
    <row r="261" spans="1:8" ht="20.100000000000001" customHeight="1" x14ac:dyDescent="0.25">
      <c r="A261" s="59" t="s">
        <v>418</v>
      </c>
      <c r="B261" s="3" t="s">
        <v>17</v>
      </c>
      <c r="C261" s="43" t="s">
        <v>419</v>
      </c>
      <c r="D261" s="43" t="s">
        <v>1204</v>
      </c>
      <c r="E261" s="78">
        <v>25.92</v>
      </c>
      <c r="F261" s="3" t="s">
        <v>29</v>
      </c>
      <c r="G261" s="78">
        <v>33.99</v>
      </c>
      <c r="H261" s="20">
        <f t="shared" si="8"/>
        <v>881.02</v>
      </c>
    </row>
    <row r="262" spans="1:8" ht="20.100000000000001" customHeight="1" x14ac:dyDescent="0.25">
      <c r="A262" s="59" t="s">
        <v>420</v>
      </c>
      <c r="B262" s="3" t="s">
        <v>17</v>
      </c>
      <c r="C262" s="43" t="s">
        <v>421</v>
      </c>
      <c r="D262" s="43" t="s">
        <v>1203</v>
      </c>
      <c r="E262" s="78">
        <v>29.7</v>
      </c>
      <c r="F262" s="3" t="s">
        <v>29</v>
      </c>
      <c r="G262" s="78">
        <v>33.78</v>
      </c>
      <c r="H262" s="20">
        <f t="shared" si="8"/>
        <v>1003.27</v>
      </c>
    </row>
    <row r="263" spans="1:8" ht="20.100000000000001" customHeight="1" x14ac:dyDescent="0.25">
      <c r="A263" s="59" t="s">
        <v>422</v>
      </c>
      <c r="B263" s="3" t="s">
        <v>17</v>
      </c>
      <c r="C263" s="43" t="s">
        <v>423</v>
      </c>
      <c r="D263" s="43" t="s">
        <v>1206</v>
      </c>
      <c r="E263" s="78">
        <v>76.510000000000005</v>
      </c>
      <c r="F263" s="3" t="s">
        <v>18</v>
      </c>
      <c r="G263" s="78">
        <v>37.72</v>
      </c>
      <c r="H263" s="20">
        <f t="shared" si="8"/>
        <v>2885.96</v>
      </c>
    </row>
    <row r="264" spans="1:8" ht="20.100000000000001" customHeight="1" x14ac:dyDescent="0.25">
      <c r="A264" s="59" t="s">
        <v>424</v>
      </c>
      <c r="B264" s="3" t="s">
        <v>17</v>
      </c>
      <c r="C264" s="43" t="s">
        <v>425</v>
      </c>
      <c r="D264" s="43" t="s">
        <v>1207</v>
      </c>
      <c r="E264" s="78">
        <v>175.11</v>
      </c>
      <c r="F264" s="3" t="s">
        <v>18</v>
      </c>
      <c r="G264" s="78">
        <v>52.23</v>
      </c>
      <c r="H264" s="20">
        <f t="shared" si="8"/>
        <v>9146</v>
      </c>
    </row>
    <row r="265" spans="1:8" ht="20.100000000000001" customHeight="1" x14ac:dyDescent="0.25">
      <c r="A265" s="59" t="s">
        <v>426</v>
      </c>
      <c r="B265" s="3" t="s">
        <v>17</v>
      </c>
      <c r="C265" s="43" t="s">
        <v>427</v>
      </c>
      <c r="D265" s="43" t="s">
        <v>1208</v>
      </c>
      <c r="E265" s="78">
        <v>91.2</v>
      </c>
      <c r="F265" s="3" t="s">
        <v>18</v>
      </c>
      <c r="G265" s="78">
        <v>52.23</v>
      </c>
      <c r="H265" s="20">
        <f t="shared" si="8"/>
        <v>4763.38</v>
      </c>
    </row>
    <row r="266" spans="1:8" ht="20.100000000000001" customHeight="1" x14ac:dyDescent="0.25">
      <c r="A266" s="52"/>
      <c r="B266" s="9"/>
      <c r="C266" s="44" t="s">
        <v>1210</v>
      </c>
      <c r="D266" s="44" t="s">
        <v>1210</v>
      </c>
      <c r="E266" s="78">
        <v>1</v>
      </c>
      <c r="F266" s="9"/>
      <c r="G266" s="79">
        <f>SUM(H259:H265)</f>
        <v>31122.36</v>
      </c>
      <c r="H266" s="29">
        <f t="shared" si="8"/>
        <v>31122.36</v>
      </c>
    </row>
    <row r="267" spans="1:8" ht="20.100000000000001" customHeight="1" x14ac:dyDescent="0.25">
      <c r="A267" s="60"/>
      <c r="B267" s="12"/>
      <c r="C267" s="45"/>
      <c r="D267" s="45"/>
      <c r="E267" s="34"/>
      <c r="F267" s="12"/>
      <c r="G267" s="34"/>
      <c r="H267" s="30"/>
    </row>
    <row r="268" spans="1:8" ht="20.100000000000001" customHeight="1" x14ac:dyDescent="0.25">
      <c r="A268" s="52"/>
      <c r="B268" s="9"/>
      <c r="C268" s="44" t="s">
        <v>428</v>
      </c>
      <c r="D268" s="44"/>
      <c r="E268" s="78">
        <v>1</v>
      </c>
      <c r="F268" s="9"/>
      <c r="G268" s="79">
        <f>H253+H258</f>
        <v>31729.599999999999</v>
      </c>
      <c r="H268" s="29">
        <f>ROUND(E268*G268,2)</f>
        <v>31729.599999999999</v>
      </c>
    </row>
    <row r="269" spans="1:8" ht="20.100000000000001" customHeight="1" x14ac:dyDescent="0.25">
      <c r="A269" s="60"/>
      <c r="B269" s="12"/>
      <c r="C269" s="45"/>
      <c r="D269" s="45"/>
      <c r="E269" s="34"/>
      <c r="F269" s="12"/>
      <c r="G269" s="34"/>
      <c r="H269" s="30"/>
    </row>
    <row r="270" spans="1:8" ht="20.100000000000001" customHeight="1" x14ac:dyDescent="0.25">
      <c r="A270" s="62" t="s">
        <v>429</v>
      </c>
      <c r="B270" s="7" t="s">
        <v>9</v>
      </c>
      <c r="C270" s="47" t="s">
        <v>430</v>
      </c>
      <c r="D270" s="47" t="s">
        <v>1211</v>
      </c>
      <c r="E270" s="81">
        <f>E282</f>
        <v>1</v>
      </c>
      <c r="F270" s="7" t="s">
        <v>65</v>
      </c>
      <c r="G270" s="81">
        <f>G282</f>
        <v>15926.28</v>
      </c>
      <c r="H270" s="21">
        <f>H282</f>
        <v>15926.28</v>
      </c>
    </row>
    <row r="271" spans="1:8" ht="20.100000000000001" customHeight="1" x14ac:dyDescent="0.25">
      <c r="A271" s="63"/>
      <c r="B271" s="18" t="s">
        <v>9</v>
      </c>
      <c r="C271" s="48" t="s">
        <v>431</v>
      </c>
      <c r="D271" s="48" t="s">
        <v>1212</v>
      </c>
      <c r="E271" s="82">
        <f>E276</f>
        <v>1</v>
      </c>
      <c r="F271" s="18" t="s">
        <v>65</v>
      </c>
      <c r="G271" s="82">
        <f>G276</f>
        <v>15389.17</v>
      </c>
      <c r="H271" s="32">
        <f>H276</f>
        <v>15389.17</v>
      </c>
    </row>
    <row r="272" spans="1:8" ht="20.100000000000001" customHeight="1" x14ac:dyDescent="0.25">
      <c r="A272" s="59" t="s">
        <v>432</v>
      </c>
      <c r="B272" s="3" t="s">
        <v>17</v>
      </c>
      <c r="C272" s="43" t="s">
        <v>434</v>
      </c>
      <c r="D272" s="43" t="s">
        <v>434</v>
      </c>
      <c r="E272" s="78">
        <v>1</v>
      </c>
      <c r="F272" s="3" t="s">
        <v>433</v>
      </c>
      <c r="G272" s="78">
        <v>2222.8000000000002</v>
      </c>
      <c r="H272" s="20">
        <f>ROUND(E272*G272,2)</f>
        <v>2222.8000000000002</v>
      </c>
    </row>
    <row r="273" spans="1:8" ht="20.100000000000001" customHeight="1" x14ac:dyDescent="0.25">
      <c r="A273" s="59" t="s">
        <v>435</v>
      </c>
      <c r="B273" s="3" t="s">
        <v>17</v>
      </c>
      <c r="C273" s="43" t="s">
        <v>436</v>
      </c>
      <c r="D273" s="43" t="s">
        <v>436</v>
      </c>
      <c r="E273" s="78">
        <v>1</v>
      </c>
      <c r="F273" s="3" t="s">
        <v>433</v>
      </c>
      <c r="G273" s="78">
        <v>5198.3900000000003</v>
      </c>
      <c r="H273" s="20">
        <f>ROUND(E273*G273,2)</f>
        <v>5198.3900000000003</v>
      </c>
    </row>
    <row r="274" spans="1:8" ht="20.100000000000001" customHeight="1" x14ac:dyDescent="0.25">
      <c r="A274" s="59" t="s">
        <v>437</v>
      </c>
      <c r="B274" s="3" t="s">
        <v>17</v>
      </c>
      <c r="C274" s="43" t="s">
        <v>438</v>
      </c>
      <c r="D274" s="43" t="s">
        <v>438</v>
      </c>
      <c r="E274" s="78">
        <v>1</v>
      </c>
      <c r="F274" s="3" t="s">
        <v>433</v>
      </c>
      <c r="G274" s="78">
        <v>4205.1499999999996</v>
      </c>
      <c r="H274" s="20">
        <f>ROUND(E274*G274,2)</f>
        <v>4205.1499999999996</v>
      </c>
    </row>
    <row r="275" spans="1:8" ht="20.100000000000001" customHeight="1" x14ac:dyDescent="0.25">
      <c r="A275" s="59" t="s">
        <v>439</v>
      </c>
      <c r="B275" s="3" t="s">
        <v>17</v>
      </c>
      <c r="C275" s="43" t="s">
        <v>440</v>
      </c>
      <c r="D275" s="43" t="s">
        <v>440</v>
      </c>
      <c r="E275" s="78">
        <v>1</v>
      </c>
      <c r="F275" s="3" t="s">
        <v>433</v>
      </c>
      <c r="G275" s="78">
        <v>3762.83</v>
      </c>
      <c r="H275" s="20">
        <f>ROUND(E275*G275,2)</f>
        <v>3762.83</v>
      </c>
    </row>
    <row r="276" spans="1:8" ht="20.100000000000001" customHeight="1" x14ac:dyDescent="0.25">
      <c r="A276" s="52"/>
      <c r="B276" s="9"/>
      <c r="C276" s="44" t="s">
        <v>1213</v>
      </c>
      <c r="D276" s="44" t="s">
        <v>1213</v>
      </c>
      <c r="E276" s="78">
        <v>1</v>
      </c>
      <c r="F276" s="9"/>
      <c r="G276" s="79">
        <f>SUM(H272:H275)</f>
        <v>15389.17</v>
      </c>
      <c r="H276" s="29">
        <f>ROUND(E276*G276,2)</f>
        <v>15389.17</v>
      </c>
    </row>
    <row r="277" spans="1:8" ht="20.100000000000001" customHeight="1" x14ac:dyDescent="0.25">
      <c r="A277" s="60"/>
      <c r="B277" s="12"/>
      <c r="C277" s="45"/>
      <c r="D277" s="45"/>
      <c r="E277" s="34"/>
      <c r="F277" s="12"/>
      <c r="G277" s="34"/>
      <c r="H277" s="30"/>
    </row>
    <row r="278" spans="1:8" ht="20.100000000000001" customHeight="1" x14ac:dyDescent="0.25">
      <c r="A278" s="63"/>
      <c r="B278" s="18" t="s">
        <v>9</v>
      </c>
      <c r="C278" s="48" t="s">
        <v>442</v>
      </c>
      <c r="D278" s="48" t="s">
        <v>1215</v>
      </c>
      <c r="E278" s="82">
        <f>E280</f>
        <v>1</v>
      </c>
      <c r="F278" s="18" t="s">
        <v>65</v>
      </c>
      <c r="G278" s="82">
        <f>G280</f>
        <v>537.11</v>
      </c>
      <c r="H278" s="32">
        <f>H280</f>
        <v>537.11</v>
      </c>
    </row>
    <row r="279" spans="1:8" ht="20.100000000000001" customHeight="1" x14ac:dyDescent="0.25">
      <c r="A279" s="59" t="s">
        <v>443</v>
      </c>
      <c r="B279" s="3" t="s">
        <v>17</v>
      </c>
      <c r="C279" s="43" t="s">
        <v>444</v>
      </c>
      <c r="D279" s="43" t="s">
        <v>1214</v>
      </c>
      <c r="E279" s="78">
        <v>3.04</v>
      </c>
      <c r="F279" s="3" t="s">
        <v>35</v>
      </c>
      <c r="G279" s="78">
        <v>176.68</v>
      </c>
      <c r="H279" s="20">
        <f>ROUND(E279*G279,2)</f>
        <v>537.11</v>
      </c>
    </row>
    <row r="280" spans="1:8" ht="20.100000000000001" customHeight="1" x14ac:dyDescent="0.25">
      <c r="A280" s="52"/>
      <c r="B280" s="9"/>
      <c r="C280" s="44" t="s">
        <v>1216</v>
      </c>
      <c r="D280" s="44" t="s">
        <v>1216</v>
      </c>
      <c r="E280" s="78">
        <v>1</v>
      </c>
      <c r="F280" s="9"/>
      <c r="G280" s="79">
        <f>H279</f>
        <v>537.11</v>
      </c>
      <c r="H280" s="29">
        <f>ROUND(E280*G280,2)</f>
        <v>537.11</v>
      </c>
    </row>
    <row r="281" spans="1:8" ht="20.100000000000001" customHeight="1" x14ac:dyDescent="0.25">
      <c r="A281" s="60"/>
      <c r="B281" s="12"/>
      <c r="C281" s="45"/>
      <c r="D281" s="45"/>
      <c r="E281" s="34"/>
      <c r="F281" s="12"/>
      <c r="G281" s="34"/>
      <c r="H281" s="30"/>
    </row>
    <row r="282" spans="1:8" ht="20.100000000000001" customHeight="1" x14ac:dyDescent="0.25">
      <c r="A282" s="52"/>
      <c r="B282" s="9"/>
      <c r="C282" s="44" t="s">
        <v>445</v>
      </c>
      <c r="D282" s="44" t="s">
        <v>445</v>
      </c>
      <c r="E282" s="78">
        <v>1</v>
      </c>
      <c r="F282" s="9"/>
      <c r="G282" s="79">
        <f>H271+H278</f>
        <v>15926.28</v>
      </c>
      <c r="H282" s="29">
        <f>ROUND(E282*G282,2)</f>
        <v>15926.28</v>
      </c>
    </row>
    <row r="283" spans="1:8" ht="20.100000000000001" customHeight="1" x14ac:dyDescent="0.25">
      <c r="A283" s="60"/>
      <c r="B283" s="12"/>
      <c r="C283" s="45"/>
      <c r="D283" s="45"/>
      <c r="E283" s="34"/>
      <c r="F283" s="12"/>
      <c r="G283" s="34"/>
      <c r="H283" s="30"/>
    </row>
    <row r="284" spans="1:8" ht="20.100000000000001" customHeight="1" x14ac:dyDescent="0.25">
      <c r="A284" s="62" t="s">
        <v>446</v>
      </c>
      <c r="B284" s="7" t="s">
        <v>9</v>
      </c>
      <c r="C284" s="47" t="s">
        <v>447</v>
      </c>
      <c r="D284" s="47" t="s">
        <v>1217</v>
      </c>
      <c r="E284" s="81">
        <f>E301</f>
        <v>1</v>
      </c>
      <c r="F284" s="7" t="s">
        <v>65</v>
      </c>
      <c r="G284" s="81">
        <f>G301</f>
        <v>93889.51</v>
      </c>
      <c r="H284" s="21">
        <f>H301</f>
        <v>93889.51</v>
      </c>
    </row>
    <row r="285" spans="1:8" ht="20.100000000000001" customHeight="1" x14ac:dyDescent="0.25">
      <c r="A285" s="63"/>
      <c r="B285" s="18" t="s">
        <v>9</v>
      </c>
      <c r="C285" s="48" t="s">
        <v>408</v>
      </c>
      <c r="D285" s="48" t="s">
        <v>1196</v>
      </c>
      <c r="E285" s="82">
        <f>E292</f>
        <v>1</v>
      </c>
      <c r="F285" s="18" t="s">
        <v>65</v>
      </c>
      <c r="G285" s="82">
        <f>G292</f>
        <v>69436.75</v>
      </c>
      <c r="H285" s="32">
        <f>H292</f>
        <v>69436.75</v>
      </c>
    </row>
    <row r="286" spans="1:8" ht="20.100000000000001" customHeight="1" x14ac:dyDescent="0.25">
      <c r="A286" s="59" t="s">
        <v>448</v>
      </c>
      <c r="B286" s="3" t="s">
        <v>17</v>
      </c>
      <c r="C286" s="43" t="s">
        <v>449</v>
      </c>
      <c r="D286" s="91" t="s">
        <v>1220</v>
      </c>
      <c r="E286" s="78">
        <v>1148.1300000000001</v>
      </c>
      <c r="F286" s="3" t="s">
        <v>35</v>
      </c>
      <c r="G286" s="78">
        <v>26.55</v>
      </c>
      <c r="H286" s="20">
        <f t="shared" ref="H286:H292" si="9">ROUND(E286*G286,2)</f>
        <v>30482.85</v>
      </c>
    </row>
    <row r="287" spans="1:8" ht="20.100000000000001" customHeight="1" x14ac:dyDescent="0.25">
      <c r="A287" s="59" t="s">
        <v>450</v>
      </c>
      <c r="B287" s="3" t="s">
        <v>17</v>
      </c>
      <c r="C287" s="43" t="s">
        <v>451</v>
      </c>
      <c r="D287" s="91" t="s">
        <v>1219</v>
      </c>
      <c r="E287" s="78">
        <v>449.86</v>
      </c>
      <c r="F287" s="3" t="s">
        <v>35</v>
      </c>
      <c r="G287" s="78">
        <v>26.55</v>
      </c>
      <c r="H287" s="20">
        <f t="shared" si="9"/>
        <v>11943.78</v>
      </c>
    </row>
    <row r="288" spans="1:8" ht="20.100000000000001" customHeight="1" x14ac:dyDescent="0.25">
      <c r="A288" s="59" t="s">
        <v>452</v>
      </c>
      <c r="B288" s="3" t="s">
        <v>17</v>
      </c>
      <c r="C288" s="43" t="s">
        <v>453</v>
      </c>
      <c r="D288" s="43" t="s">
        <v>1218</v>
      </c>
      <c r="E288" s="78">
        <v>529.69000000000005</v>
      </c>
      <c r="F288" s="3" t="s">
        <v>277</v>
      </c>
      <c r="G288" s="78">
        <v>11.15</v>
      </c>
      <c r="H288" s="20">
        <f t="shared" si="9"/>
        <v>5906.04</v>
      </c>
    </row>
    <row r="289" spans="1:8" ht="20.100000000000001" customHeight="1" x14ac:dyDescent="0.25">
      <c r="A289" s="59" t="s">
        <v>454</v>
      </c>
      <c r="B289" s="3" t="s">
        <v>17</v>
      </c>
      <c r="C289" s="43" t="s">
        <v>455</v>
      </c>
      <c r="D289" s="43" t="s">
        <v>1223</v>
      </c>
      <c r="E289" s="78">
        <v>1087.1199999999999</v>
      </c>
      <c r="F289" s="3" t="s">
        <v>277</v>
      </c>
      <c r="G289" s="78">
        <v>8.19</v>
      </c>
      <c r="H289" s="20">
        <f t="shared" si="9"/>
        <v>8903.51</v>
      </c>
    </row>
    <row r="290" spans="1:8" ht="20.100000000000001" customHeight="1" x14ac:dyDescent="0.25">
      <c r="A290" s="59" t="s">
        <v>456</v>
      </c>
      <c r="B290" s="3" t="s">
        <v>17</v>
      </c>
      <c r="C290" s="43" t="s">
        <v>457</v>
      </c>
      <c r="D290" s="43" t="s">
        <v>1221</v>
      </c>
      <c r="E290" s="78">
        <v>10</v>
      </c>
      <c r="F290" s="3" t="s">
        <v>10</v>
      </c>
      <c r="G290" s="78">
        <v>972.86</v>
      </c>
      <c r="H290" s="20">
        <f t="shared" si="9"/>
        <v>9728.6</v>
      </c>
    </row>
    <row r="291" spans="1:8" ht="20.100000000000001" customHeight="1" x14ac:dyDescent="0.25">
      <c r="A291" s="59" t="s">
        <v>458</v>
      </c>
      <c r="B291" s="3" t="s">
        <v>17</v>
      </c>
      <c r="C291" s="43" t="s">
        <v>459</v>
      </c>
      <c r="D291" s="43" t="s">
        <v>1222</v>
      </c>
      <c r="E291" s="78">
        <v>248.19</v>
      </c>
      <c r="F291" s="3" t="s">
        <v>277</v>
      </c>
      <c r="G291" s="78">
        <v>9.9600000000000009</v>
      </c>
      <c r="H291" s="20">
        <f t="shared" si="9"/>
        <v>2471.9699999999998</v>
      </c>
    </row>
    <row r="292" spans="1:8" ht="20.100000000000001" customHeight="1" x14ac:dyDescent="0.25">
      <c r="A292" s="52"/>
      <c r="B292" s="9"/>
      <c r="C292" s="44" t="s">
        <v>1224</v>
      </c>
      <c r="D292" s="44" t="s">
        <v>1224</v>
      </c>
      <c r="E292" s="78">
        <v>1</v>
      </c>
      <c r="F292" s="9"/>
      <c r="G292" s="79">
        <f>SUM(H286:H291)</f>
        <v>69436.75</v>
      </c>
      <c r="H292" s="29">
        <f t="shared" si="9"/>
        <v>69436.75</v>
      </c>
    </row>
    <row r="293" spans="1:8" ht="20.100000000000001" customHeight="1" x14ac:dyDescent="0.25">
      <c r="A293" s="60"/>
      <c r="B293" s="12"/>
      <c r="C293" s="45"/>
      <c r="D293" s="45"/>
      <c r="E293" s="34"/>
      <c r="F293" s="12"/>
      <c r="G293" s="34"/>
      <c r="H293" s="30"/>
    </row>
    <row r="294" spans="1:8" ht="20.100000000000001" customHeight="1" x14ac:dyDescent="0.25">
      <c r="A294" s="63"/>
      <c r="B294" s="18" t="s">
        <v>9</v>
      </c>
      <c r="C294" s="48" t="s">
        <v>413</v>
      </c>
      <c r="D294" s="48" t="s">
        <v>1197</v>
      </c>
      <c r="E294" s="82">
        <f>E299</f>
        <v>1</v>
      </c>
      <c r="F294" s="18" t="s">
        <v>65</v>
      </c>
      <c r="G294" s="82">
        <f>G299</f>
        <v>24452.76</v>
      </c>
      <c r="H294" s="32">
        <f>H299</f>
        <v>24452.76</v>
      </c>
    </row>
    <row r="295" spans="1:8" ht="20.100000000000001" customHeight="1" x14ac:dyDescent="0.25">
      <c r="A295" s="59" t="s">
        <v>461</v>
      </c>
      <c r="B295" s="3" t="s">
        <v>17</v>
      </c>
      <c r="C295" s="43" t="s">
        <v>462</v>
      </c>
      <c r="D295" s="43" t="s">
        <v>1226</v>
      </c>
      <c r="E295" s="78">
        <v>653.02</v>
      </c>
      <c r="F295" s="3" t="s">
        <v>35</v>
      </c>
      <c r="G295" s="78">
        <v>8.32</v>
      </c>
      <c r="H295" s="20">
        <f>ROUND(E295*G295,2)</f>
        <v>5433.13</v>
      </c>
    </row>
    <row r="296" spans="1:8" ht="20.100000000000001" customHeight="1" x14ac:dyDescent="0.25">
      <c r="A296" s="59" t="s">
        <v>463</v>
      </c>
      <c r="B296" s="3" t="s">
        <v>17</v>
      </c>
      <c r="C296" s="43" t="s">
        <v>464</v>
      </c>
      <c r="D296" s="43" t="s">
        <v>1236</v>
      </c>
      <c r="E296" s="78">
        <v>215.64</v>
      </c>
      <c r="F296" s="3" t="s">
        <v>35</v>
      </c>
      <c r="G296" s="78">
        <v>52.94</v>
      </c>
      <c r="H296" s="20">
        <f>ROUND(E296*G296,2)</f>
        <v>11415.98</v>
      </c>
    </row>
    <row r="297" spans="1:8" ht="20.100000000000001" customHeight="1" x14ac:dyDescent="0.25">
      <c r="A297" s="59" t="s">
        <v>465</v>
      </c>
      <c r="B297" s="3" t="s">
        <v>17</v>
      </c>
      <c r="C297" s="43" t="s">
        <v>466</v>
      </c>
      <c r="D297" s="91" t="s">
        <v>1228</v>
      </c>
      <c r="E297" s="78">
        <v>59.74</v>
      </c>
      <c r="F297" s="3" t="s">
        <v>277</v>
      </c>
      <c r="G297" s="78">
        <v>19.510000000000002</v>
      </c>
      <c r="H297" s="20">
        <f>ROUND(E297*G297,2)</f>
        <v>1165.53</v>
      </c>
    </row>
    <row r="298" spans="1:8" ht="20.100000000000001" customHeight="1" x14ac:dyDescent="0.25">
      <c r="A298" s="59" t="s">
        <v>467</v>
      </c>
      <c r="B298" s="3" t="s">
        <v>17</v>
      </c>
      <c r="C298" s="43" t="s">
        <v>469</v>
      </c>
      <c r="D298" s="43" t="s">
        <v>1227</v>
      </c>
      <c r="E298" s="78">
        <v>282.87</v>
      </c>
      <c r="F298" s="3" t="s">
        <v>468</v>
      </c>
      <c r="G298" s="78">
        <v>22.76</v>
      </c>
      <c r="H298" s="20">
        <f>ROUND(E298*G298,2)</f>
        <v>6438.12</v>
      </c>
    </row>
    <row r="299" spans="1:8" ht="20.100000000000001" customHeight="1" x14ac:dyDescent="0.25">
      <c r="A299" s="52"/>
      <c r="B299" s="9"/>
      <c r="C299" s="44" t="s">
        <v>1225</v>
      </c>
      <c r="D299" s="44" t="s">
        <v>1225</v>
      </c>
      <c r="E299" s="78">
        <v>1</v>
      </c>
      <c r="F299" s="9"/>
      <c r="G299" s="79">
        <f>SUM(H295:H298)</f>
        <v>24452.76</v>
      </c>
      <c r="H299" s="29">
        <f>ROUND(E299*G299,2)</f>
        <v>24452.76</v>
      </c>
    </row>
    <row r="300" spans="1:8" ht="20.100000000000001" customHeight="1" x14ac:dyDescent="0.25">
      <c r="A300" s="60"/>
      <c r="B300" s="12"/>
      <c r="C300" s="45"/>
      <c r="D300" s="45"/>
      <c r="E300" s="34"/>
      <c r="F300" s="12"/>
      <c r="G300" s="34"/>
      <c r="H300" s="30"/>
    </row>
    <row r="301" spans="1:8" ht="20.100000000000001" customHeight="1" x14ac:dyDescent="0.25">
      <c r="A301" s="52"/>
      <c r="B301" s="9"/>
      <c r="C301" s="44" t="s">
        <v>470</v>
      </c>
      <c r="D301" s="44" t="s">
        <v>470</v>
      </c>
      <c r="E301" s="78">
        <v>1</v>
      </c>
      <c r="F301" s="9"/>
      <c r="G301" s="79">
        <f>H285+H294</f>
        <v>93889.51</v>
      </c>
      <c r="H301" s="29">
        <f>ROUND(E301*G301,2)</f>
        <v>93889.51</v>
      </c>
    </row>
    <row r="302" spans="1:8" ht="20.100000000000001" customHeight="1" x14ac:dyDescent="0.25">
      <c r="A302" s="60"/>
      <c r="B302" s="12"/>
      <c r="C302" s="45"/>
      <c r="D302" s="45"/>
      <c r="E302" s="34"/>
      <c r="F302" s="12"/>
      <c r="G302" s="34"/>
      <c r="H302" s="30"/>
    </row>
    <row r="303" spans="1:8" ht="20.100000000000001" customHeight="1" x14ac:dyDescent="0.25">
      <c r="A303" s="62" t="s">
        <v>471</v>
      </c>
      <c r="B303" s="7" t="s">
        <v>9</v>
      </c>
      <c r="C303" s="47" t="s">
        <v>472</v>
      </c>
      <c r="D303" s="47" t="s">
        <v>1229</v>
      </c>
      <c r="E303" s="81">
        <f>E361</f>
        <v>1</v>
      </c>
      <c r="F303" s="7" t="s">
        <v>65</v>
      </c>
      <c r="G303" s="81">
        <f>G361</f>
        <v>54818.34</v>
      </c>
      <c r="H303" s="21">
        <f>H361</f>
        <v>54818.34</v>
      </c>
    </row>
    <row r="304" spans="1:8" ht="20.100000000000001" customHeight="1" x14ac:dyDescent="0.25">
      <c r="A304" s="63"/>
      <c r="B304" s="18" t="s">
        <v>9</v>
      </c>
      <c r="C304" s="48" t="s">
        <v>473</v>
      </c>
      <c r="D304" s="48" t="s">
        <v>1230</v>
      </c>
      <c r="E304" s="82">
        <f>E315</f>
        <v>1</v>
      </c>
      <c r="F304" s="18" t="s">
        <v>65</v>
      </c>
      <c r="G304" s="82">
        <f>G315</f>
        <v>15565.64</v>
      </c>
      <c r="H304" s="32">
        <f>H315</f>
        <v>15565.64</v>
      </c>
    </row>
    <row r="305" spans="1:8" ht="20.100000000000001" customHeight="1" x14ac:dyDescent="0.25">
      <c r="A305" s="59" t="s">
        <v>474</v>
      </c>
      <c r="B305" s="3" t="s">
        <v>17</v>
      </c>
      <c r="C305" s="43" t="s">
        <v>434</v>
      </c>
      <c r="D305" s="43" t="s">
        <v>1232</v>
      </c>
      <c r="E305" s="78">
        <v>22.32</v>
      </c>
      <c r="F305" s="3" t="s">
        <v>35</v>
      </c>
      <c r="G305" s="78">
        <v>75.62</v>
      </c>
      <c r="H305" s="20">
        <f t="shared" ref="H305:H315" si="10">ROUND(E305*G305,2)</f>
        <v>1687.84</v>
      </c>
    </row>
    <row r="306" spans="1:8" ht="20.100000000000001" customHeight="1" x14ac:dyDescent="0.25">
      <c r="A306" s="59" t="s">
        <v>475</v>
      </c>
      <c r="B306" s="3" t="s">
        <v>17</v>
      </c>
      <c r="C306" s="43" t="s">
        <v>476</v>
      </c>
      <c r="D306" s="43" t="s">
        <v>476</v>
      </c>
      <c r="E306" s="78">
        <v>7.64</v>
      </c>
      <c r="F306" s="3" t="s">
        <v>35</v>
      </c>
      <c r="G306" s="78">
        <v>75.62</v>
      </c>
      <c r="H306" s="20">
        <f t="shared" si="10"/>
        <v>577.74</v>
      </c>
    </row>
    <row r="307" spans="1:8" ht="20.100000000000001" customHeight="1" x14ac:dyDescent="0.25">
      <c r="A307" s="59" t="s">
        <v>477</v>
      </c>
      <c r="B307" s="3" t="s">
        <v>17</v>
      </c>
      <c r="C307" s="43" t="s">
        <v>438</v>
      </c>
      <c r="D307" s="43" t="s">
        <v>438</v>
      </c>
      <c r="E307" s="78">
        <v>27.83</v>
      </c>
      <c r="F307" s="3" t="s">
        <v>35</v>
      </c>
      <c r="G307" s="78">
        <v>75.62</v>
      </c>
      <c r="H307" s="20">
        <f t="shared" si="10"/>
        <v>2104.5</v>
      </c>
    </row>
    <row r="308" spans="1:8" ht="20.100000000000001" customHeight="1" x14ac:dyDescent="0.25">
      <c r="A308" s="59" t="s">
        <v>478</v>
      </c>
      <c r="B308" s="3" t="s">
        <v>17</v>
      </c>
      <c r="C308" s="43" t="s">
        <v>479</v>
      </c>
      <c r="D308" s="43" t="s">
        <v>479</v>
      </c>
      <c r="E308" s="78">
        <v>7.96</v>
      </c>
      <c r="F308" s="3" t="s">
        <v>35</v>
      </c>
      <c r="G308" s="78">
        <v>75.62</v>
      </c>
      <c r="H308" s="20">
        <f t="shared" si="10"/>
        <v>601.94000000000005</v>
      </c>
    </row>
    <row r="309" spans="1:8" ht="20.100000000000001" customHeight="1" x14ac:dyDescent="0.25">
      <c r="A309" s="59" t="s">
        <v>480</v>
      </c>
      <c r="B309" s="3" t="s">
        <v>17</v>
      </c>
      <c r="C309" s="43" t="s">
        <v>481</v>
      </c>
      <c r="D309" s="43" t="s">
        <v>481</v>
      </c>
      <c r="E309" s="78">
        <v>6.4</v>
      </c>
      <c r="F309" s="3" t="s">
        <v>35</v>
      </c>
      <c r="G309" s="78">
        <v>75.62</v>
      </c>
      <c r="H309" s="20">
        <f t="shared" si="10"/>
        <v>483.97</v>
      </c>
    </row>
    <row r="310" spans="1:8" ht="20.100000000000001" customHeight="1" x14ac:dyDescent="0.25">
      <c r="A310" s="59" t="s">
        <v>482</v>
      </c>
      <c r="B310" s="3" t="s">
        <v>17</v>
      </c>
      <c r="C310" s="43" t="s">
        <v>440</v>
      </c>
      <c r="D310" s="43" t="s">
        <v>440</v>
      </c>
      <c r="E310" s="78">
        <v>19.09</v>
      </c>
      <c r="F310" s="3" t="s">
        <v>35</v>
      </c>
      <c r="G310" s="78">
        <v>75.62</v>
      </c>
      <c r="H310" s="20">
        <f t="shared" si="10"/>
        <v>1443.59</v>
      </c>
    </row>
    <row r="311" spans="1:8" ht="20.100000000000001" customHeight="1" x14ac:dyDescent="0.25">
      <c r="A311" s="59" t="s">
        <v>483</v>
      </c>
      <c r="B311" s="3" t="s">
        <v>17</v>
      </c>
      <c r="C311" s="43" t="s">
        <v>484</v>
      </c>
      <c r="D311" s="43" t="s">
        <v>484</v>
      </c>
      <c r="E311" s="78">
        <v>7.25</v>
      </c>
      <c r="F311" s="3" t="s">
        <v>35</v>
      </c>
      <c r="G311" s="78">
        <v>75.62</v>
      </c>
      <c r="H311" s="20">
        <f t="shared" si="10"/>
        <v>548.25</v>
      </c>
    </row>
    <row r="312" spans="1:8" ht="20.100000000000001" customHeight="1" x14ac:dyDescent="0.25">
      <c r="A312" s="59" t="s">
        <v>485</v>
      </c>
      <c r="B312" s="3" t="s">
        <v>17</v>
      </c>
      <c r="C312" s="43" t="s">
        <v>486</v>
      </c>
      <c r="D312" s="43" t="s">
        <v>486</v>
      </c>
      <c r="E312" s="78">
        <v>29.4</v>
      </c>
      <c r="F312" s="3" t="s">
        <v>35</v>
      </c>
      <c r="G312" s="78">
        <v>75.62</v>
      </c>
      <c r="H312" s="20">
        <f t="shared" si="10"/>
        <v>2223.23</v>
      </c>
    </row>
    <row r="313" spans="1:8" ht="20.100000000000001" customHeight="1" x14ac:dyDescent="0.25">
      <c r="A313" s="59" t="s">
        <v>487</v>
      </c>
      <c r="B313" s="3" t="s">
        <v>17</v>
      </c>
      <c r="C313" s="43" t="s">
        <v>488</v>
      </c>
      <c r="D313" s="43" t="s">
        <v>488</v>
      </c>
      <c r="E313" s="78">
        <v>48.57</v>
      </c>
      <c r="F313" s="3" t="s">
        <v>35</v>
      </c>
      <c r="G313" s="78">
        <v>75.62</v>
      </c>
      <c r="H313" s="20">
        <f t="shared" si="10"/>
        <v>3672.86</v>
      </c>
    </row>
    <row r="314" spans="1:8" ht="20.100000000000001" customHeight="1" x14ac:dyDescent="0.25">
      <c r="A314" s="59" t="s">
        <v>489</v>
      </c>
      <c r="B314" s="3" t="s">
        <v>17</v>
      </c>
      <c r="C314" s="43" t="s">
        <v>490</v>
      </c>
      <c r="D314" s="43" t="s">
        <v>490</v>
      </c>
      <c r="E314" s="78">
        <v>29.38</v>
      </c>
      <c r="F314" s="3" t="s">
        <v>35</v>
      </c>
      <c r="G314" s="78">
        <v>75.62</v>
      </c>
      <c r="H314" s="20">
        <f t="shared" si="10"/>
        <v>2221.7199999999998</v>
      </c>
    </row>
    <row r="315" spans="1:8" ht="20.100000000000001" customHeight="1" x14ac:dyDescent="0.25">
      <c r="A315" s="52"/>
      <c r="B315" s="9"/>
      <c r="C315" s="44" t="s">
        <v>1231</v>
      </c>
      <c r="D315" s="44" t="s">
        <v>1231</v>
      </c>
      <c r="E315" s="78">
        <v>1</v>
      </c>
      <c r="F315" s="9"/>
      <c r="G315" s="79">
        <f>SUM(H305:H314)</f>
        <v>15565.64</v>
      </c>
      <c r="H315" s="29">
        <f t="shared" si="10"/>
        <v>15565.64</v>
      </c>
    </row>
    <row r="316" spans="1:8" ht="20.100000000000001" customHeight="1" x14ac:dyDescent="0.25">
      <c r="A316" s="60"/>
      <c r="B316" s="12"/>
      <c r="C316" s="45"/>
      <c r="D316" s="45"/>
      <c r="E316" s="34"/>
      <c r="F316" s="12"/>
      <c r="G316" s="34"/>
      <c r="H316" s="30"/>
    </row>
    <row r="317" spans="1:8" ht="20.100000000000001" customHeight="1" x14ac:dyDescent="0.25">
      <c r="A317" s="63"/>
      <c r="B317" s="18" t="s">
        <v>9</v>
      </c>
      <c r="C317" s="48" t="s">
        <v>491</v>
      </c>
      <c r="D317" s="48" t="s">
        <v>1230</v>
      </c>
      <c r="E317" s="82">
        <f>E321</f>
        <v>1</v>
      </c>
      <c r="F317" s="18" t="s">
        <v>65</v>
      </c>
      <c r="G317" s="82">
        <f>G321</f>
        <v>15410.6</v>
      </c>
      <c r="H317" s="32">
        <f>H321</f>
        <v>15410.6</v>
      </c>
    </row>
    <row r="318" spans="1:8" ht="20.100000000000001" customHeight="1" x14ac:dyDescent="0.25">
      <c r="A318" s="59" t="s">
        <v>492</v>
      </c>
      <c r="B318" s="3" t="s">
        <v>17</v>
      </c>
      <c r="C318" s="43" t="s">
        <v>493</v>
      </c>
      <c r="D318" s="43" t="s">
        <v>493</v>
      </c>
      <c r="E318" s="78">
        <v>109.94</v>
      </c>
      <c r="F318" s="3" t="s">
        <v>35</v>
      </c>
      <c r="G318" s="78">
        <v>75.62</v>
      </c>
      <c r="H318" s="20">
        <f>ROUND(E318*G318,2)</f>
        <v>8313.66</v>
      </c>
    </row>
    <row r="319" spans="1:8" ht="20.100000000000001" customHeight="1" x14ac:dyDescent="0.25">
      <c r="A319" s="59" t="s">
        <v>494</v>
      </c>
      <c r="B319" s="3" t="s">
        <v>17</v>
      </c>
      <c r="C319" s="43" t="s">
        <v>495</v>
      </c>
      <c r="D319" s="43" t="s">
        <v>434</v>
      </c>
      <c r="E319" s="78">
        <v>24.11</v>
      </c>
      <c r="F319" s="3" t="s">
        <v>35</v>
      </c>
      <c r="G319" s="78">
        <v>75.62</v>
      </c>
      <c r="H319" s="20">
        <f>ROUND(E319*G319,2)</f>
        <v>1823.2</v>
      </c>
    </row>
    <row r="320" spans="1:8" ht="20.100000000000001" customHeight="1" x14ac:dyDescent="0.25">
      <c r="A320" s="59" t="s">
        <v>496</v>
      </c>
      <c r="B320" s="3" t="s">
        <v>17</v>
      </c>
      <c r="C320" s="43" t="s">
        <v>497</v>
      </c>
      <c r="D320" s="43" t="s">
        <v>1317</v>
      </c>
      <c r="E320" s="78">
        <v>69.739999999999995</v>
      </c>
      <c r="F320" s="3" t="s">
        <v>35</v>
      </c>
      <c r="G320" s="78">
        <v>75.62</v>
      </c>
      <c r="H320" s="20">
        <f>ROUND(E320*G320,2)</f>
        <v>5273.74</v>
      </c>
    </row>
    <row r="321" spans="1:8" ht="20.100000000000001" customHeight="1" x14ac:dyDescent="0.25">
      <c r="A321" s="52"/>
      <c r="B321" s="9"/>
      <c r="C321" s="44" t="s">
        <v>1239</v>
      </c>
      <c r="D321" s="44" t="s">
        <v>1239</v>
      </c>
      <c r="E321" s="78">
        <v>1</v>
      </c>
      <c r="F321" s="9"/>
      <c r="G321" s="79">
        <f>SUM(H318:H320)</f>
        <v>15410.6</v>
      </c>
      <c r="H321" s="29">
        <f>ROUND(E321*G321,2)</f>
        <v>15410.6</v>
      </c>
    </row>
    <row r="322" spans="1:8" ht="20.100000000000001" customHeight="1" x14ac:dyDescent="0.25">
      <c r="A322" s="60"/>
      <c r="B322" s="12"/>
      <c r="C322" s="45"/>
      <c r="D322" s="45"/>
      <c r="E322" s="34"/>
      <c r="F322" s="12"/>
      <c r="G322" s="34"/>
      <c r="H322" s="30"/>
    </row>
    <row r="323" spans="1:8" ht="39.950000000000003" customHeight="1" x14ac:dyDescent="0.25">
      <c r="A323" s="63"/>
      <c r="B323" s="18" t="s">
        <v>9</v>
      </c>
      <c r="C323" s="48" t="s">
        <v>498</v>
      </c>
      <c r="D323" s="48" t="s">
        <v>1238</v>
      </c>
      <c r="E323" s="82">
        <f>E326</f>
        <v>1</v>
      </c>
      <c r="F323" s="18" t="s">
        <v>65</v>
      </c>
      <c r="G323" s="82">
        <f>G326</f>
        <v>2974.89</v>
      </c>
      <c r="H323" s="32">
        <f>H326</f>
        <v>2974.89</v>
      </c>
    </row>
    <row r="324" spans="1:8" ht="20.100000000000001" customHeight="1" x14ac:dyDescent="0.25">
      <c r="A324" s="59" t="s">
        <v>499</v>
      </c>
      <c r="B324" s="3" t="s">
        <v>17</v>
      </c>
      <c r="C324" s="43" t="s">
        <v>500</v>
      </c>
      <c r="D324" s="43" t="s">
        <v>500</v>
      </c>
      <c r="E324" s="78">
        <v>25.76</v>
      </c>
      <c r="F324" s="3" t="s">
        <v>35</v>
      </c>
      <c r="G324" s="78">
        <v>75.89</v>
      </c>
      <c r="H324" s="20">
        <f>ROUND(E324*G324,2)</f>
        <v>1954.93</v>
      </c>
    </row>
    <row r="325" spans="1:8" ht="20.100000000000001" customHeight="1" x14ac:dyDescent="0.25">
      <c r="A325" s="59" t="s">
        <v>501</v>
      </c>
      <c r="B325" s="3" t="s">
        <v>17</v>
      </c>
      <c r="C325" s="43" t="s">
        <v>502</v>
      </c>
      <c r="D325" s="43" t="s">
        <v>502</v>
      </c>
      <c r="E325" s="78">
        <v>13.44</v>
      </c>
      <c r="F325" s="3" t="s">
        <v>35</v>
      </c>
      <c r="G325" s="78">
        <v>75.89</v>
      </c>
      <c r="H325" s="20">
        <f>ROUND(E325*G325,2)</f>
        <v>1019.96</v>
      </c>
    </row>
    <row r="326" spans="1:8" ht="20.100000000000001" customHeight="1" x14ac:dyDescent="0.25">
      <c r="A326" s="52"/>
      <c r="B326" s="9"/>
      <c r="C326" s="44" t="s">
        <v>1240</v>
      </c>
      <c r="D326" s="44" t="s">
        <v>1240</v>
      </c>
      <c r="E326" s="78">
        <v>1</v>
      </c>
      <c r="F326" s="9"/>
      <c r="G326" s="79">
        <f>SUM(H324:H325)</f>
        <v>2974.89</v>
      </c>
      <c r="H326" s="29">
        <f>ROUND(E326*G326,2)</f>
        <v>2974.89</v>
      </c>
    </row>
    <row r="327" spans="1:8" ht="20.100000000000001" customHeight="1" x14ac:dyDescent="0.25">
      <c r="A327" s="60"/>
      <c r="B327" s="12"/>
      <c r="C327" s="45"/>
      <c r="D327" s="45"/>
      <c r="E327" s="34"/>
      <c r="F327" s="12"/>
      <c r="G327" s="34"/>
      <c r="H327" s="30"/>
    </row>
    <row r="328" spans="1:8" ht="20.100000000000001" customHeight="1" x14ac:dyDescent="0.25">
      <c r="A328" s="63"/>
      <c r="B328" s="18" t="s">
        <v>9</v>
      </c>
      <c r="C328" s="48" t="s">
        <v>503</v>
      </c>
      <c r="D328" s="48" t="s">
        <v>1241</v>
      </c>
      <c r="E328" s="82">
        <f>E337</f>
        <v>1</v>
      </c>
      <c r="F328" s="18" t="s">
        <v>65</v>
      </c>
      <c r="G328" s="82">
        <f>G337</f>
        <v>3526.88</v>
      </c>
      <c r="H328" s="32">
        <f>H337</f>
        <v>3526.88</v>
      </c>
    </row>
    <row r="329" spans="1:8" ht="20.100000000000001" customHeight="1" x14ac:dyDescent="0.25">
      <c r="A329" s="59" t="s">
        <v>504</v>
      </c>
      <c r="B329" s="3" t="s">
        <v>17</v>
      </c>
      <c r="C329" s="43" t="s">
        <v>505</v>
      </c>
      <c r="D329" s="43" t="s">
        <v>505</v>
      </c>
      <c r="E329" s="78">
        <v>7.84</v>
      </c>
      <c r="F329" s="3" t="s">
        <v>35</v>
      </c>
      <c r="G329" s="78">
        <v>53.6</v>
      </c>
      <c r="H329" s="20">
        <f t="shared" ref="H329:H337" si="11">ROUND(E329*G329,2)</f>
        <v>420.22</v>
      </c>
    </row>
    <row r="330" spans="1:8" ht="20.100000000000001" customHeight="1" x14ac:dyDescent="0.25">
      <c r="A330" s="59" t="s">
        <v>506</v>
      </c>
      <c r="B330" s="3" t="s">
        <v>17</v>
      </c>
      <c r="C330" s="43" t="s">
        <v>507</v>
      </c>
      <c r="D330" s="43" t="s">
        <v>507</v>
      </c>
      <c r="E330" s="78">
        <v>3.56</v>
      </c>
      <c r="F330" s="3" t="s">
        <v>35</v>
      </c>
      <c r="G330" s="78">
        <v>53.6</v>
      </c>
      <c r="H330" s="20">
        <f t="shared" si="11"/>
        <v>190.82</v>
      </c>
    </row>
    <row r="331" spans="1:8" ht="20.100000000000001" customHeight="1" x14ac:dyDescent="0.25">
      <c r="A331" s="59" t="s">
        <v>508</v>
      </c>
      <c r="B331" s="3" t="s">
        <v>17</v>
      </c>
      <c r="C331" s="43" t="s">
        <v>509</v>
      </c>
      <c r="D331" s="43" t="s">
        <v>509</v>
      </c>
      <c r="E331" s="78">
        <v>2.7</v>
      </c>
      <c r="F331" s="3" t="s">
        <v>35</v>
      </c>
      <c r="G331" s="78">
        <v>53.6</v>
      </c>
      <c r="H331" s="20">
        <f t="shared" si="11"/>
        <v>144.72</v>
      </c>
    </row>
    <row r="332" spans="1:8" ht="20.100000000000001" customHeight="1" x14ac:dyDescent="0.25">
      <c r="A332" s="59" t="s">
        <v>510</v>
      </c>
      <c r="B332" s="3" t="s">
        <v>17</v>
      </c>
      <c r="C332" s="43" t="s">
        <v>511</v>
      </c>
      <c r="D332" s="43" t="s">
        <v>511</v>
      </c>
      <c r="E332" s="78">
        <v>16.850000000000001</v>
      </c>
      <c r="F332" s="3" t="s">
        <v>35</v>
      </c>
      <c r="G332" s="78">
        <v>53.6</v>
      </c>
      <c r="H332" s="20">
        <f t="shared" si="11"/>
        <v>903.16</v>
      </c>
    </row>
    <row r="333" spans="1:8" ht="20.100000000000001" customHeight="1" x14ac:dyDescent="0.25">
      <c r="A333" s="59" t="s">
        <v>512</v>
      </c>
      <c r="B333" s="3" t="s">
        <v>17</v>
      </c>
      <c r="C333" s="43" t="s">
        <v>513</v>
      </c>
      <c r="D333" s="43" t="s">
        <v>513</v>
      </c>
      <c r="E333" s="78">
        <v>7.82</v>
      </c>
      <c r="F333" s="3" t="s">
        <v>35</v>
      </c>
      <c r="G333" s="78">
        <v>53.6</v>
      </c>
      <c r="H333" s="20">
        <f t="shared" si="11"/>
        <v>419.15</v>
      </c>
    </row>
    <row r="334" spans="1:8" ht="20.100000000000001" customHeight="1" x14ac:dyDescent="0.25">
      <c r="A334" s="59" t="s">
        <v>514</v>
      </c>
      <c r="B334" s="3" t="s">
        <v>17</v>
      </c>
      <c r="C334" s="43" t="s">
        <v>515</v>
      </c>
      <c r="D334" s="43" t="s">
        <v>515</v>
      </c>
      <c r="E334" s="78">
        <v>3.55</v>
      </c>
      <c r="F334" s="3" t="s">
        <v>35</v>
      </c>
      <c r="G334" s="78">
        <v>53.6</v>
      </c>
      <c r="H334" s="20">
        <f t="shared" si="11"/>
        <v>190.28</v>
      </c>
    </row>
    <row r="335" spans="1:8" ht="20.100000000000001" customHeight="1" x14ac:dyDescent="0.25">
      <c r="A335" s="59" t="s">
        <v>516</v>
      </c>
      <c r="B335" s="3" t="s">
        <v>17</v>
      </c>
      <c r="C335" s="43" t="s">
        <v>517</v>
      </c>
      <c r="D335" s="43" t="s">
        <v>517</v>
      </c>
      <c r="E335" s="78">
        <v>9.61</v>
      </c>
      <c r="F335" s="3" t="s">
        <v>35</v>
      </c>
      <c r="G335" s="78">
        <v>53.6</v>
      </c>
      <c r="H335" s="20">
        <f t="shared" si="11"/>
        <v>515.1</v>
      </c>
    </row>
    <row r="336" spans="1:8" ht="20.100000000000001" customHeight="1" x14ac:dyDescent="0.25">
      <c r="A336" s="59" t="s">
        <v>518</v>
      </c>
      <c r="B336" s="3" t="s">
        <v>17</v>
      </c>
      <c r="C336" s="43" t="s">
        <v>519</v>
      </c>
      <c r="D336" s="43" t="s">
        <v>519</v>
      </c>
      <c r="E336" s="78">
        <v>13.87</v>
      </c>
      <c r="F336" s="3" t="s">
        <v>35</v>
      </c>
      <c r="G336" s="78">
        <v>53.6</v>
      </c>
      <c r="H336" s="20">
        <f t="shared" si="11"/>
        <v>743.43</v>
      </c>
    </row>
    <row r="337" spans="1:8" ht="20.100000000000001" customHeight="1" x14ac:dyDescent="0.25">
      <c r="A337" s="52"/>
      <c r="B337" s="9"/>
      <c r="C337" s="44" t="s">
        <v>1242</v>
      </c>
      <c r="D337" s="44" t="s">
        <v>1242</v>
      </c>
      <c r="E337" s="78">
        <v>1</v>
      </c>
      <c r="F337" s="9"/>
      <c r="G337" s="79">
        <f>SUM(H329:H336)</f>
        <v>3526.88</v>
      </c>
      <c r="H337" s="29">
        <f t="shared" si="11"/>
        <v>3526.88</v>
      </c>
    </row>
    <row r="338" spans="1:8" ht="20.100000000000001" customHeight="1" x14ac:dyDescent="0.25">
      <c r="A338" s="60"/>
      <c r="B338" s="12"/>
      <c r="C338" s="45"/>
      <c r="D338" s="45"/>
      <c r="E338" s="34"/>
      <c r="F338" s="12"/>
      <c r="G338" s="34"/>
      <c r="H338" s="30"/>
    </row>
    <row r="339" spans="1:8" ht="20.100000000000001" customHeight="1" x14ac:dyDescent="0.25">
      <c r="A339" s="63"/>
      <c r="B339" s="18" t="s">
        <v>9</v>
      </c>
      <c r="C339" s="48" t="s">
        <v>520</v>
      </c>
      <c r="D339" s="48" t="s">
        <v>1244</v>
      </c>
      <c r="E339" s="82">
        <f>E341</f>
        <v>1</v>
      </c>
      <c r="F339" s="18" t="s">
        <v>65</v>
      </c>
      <c r="G339" s="82">
        <f>G341</f>
        <v>2637.09</v>
      </c>
      <c r="H339" s="32">
        <f>H341</f>
        <v>2637.09</v>
      </c>
    </row>
    <row r="340" spans="1:8" ht="20.100000000000001" customHeight="1" x14ac:dyDescent="0.25">
      <c r="A340" s="59" t="s">
        <v>521</v>
      </c>
      <c r="B340" s="3" t="s">
        <v>17</v>
      </c>
      <c r="C340" s="43" t="s">
        <v>436</v>
      </c>
      <c r="D340" s="43" t="s">
        <v>436</v>
      </c>
      <c r="E340" s="78">
        <v>46.94</v>
      </c>
      <c r="F340" s="3" t="s">
        <v>35</v>
      </c>
      <c r="G340" s="78">
        <v>56.18</v>
      </c>
      <c r="H340" s="20">
        <f>ROUND(E340*G340,2)</f>
        <v>2637.09</v>
      </c>
    </row>
    <row r="341" spans="1:8" ht="20.100000000000001" customHeight="1" x14ac:dyDescent="0.25">
      <c r="A341" s="52"/>
      <c r="B341" s="9"/>
      <c r="C341" s="44" t="s">
        <v>1243</v>
      </c>
      <c r="D341" s="44" t="s">
        <v>1243</v>
      </c>
      <c r="E341" s="78">
        <v>1</v>
      </c>
      <c r="F341" s="9"/>
      <c r="G341" s="79">
        <f>H340</f>
        <v>2637.09</v>
      </c>
      <c r="H341" s="29">
        <f>ROUND(E341*G341,2)</f>
        <v>2637.09</v>
      </c>
    </row>
    <row r="342" spans="1:8" ht="20.100000000000001" customHeight="1" x14ac:dyDescent="0.25">
      <c r="A342" s="60"/>
      <c r="B342" s="12"/>
      <c r="C342" s="45"/>
      <c r="D342" s="45"/>
      <c r="E342" s="34"/>
      <c r="F342" s="12"/>
      <c r="G342" s="34"/>
      <c r="H342" s="30"/>
    </row>
    <row r="343" spans="1:8" ht="20.100000000000001" customHeight="1" x14ac:dyDescent="0.25">
      <c r="A343" s="63"/>
      <c r="B343" s="18" t="s">
        <v>9</v>
      </c>
      <c r="C343" s="48" t="s">
        <v>523</v>
      </c>
      <c r="D343" s="48" t="s">
        <v>1245</v>
      </c>
      <c r="E343" s="82">
        <f>E345</f>
        <v>1</v>
      </c>
      <c r="F343" s="18" t="s">
        <v>65</v>
      </c>
      <c r="G343" s="82">
        <f>G345</f>
        <v>2239.77</v>
      </c>
      <c r="H343" s="32">
        <f>H345</f>
        <v>2239.77</v>
      </c>
    </row>
    <row r="344" spans="1:8" ht="20.100000000000001" customHeight="1" x14ac:dyDescent="0.25">
      <c r="A344" s="59" t="s">
        <v>524</v>
      </c>
      <c r="B344" s="3" t="s">
        <v>17</v>
      </c>
      <c r="C344" s="43" t="s">
        <v>525</v>
      </c>
      <c r="D344" s="43" t="s">
        <v>1246</v>
      </c>
      <c r="E344" s="78">
        <v>39.53</v>
      </c>
      <c r="F344" s="3" t="s">
        <v>18</v>
      </c>
      <c r="G344" s="78">
        <v>56.66</v>
      </c>
      <c r="H344" s="20">
        <f>ROUND(E344*G344,2)</f>
        <v>2239.77</v>
      </c>
    </row>
    <row r="345" spans="1:8" ht="20.100000000000001" customHeight="1" x14ac:dyDescent="0.25">
      <c r="A345" s="52"/>
      <c r="B345" s="9"/>
      <c r="C345" s="44" t="s">
        <v>1235</v>
      </c>
      <c r="D345" s="44" t="s">
        <v>1235</v>
      </c>
      <c r="E345" s="78">
        <v>1</v>
      </c>
      <c r="F345" s="9"/>
      <c r="G345" s="79">
        <f>H344</f>
        <v>2239.77</v>
      </c>
      <c r="H345" s="29">
        <f>ROUND(E345*G345,2)</f>
        <v>2239.77</v>
      </c>
    </row>
    <row r="346" spans="1:8" ht="20.100000000000001" customHeight="1" x14ac:dyDescent="0.25">
      <c r="A346" s="60"/>
      <c r="B346" s="12"/>
      <c r="C346" s="45"/>
      <c r="D346" s="45"/>
      <c r="E346" s="34"/>
      <c r="F346" s="12"/>
      <c r="G346" s="34"/>
      <c r="H346" s="30"/>
    </row>
    <row r="347" spans="1:8" ht="20.100000000000001" customHeight="1" x14ac:dyDescent="0.25">
      <c r="A347" s="63"/>
      <c r="B347" s="18" t="s">
        <v>9</v>
      </c>
      <c r="C347" s="48" t="s">
        <v>526</v>
      </c>
      <c r="D347" s="48" t="s">
        <v>1247</v>
      </c>
      <c r="E347" s="82">
        <f>E352</f>
        <v>1</v>
      </c>
      <c r="F347" s="18" t="s">
        <v>65</v>
      </c>
      <c r="G347" s="82">
        <f>G352</f>
        <v>7076.41</v>
      </c>
      <c r="H347" s="32">
        <f>H352</f>
        <v>7076.41</v>
      </c>
    </row>
    <row r="348" spans="1:8" ht="20.100000000000001" customHeight="1" x14ac:dyDescent="0.25">
      <c r="A348" s="59" t="s">
        <v>527</v>
      </c>
      <c r="B348" s="3" t="s">
        <v>17</v>
      </c>
      <c r="C348" s="43" t="s">
        <v>528</v>
      </c>
      <c r="D348" s="43" t="s">
        <v>1267</v>
      </c>
      <c r="E348" s="78">
        <v>19.739999999999998</v>
      </c>
      <c r="F348" s="3" t="s">
        <v>277</v>
      </c>
      <c r="G348" s="78">
        <v>16.61</v>
      </c>
      <c r="H348" s="20">
        <f>ROUND(E348*G348,2)</f>
        <v>327.88</v>
      </c>
    </row>
    <row r="349" spans="1:8" ht="20.100000000000001" customHeight="1" x14ac:dyDescent="0.25">
      <c r="A349" s="59" t="s">
        <v>529</v>
      </c>
      <c r="B349" s="3" t="s">
        <v>17</v>
      </c>
      <c r="C349" s="43" t="s">
        <v>530</v>
      </c>
      <c r="D349" s="43" t="s">
        <v>1268</v>
      </c>
      <c r="E349" s="78">
        <v>141.07</v>
      </c>
      <c r="F349" s="3" t="s">
        <v>277</v>
      </c>
      <c r="G349" s="78">
        <v>35.24</v>
      </c>
      <c r="H349" s="20">
        <f>ROUND(E349*G349,2)</f>
        <v>4971.3100000000004</v>
      </c>
    </row>
    <row r="350" spans="1:8" ht="20.100000000000001" customHeight="1" x14ac:dyDescent="0.25">
      <c r="A350" s="59" t="s">
        <v>531</v>
      </c>
      <c r="B350" s="3" t="s">
        <v>17</v>
      </c>
      <c r="C350" s="43" t="s">
        <v>532</v>
      </c>
      <c r="D350" s="43" t="s">
        <v>1269</v>
      </c>
      <c r="E350" s="78">
        <v>50.37</v>
      </c>
      <c r="F350" s="3" t="s">
        <v>277</v>
      </c>
      <c r="G350" s="78">
        <v>15.66</v>
      </c>
      <c r="H350" s="20">
        <f>ROUND(E350*G350,2)</f>
        <v>788.79</v>
      </c>
    </row>
    <row r="351" spans="1:8" ht="20.100000000000001" customHeight="1" x14ac:dyDescent="0.25">
      <c r="A351" s="59" t="s">
        <v>533</v>
      </c>
      <c r="B351" s="3" t="s">
        <v>17</v>
      </c>
      <c r="C351" s="43" t="s">
        <v>534</v>
      </c>
      <c r="D351" s="43" t="s">
        <v>1248</v>
      </c>
      <c r="E351" s="78">
        <v>63.28</v>
      </c>
      <c r="F351" s="3" t="s">
        <v>277</v>
      </c>
      <c r="G351" s="78">
        <v>15.62</v>
      </c>
      <c r="H351" s="20">
        <f>ROUND(E351*G351,2)</f>
        <v>988.43</v>
      </c>
    </row>
    <row r="352" spans="1:8" ht="20.100000000000001" customHeight="1" x14ac:dyDescent="0.25">
      <c r="A352" s="52"/>
      <c r="B352" s="9"/>
      <c r="C352" s="44" t="s">
        <v>1234</v>
      </c>
      <c r="D352" s="44" t="s">
        <v>1234</v>
      </c>
      <c r="E352" s="78">
        <v>1</v>
      </c>
      <c r="F352" s="9"/>
      <c r="G352" s="79">
        <f>SUM(H348:H351)</f>
        <v>7076.41</v>
      </c>
      <c r="H352" s="29">
        <f>ROUND(E352*G352,2)</f>
        <v>7076.41</v>
      </c>
    </row>
    <row r="353" spans="1:8" ht="20.100000000000001" customHeight="1" x14ac:dyDescent="0.25">
      <c r="A353" s="60"/>
      <c r="B353" s="12"/>
      <c r="C353" s="45"/>
      <c r="D353" s="45"/>
      <c r="E353" s="34"/>
      <c r="F353" s="12"/>
      <c r="G353" s="34"/>
      <c r="H353" s="30"/>
    </row>
    <row r="354" spans="1:8" ht="20.100000000000001" customHeight="1" x14ac:dyDescent="0.25">
      <c r="A354" s="63"/>
      <c r="B354" s="18" t="s">
        <v>9</v>
      </c>
      <c r="C354" s="48" t="s">
        <v>536</v>
      </c>
      <c r="D354" s="48" t="s">
        <v>1249</v>
      </c>
      <c r="E354" s="82">
        <f>E359</f>
        <v>1</v>
      </c>
      <c r="F354" s="18" t="s">
        <v>65</v>
      </c>
      <c r="G354" s="82">
        <f>G359</f>
        <v>5387.06</v>
      </c>
      <c r="H354" s="32">
        <f>H359</f>
        <v>5387.06</v>
      </c>
    </row>
    <row r="355" spans="1:8" ht="20.100000000000001" customHeight="1" x14ac:dyDescent="0.25">
      <c r="A355" s="59" t="s">
        <v>1528</v>
      </c>
      <c r="B355" s="3" t="s">
        <v>17</v>
      </c>
      <c r="C355" s="43" t="s">
        <v>538</v>
      </c>
      <c r="D355" s="43" t="s">
        <v>1250</v>
      </c>
      <c r="E355" s="78">
        <v>54.54</v>
      </c>
      <c r="F355" s="3" t="s">
        <v>277</v>
      </c>
      <c r="G355" s="78">
        <v>34.64</v>
      </c>
      <c r="H355" s="20">
        <f>ROUND(E355*G355,2)</f>
        <v>1889.27</v>
      </c>
    </row>
    <row r="356" spans="1:8" ht="20.100000000000001" customHeight="1" x14ac:dyDescent="0.25">
      <c r="A356" s="59" t="s">
        <v>537</v>
      </c>
      <c r="B356" s="3" t="s">
        <v>17</v>
      </c>
      <c r="C356" s="43" t="s">
        <v>540</v>
      </c>
      <c r="D356" s="43" t="s">
        <v>1251</v>
      </c>
      <c r="E356" s="78">
        <v>7.05</v>
      </c>
      <c r="F356" s="3" t="s">
        <v>277</v>
      </c>
      <c r="G356" s="78">
        <v>20.96</v>
      </c>
      <c r="H356" s="20">
        <f>ROUND(E356*G356,2)</f>
        <v>147.77000000000001</v>
      </c>
    </row>
    <row r="357" spans="1:8" ht="20.100000000000001" customHeight="1" x14ac:dyDescent="0.25">
      <c r="A357" s="59" t="s">
        <v>539</v>
      </c>
      <c r="B357" s="3" t="s">
        <v>17</v>
      </c>
      <c r="C357" s="43" t="s">
        <v>542</v>
      </c>
      <c r="D357" s="43" t="s">
        <v>1252</v>
      </c>
      <c r="E357" s="78">
        <v>8.15</v>
      </c>
      <c r="F357" s="3" t="s">
        <v>277</v>
      </c>
      <c r="G357" s="78">
        <v>50.29</v>
      </c>
      <c r="H357" s="20">
        <f>ROUND(E357*G357,2)</f>
        <v>409.86</v>
      </c>
    </row>
    <row r="358" spans="1:8" ht="20.100000000000001" customHeight="1" x14ac:dyDescent="0.25">
      <c r="A358" s="59" t="s">
        <v>541</v>
      </c>
      <c r="B358" s="3" t="s">
        <v>17</v>
      </c>
      <c r="C358" s="43" t="s">
        <v>544</v>
      </c>
      <c r="D358" s="43" t="s">
        <v>1253</v>
      </c>
      <c r="E358" s="78">
        <v>81.22</v>
      </c>
      <c r="F358" s="3" t="s">
        <v>277</v>
      </c>
      <c r="G358" s="78">
        <v>36.200000000000003</v>
      </c>
      <c r="H358" s="20">
        <f>ROUND(E358*G358,2)</f>
        <v>2940.16</v>
      </c>
    </row>
    <row r="359" spans="1:8" ht="20.100000000000001" customHeight="1" x14ac:dyDescent="0.25">
      <c r="A359" s="52"/>
      <c r="B359" s="9"/>
      <c r="C359" s="44" t="s">
        <v>1233</v>
      </c>
      <c r="D359" s="44" t="s">
        <v>1534</v>
      </c>
      <c r="E359" s="78">
        <v>1</v>
      </c>
      <c r="F359" s="9"/>
      <c r="G359" s="79">
        <f>SUM(H355:H358)</f>
        <v>5387.06</v>
      </c>
      <c r="H359" s="29">
        <f>ROUND(E359*G359,2)</f>
        <v>5387.06</v>
      </c>
    </row>
    <row r="360" spans="1:8" ht="20.100000000000001" customHeight="1" x14ac:dyDescent="0.25">
      <c r="A360" s="60"/>
      <c r="B360" s="12"/>
      <c r="C360" s="45"/>
      <c r="D360" s="45"/>
      <c r="E360" s="34"/>
      <c r="F360" s="12"/>
      <c r="G360" s="34"/>
      <c r="H360" s="30"/>
    </row>
    <row r="361" spans="1:8" ht="20.100000000000001" customHeight="1" x14ac:dyDescent="0.25">
      <c r="A361" s="52"/>
      <c r="B361" s="9"/>
      <c r="C361" s="44" t="s">
        <v>545</v>
      </c>
      <c r="D361" s="44" t="s">
        <v>545</v>
      </c>
      <c r="E361" s="78">
        <v>1</v>
      </c>
      <c r="F361" s="9"/>
      <c r="G361" s="79">
        <f>H304+H317+H323+H328+H339+H343+H347+H354</f>
        <v>54818.34</v>
      </c>
      <c r="H361" s="29">
        <f>ROUND(E361*G361,2)</f>
        <v>54818.34</v>
      </c>
    </row>
    <row r="362" spans="1:8" ht="20.100000000000001" customHeight="1" x14ac:dyDescent="0.25">
      <c r="A362" s="60"/>
      <c r="B362" s="12"/>
      <c r="C362" s="45"/>
      <c r="D362" s="45"/>
      <c r="E362" s="34"/>
      <c r="F362" s="12"/>
      <c r="G362" s="34"/>
      <c r="H362" s="30"/>
    </row>
    <row r="363" spans="1:8" ht="20.100000000000001" customHeight="1" x14ac:dyDescent="0.25">
      <c r="A363" s="62" t="s">
        <v>546</v>
      </c>
      <c r="B363" s="7" t="s">
        <v>9</v>
      </c>
      <c r="C363" s="47" t="s">
        <v>547</v>
      </c>
      <c r="D363" s="47" t="s">
        <v>1254</v>
      </c>
      <c r="E363" s="81">
        <f>E372</f>
        <v>1</v>
      </c>
      <c r="F363" s="7" t="s">
        <v>65</v>
      </c>
      <c r="G363" s="81">
        <f>G372</f>
        <v>8736.61</v>
      </c>
      <c r="H363" s="21">
        <f>H372</f>
        <v>8736.61</v>
      </c>
    </row>
    <row r="364" spans="1:8" ht="20.100000000000001" customHeight="1" x14ac:dyDescent="0.25">
      <c r="A364" s="63"/>
      <c r="B364" s="18" t="s">
        <v>9</v>
      </c>
      <c r="C364" s="48" t="s">
        <v>548</v>
      </c>
      <c r="D364" s="48" t="s">
        <v>1256</v>
      </c>
      <c r="E364" s="82">
        <f>E366</f>
        <v>1</v>
      </c>
      <c r="F364" s="18" t="s">
        <v>65</v>
      </c>
      <c r="G364" s="82">
        <f>G366</f>
        <v>5663.25</v>
      </c>
      <c r="H364" s="32">
        <f>H366</f>
        <v>5663.25</v>
      </c>
    </row>
    <row r="365" spans="1:8" ht="20.100000000000001" customHeight="1" x14ac:dyDescent="0.25">
      <c r="A365" s="59" t="s">
        <v>549</v>
      </c>
      <c r="B365" s="3" t="s">
        <v>17</v>
      </c>
      <c r="C365" s="43" t="s">
        <v>550</v>
      </c>
      <c r="D365" s="43" t="s">
        <v>1255</v>
      </c>
      <c r="E365" s="78">
        <v>1</v>
      </c>
      <c r="F365" s="3" t="s">
        <v>10</v>
      </c>
      <c r="G365" s="78">
        <v>5663.25</v>
      </c>
      <c r="H365" s="20">
        <f>ROUND(E365*G365,2)</f>
        <v>5663.25</v>
      </c>
    </row>
    <row r="366" spans="1:8" ht="20.100000000000001" customHeight="1" x14ac:dyDescent="0.25">
      <c r="A366" s="52"/>
      <c r="B366" s="9"/>
      <c r="C366" s="44" t="s">
        <v>1257</v>
      </c>
      <c r="D366" s="44" t="s">
        <v>1257</v>
      </c>
      <c r="E366" s="78">
        <v>1</v>
      </c>
      <c r="F366" s="9"/>
      <c r="G366" s="79">
        <f>H365</f>
        <v>5663.25</v>
      </c>
      <c r="H366" s="29">
        <f>ROUND(E366*G366,2)</f>
        <v>5663.25</v>
      </c>
    </row>
    <row r="367" spans="1:8" ht="20.100000000000001" customHeight="1" x14ac:dyDescent="0.25">
      <c r="A367" s="60"/>
      <c r="B367" s="12"/>
      <c r="C367" s="45"/>
      <c r="D367" s="45"/>
      <c r="E367" s="34"/>
      <c r="F367" s="12"/>
      <c r="G367" s="34"/>
      <c r="H367" s="30"/>
    </row>
    <row r="368" spans="1:8" ht="20.100000000000001" customHeight="1" x14ac:dyDescent="0.25">
      <c r="A368" s="63"/>
      <c r="B368" s="18" t="s">
        <v>9</v>
      </c>
      <c r="C368" s="48" t="s">
        <v>551</v>
      </c>
      <c r="D368" s="48" t="s">
        <v>1259</v>
      </c>
      <c r="E368" s="82">
        <f>E370</f>
        <v>1</v>
      </c>
      <c r="F368" s="18" t="s">
        <v>65</v>
      </c>
      <c r="G368" s="82">
        <f>G370</f>
        <v>3073.36</v>
      </c>
      <c r="H368" s="32">
        <f>H370</f>
        <v>3073.36</v>
      </c>
    </row>
    <row r="369" spans="1:8" ht="20.100000000000001" customHeight="1" x14ac:dyDescent="0.25">
      <c r="A369" s="59" t="s">
        <v>552</v>
      </c>
      <c r="B369" s="3" t="s">
        <v>17</v>
      </c>
      <c r="C369" s="43" t="s">
        <v>553</v>
      </c>
      <c r="D369" s="43" t="s">
        <v>1259</v>
      </c>
      <c r="E369" s="78">
        <v>1</v>
      </c>
      <c r="F369" s="3" t="s">
        <v>433</v>
      </c>
      <c r="G369" s="78">
        <v>3073.36</v>
      </c>
      <c r="H369" s="20">
        <f>ROUND(E369*G369,2)</f>
        <v>3073.36</v>
      </c>
    </row>
    <row r="370" spans="1:8" ht="20.100000000000001" customHeight="1" x14ac:dyDescent="0.25">
      <c r="A370" s="52"/>
      <c r="B370" s="9"/>
      <c r="C370" s="44" t="s">
        <v>1258</v>
      </c>
      <c r="D370" s="44" t="s">
        <v>1258</v>
      </c>
      <c r="E370" s="78">
        <v>1</v>
      </c>
      <c r="F370" s="9"/>
      <c r="G370" s="79">
        <f>H369</f>
        <v>3073.36</v>
      </c>
      <c r="H370" s="29">
        <f>ROUND(E370*G370,2)</f>
        <v>3073.36</v>
      </c>
    </row>
    <row r="371" spans="1:8" ht="20.100000000000001" customHeight="1" x14ac:dyDescent="0.25">
      <c r="A371" s="60"/>
      <c r="B371" s="12"/>
      <c r="C371" s="45"/>
      <c r="D371" s="45"/>
      <c r="E371" s="34"/>
      <c r="F371" s="12"/>
      <c r="G371" s="34"/>
      <c r="H371" s="30"/>
    </row>
    <row r="372" spans="1:8" ht="20.100000000000001" customHeight="1" x14ac:dyDescent="0.25">
      <c r="A372" s="52"/>
      <c r="B372" s="9"/>
      <c r="C372" s="44" t="s">
        <v>554</v>
      </c>
      <c r="D372" s="44" t="s">
        <v>554</v>
      </c>
      <c r="E372" s="78">
        <v>1</v>
      </c>
      <c r="F372" s="9"/>
      <c r="G372" s="79">
        <f>H364+H368</f>
        <v>8736.61</v>
      </c>
      <c r="H372" s="29">
        <f>ROUND(E372*G372,2)</f>
        <v>8736.61</v>
      </c>
    </row>
    <row r="373" spans="1:8" ht="20.100000000000001" customHeight="1" x14ac:dyDescent="0.25">
      <c r="A373" s="60"/>
      <c r="B373" s="12"/>
      <c r="C373" s="45"/>
      <c r="D373" s="45"/>
      <c r="E373" s="34"/>
      <c r="F373" s="12"/>
      <c r="G373" s="34"/>
      <c r="H373" s="30"/>
    </row>
    <row r="374" spans="1:8" s="4" customFormat="1" ht="39.950000000000003" customHeight="1" x14ac:dyDescent="0.25">
      <c r="A374" s="62" t="s">
        <v>555</v>
      </c>
      <c r="B374" s="7" t="s">
        <v>9</v>
      </c>
      <c r="C374" s="47" t="s">
        <v>556</v>
      </c>
      <c r="D374" s="47" t="s">
        <v>1260</v>
      </c>
      <c r="E374" s="81">
        <f>E379</f>
        <v>1</v>
      </c>
      <c r="F374" s="7" t="s">
        <v>65</v>
      </c>
      <c r="G374" s="81">
        <f>G379</f>
        <v>2652.53</v>
      </c>
      <c r="H374" s="21">
        <f>H379</f>
        <v>2652.53</v>
      </c>
    </row>
    <row r="375" spans="1:8" ht="20.100000000000001" customHeight="1" x14ac:dyDescent="0.25">
      <c r="A375" s="59" t="s">
        <v>557</v>
      </c>
      <c r="B375" s="3" t="s">
        <v>17</v>
      </c>
      <c r="C375" s="43" t="s">
        <v>558</v>
      </c>
      <c r="D375" s="91" t="s">
        <v>1262</v>
      </c>
      <c r="E375" s="78">
        <v>5.48</v>
      </c>
      <c r="F375" s="3" t="s">
        <v>35</v>
      </c>
      <c r="G375" s="78">
        <v>14.65</v>
      </c>
      <c r="H375" s="20">
        <f>ROUND(E375*G375,2)</f>
        <v>80.28</v>
      </c>
    </row>
    <row r="376" spans="1:8" ht="20.100000000000001" customHeight="1" x14ac:dyDescent="0.25">
      <c r="A376" s="59" t="s">
        <v>559</v>
      </c>
      <c r="B376" s="3" t="s">
        <v>17</v>
      </c>
      <c r="C376" s="43" t="s">
        <v>560</v>
      </c>
      <c r="D376" s="91" t="s">
        <v>1261</v>
      </c>
      <c r="E376" s="78">
        <v>78.7</v>
      </c>
      <c r="F376" s="3" t="s">
        <v>35</v>
      </c>
      <c r="G376" s="78">
        <v>14.65</v>
      </c>
      <c r="H376" s="20">
        <f>ROUND(E376*G376,2)</f>
        <v>1152.96</v>
      </c>
    </row>
    <row r="377" spans="1:8" ht="20.100000000000001" customHeight="1" x14ac:dyDescent="0.25">
      <c r="A377" s="59" t="s">
        <v>561</v>
      </c>
      <c r="B377" s="3" t="s">
        <v>17</v>
      </c>
      <c r="C377" s="43" t="s">
        <v>562</v>
      </c>
      <c r="D377" s="91" t="s">
        <v>1263</v>
      </c>
      <c r="E377" s="78">
        <v>66.56</v>
      </c>
      <c r="F377" s="3" t="s">
        <v>35</v>
      </c>
      <c r="G377" s="78">
        <v>14.65</v>
      </c>
      <c r="H377" s="20">
        <f>ROUND(E377*G377,2)</f>
        <v>975.1</v>
      </c>
    </row>
    <row r="378" spans="1:8" ht="20.100000000000001" customHeight="1" x14ac:dyDescent="0.25">
      <c r="A378" s="59" t="s">
        <v>563</v>
      </c>
      <c r="B378" s="3" t="s">
        <v>17</v>
      </c>
      <c r="C378" s="43" t="s">
        <v>564</v>
      </c>
      <c r="D378" s="91" t="s">
        <v>1264</v>
      </c>
      <c r="E378" s="78">
        <v>30.32</v>
      </c>
      <c r="F378" s="3" t="s">
        <v>35</v>
      </c>
      <c r="G378" s="78">
        <v>14.65</v>
      </c>
      <c r="H378" s="20">
        <f>ROUND(E378*G378,2)</f>
        <v>444.19</v>
      </c>
    </row>
    <row r="379" spans="1:8" ht="20.100000000000001" customHeight="1" x14ac:dyDescent="0.25">
      <c r="A379" s="52"/>
      <c r="B379" s="9"/>
      <c r="C379" s="44" t="s">
        <v>565</v>
      </c>
      <c r="D379" s="44" t="s">
        <v>565</v>
      </c>
      <c r="E379" s="78">
        <v>1</v>
      </c>
      <c r="F379" s="9"/>
      <c r="G379" s="79">
        <f>SUM(H375:H378)</f>
        <v>2652.53</v>
      </c>
      <c r="H379" s="29">
        <f>ROUND(E379*G379,2)</f>
        <v>2652.53</v>
      </c>
    </row>
    <row r="380" spans="1:8" ht="20.100000000000001" customHeight="1" x14ac:dyDescent="0.25">
      <c r="A380" s="60"/>
      <c r="B380" s="12"/>
      <c r="C380" s="45"/>
      <c r="D380" s="45"/>
      <c r="E380" s="34"/>
      <c r="F380" s="12"/>
      <c r="G380" s="34"/>
      <c r="H380" s="30"/>
    </row>
    <row r="381" spans="1:8" ht="20.100000000000001" customHeight="1" x14ac:dyDescent="0.25">
      <c r="A381" s="62" t="s">
        <v>566</v>
      </c>
      <c r="B381" s="7" t="s">
        <v>9</v>
      </c>
      <c r="C381" s="47" t="s">
        <v>567</v>
      </c>
      <c r="D381" s="47" t="s">
        <v>1270</v>
      </c>
      <c r="E381" s="81">
        <f>E394</f>
        <v>1</v>
      </c>
      <c r="F381" s="7" t="s">
        <v>65</v>
      </c>
      <c r="G381" s="81">
        <f>G394</f>
        <v>19831.59</v>
      </c>
      <c r="H381" s="21">
        <f>H394</f>
        <v>19831.59</v>
      </c>
    </row>
    <row r="382" spans="1:8" ht="20.100000000000001" customHeight="1" x14ac:dyDescent="0.25">
      <c r="A382" s="63"/>
      <c r="B382" s="18" t="s">
        <v>9</v>
      </c>
      <c r="C382" s="48" t="s">
        <v>568</v>
      </c>
      <c r="D382" s="48" t="s">
        <v>1271</v>
      </c>
      <c r="E382" s="82">
        <f>E384</f>
        <v>1</v>
      </c>
      <c r="F382" s="18" t="s">
        <v>65</v>
      </c>
      <c r="G382" s="82">
        <f>G384</f>
        <v>5340.24</v>
      </c>
      <c r="H382" s="32">
        <f>H384</f>
        <v>5340.24</v>
      </c>
    </row>
    <row r="383" spans="1:8" ht="20.100000000000001" customHeight="1" x14ac:dyDescent="0.25">
      <c r="A383" s="59" t="s">
        <v>569</v>
      </c>
      <c r="B383" s="3" t="s">
        <v>17</v>
      </c>
      <c r="C383" s="43" t="s">
        <v>570</v>
      </c>
      <c r="D383" s="43" t="s">
        <v>1272</v>
      </c>
      <c r="E383" s="78">
        <v>48.42</v>
      </c>
      <c r="F383" s="3" t="s">
        <v>18</v>
      </c>
      <c r="G383" s="78">
        <v>110.29</v>
      </c>
      <c r="H383" s="20">
        <f>ROUND(E383*G383,2)</f>
        <v>5340.24</v>
      </c>
    </row>
    <row r="384" spans="1:8" ht="20.100000000000001" customHeight="1" x14ac:dyDescent="0.25">
      <c r="A384" s="52"/>
      <c r="B384" s="9"/>
      <c r="C384" s="44" t="s">
        <v>1265</v>
      </c>
      <c r="D384" s="44" t="s">
        <v>1265</v>
      </c>
      <c r="E384" s="78">
        <v>1</v>
      </c>
      <c r="F384" s="9"/>
      <c r="G384" s="79">
        <f>H383</f>
        <v>5340.24</v>
      </c>
      <c r="H384" s="29">
        <f>ROUND(E384*G384,2)</f>
        <v>5340.24</v>
      </c>
    </row>
    <row r="385" spans="1:8" ht="20.100000000000001" customHeight="1" x14ac:dyDescent="0.25">
      <c r="A385" s="60"/>
      <c r="B385" s="12"/>
      <c r="C385" s="45"/>
      <c r="D385" s="45"/>
      <c r="E385" s="34"/>
      <c r="F385" s="12"/>
      <c r="G385" s="34"/>
      <c r="H385" s="30"/>
    </row>
    <row r="386" spans="1:8" ht="20.100000000000001" customHeight="1" x14ac:dyDescent="0.25">
      <c r="A386" s="63"/>
      <c r="B386" s="18" t="s">
        <v>9</v>
      </c>
      <c r="C386" s="48" t="s">
        <v>571</v>
      </c>
      <c r="D386" s="48" t="s">
        <v>1273</v>
      </c>
      <c r="E386" s="82">
        <f>E392</f>
        <v>1</v>
      </c>
      <c r="F386" s="18" t="s">
        <v>65</v>
      </c>
      <c r="G386" s="82">
        <f>G392</f>
        <v>14491.35</v>
      </c>
      <c r="H386" s="32">
        <f>H392</f>
        <v>14491.35</v>
      </c>
    </row>
    <row r="387" spans="1:8" ht="20.100000000000001" customHeight="1" x14ac:dyDescent="0.25">
      <c r="A387" s="59" t="s">
        <v>572</v>
      </c>
      <c r="B387" s="3" t="s">
        <v>17</v>
      </c>
      <c r="C387" s="43" t="s">
        <v>573</v>
      </c>
      <c r="D387" s="43" t="s">
        <v>1275</v>
      </c>
      <c r="E387" s="78">
        <v>21.46</v>
      </c>
      <c r="F387" s="3" t="s">
        <v>18</v>
      </c>
      <c r="G387" s="78">
        <v>105.77</v>
      </c>
      <c r="H387" s="20">
        <f t="shared" ref="H387:H392" si="12">ROUND(E387*G387,2)</f>
        <v>2269.8200000000002</v>
      </c>
    </row>
    <row r="388" spans="1:8" ht="20.100000000000001" customHeight="1" x14ac:dyDescent="0.25">
      <c r="A388" s="59" t="s">
        <v>574</v>
      </c>
      <c r="B388" s="3" t="s">
        <v>17</v>
      </c>
      <c r="C388" s="43" t="s">
        <v>575</v>
      </c>
      <c r="D388" s="43" t="s">
        <v>1277</v>
      </c>
      <c r="E388" s="78">
        <v>51.28</v>
      </c>
      <c r="F388" s="3" t="s">
        <v>18</v>
      </c>
      <c r="G388" s="78">
        <v>96.59</v>
      </c>
      <c r="H388" s="20">
        <f t="shared" si="12"/>
        <v>4953.1400000000003</v>
      </c>
    </row>
    <row r="389" spans="1:8" ht="20.100000000000001" customHeight="1" x14ac:dyDescent="0.25">
      <c r="A389" s="59" t="s">
        <v>576</v>
      </c>
      <c r="B389" s="3" t="s">
        <v>17</v>
      </c>
      <c r="C389" s="43" t="s">
        <v>577</v>
      </c>
      <c r="D389" s="43" t="s">
        <v>1276</v>
      </c>
      <c r="E389" s="78">
        <v>63.98</v>
      </c>
      <c r="F389" s="3" t="s">
        <v>18</v>
      </c>
      <c r="G389" s="78">
        <v>54.13</v>
      </c>
      <c r="H389" s="20">
        <f t="shared" si="12"/>
        <v>3463.24</v>
      </c>
    </row>
    <row r="390" spans="1:8" ht="20.100000000000001" customHeight="1" x14ac:dyDescent="0.25">
      <c r="A390" s="59" t="s">
        <v>578</v>
      </c>
      <c r="B390" s="3" t="s">
        <v>17</v>
      </c>
      <c r="C390" s="43" t="s">
        <v>579</v>
      </c>
      <c r="D390" s="43" t="s">
        <v>1275</v>
      </c>
      <c r="E390" s="78">
        <v>33.36</v>
      </c>
      <c r="F390" s="3" t="s">
        <v>18</v>
      </c>
      <c r="G390" s="78">
        <v>105.77</v>
      </c>
      <c r="H390" s="20">
        <f t="shared" si="12"/>
        <v>3528.49</v>
      </c>
    </row>
    <row r="391" spans="1:8" ht="20.100000000000001" customHeight="1" x14ac:dyDescent="0.25">
      <c r="A391" s="59" t="s">
        <v>580</v>
      </c>
      <c r="B391" s="3" t="s">
        <v>17</v>
      </c>
      <c r="C391" s="43" t="s">
        <v>581</v>
      </c>
      <c r="D391" s="91" t="s">
        <v>1274</v>
      </c>
      <c r="E391" s="78">
        <v>2</v>
      </c>
      <c r="F391" s="3" t="s">
        <v>10</v>
      </c>
      <c r="G391" s="78">
        <v>138.33000000000001</v>
      </c>
      <c r="H391" s="20">
        <f t="shared" si="12"/>
        <v>276.66000000000003</v>
      </c>
    </row>
    <row r="392" spans="1:8" ht="20.100000000000001" customHeight="1" x14ac:dyDescent="0.25">
      <c r="A392" s="52"/>
      <c r="B392" s="9"/>
      <c r="C392" s="44" t="s">
        <v>1266</v>
      </c>
      <c r="D392" s="44" t="s">
        <v>1266</v>
      </c>
      <c r="E392" s="78">
        <v>1</v>
      </c>
      <c r="F392" s="9"/>
      <c r="G392" s="79">
        <f>SUM(H387:H391)</f>
        <v>14491.35</v>
      </c>
      <c r="H392" s="29">
        <f t="shared" si="12"/>
        <v>14491.35</v>
      </c>
    </row>
    <row r="393" spans="1:8" ht="20.100000000000001" customHeight="1" x14ac:dyDescent="0.25">
      <c r="A393" s="60"/>
      <c r="B393" s="12"/>
      <c r="C393" s="45"/>
      <c r="D393" s="45"/>
      <c r="E393" s="34"/>
      <c r="F393" s="12"/>
      <c r="G393" s="34"/>
      <c r="H393" s="30"/>
    </row>
    <row r="394" spans="1:8" ht="20.100000000000001" customHeight="1" x14ac:dyDescent="0.25">
      <c r="A394" s="52"/>
      <c r="B394" s="9"/>
      <c r="C394" s="44" t="s">
        <v>582</v>
      </c>
      <c r="D394" s="44" t="s">
        <v>582</v>
      </c>
      <c r="E394" s="78">
        <v>1</v>
      </c>
      <c r="F394" s="9"/>
      <c r="G394" s="79">
        <f>H382+H386</f>
        <v>19831.59</v>
      </c>
      <c r="H394" s="29">
        <f>ROUND(E394*G394,2)</f>
        <v>19831.59</v>
      </c>
    </row>
    <row r="395" spans="1:8" ht="20.100000000000001" customHeight="1" x14ac:dyDescent="0.25">
      <c r="A395" s="60"/>
      <c r="B395" s="12"/>
      <c r="C395" s="45"/>
      <c r="D395" s="45"/>
      <c r="E395" s="34"/>
      <c r="F395" s="12"/>
      <c r="G395" s="34"/>
      <c r="H395" s="30"/>
    </row>
    <row r="396" spans="1:8" ht="20.100000000000001" customHeight="1" x14ac:dyDescent="0.25">
      <c r="A396" s="62" t="s">
        <v>583</v>
      </c>
      <c r="B396" s="7" t="s">
        <v>9</v>
      </c>
      <c r="C396" s="47" t="s">
        <v>584</v>
      </c>
      <c r="D396" s="47" t="s">
        <v>1278</v>
      </c>
      <c r="E396" s="81">
        <f>E428</f>
        <v>1</v>
      </c>
      <c r="F396" s="7" t="s">
        <v>65</v>
      </c>
      <c r="G396" s="81">
        <f>G428</f>
        <v>26059.42</v>
      </c>
      <c r="H396" s="21">
        <f>H428</f>
        <v>26059.42</v>
      </c>
    </row>
    <row r="397" spans="1:8" ht="20.100000000000001" customHeight="1" x14ac:dyDescent="0.25">
      <c r="A397" s="63"/>
      <c r="B397" s="18" t="s">
        <v>9</v>
      </c>
      <c r="C397" s="48" t="s">
        <v>1279</v>
      </c>
      <c r="D397" s="48" t="s">
        <v>1280</v>
      </c>
      <c r="E397" s="82">
        <f>E411</f>
        <v>1</v>
      </c>
      <c r="F397" s="18" t="s">
        <v>433</v>
      </c>
      <c r="G397" s="82">
        <f>G411</f>
        <v>21286.35</v>
      </c>
      <c r="H397" s="32">
        <f>H411</f>
        <v>21286.35</v>
      </c>
    </row>
    <row r="398" spans="1:8" ht="20.100000000000001" customHeight="1" x14ac:dyDescent="0.25">
      <c r="A398" s="59" t="s">
        <v>585</v>
      </c>
      <c r="B398" s="3" t="s">
        <v>17</v>
      </c>
      <c r="C398" s="43" t="s">
        <v>586</v>
      </c>
      <c r="D398" s="43" t="s">
        <v>1281</v>
      </c>
      <c r="E398" s="78">
        <v>3</v>
      </c>
      <c r="F398" s="3" t="s">
        <v>10</v>
      </c>
      <c r="G398" s="78">
        <v>521.42999999999995</v>
      </c>
      <c r="H398" s="20">
        <f t="shared" ref="H398:H411" si="13">ROUND(E398*G398,2)</f>
        <v>1564.29</v>
      </c>
    </row>
    <row r="399" spans="1:8" ht="20.100000000000001" customHeight="1" x14ac:dyDescent="0.25">
      <c r="A399" s="59" t="s">
        <v>587</v>
      </c>
      <c r="B399" s="3" t="s">
        <v>17</v>
      </c>
      <c r="C399" s="43" t="s">
        <v>588</v>
      </c>
      <c r="D399" s="43" t="s">
        <v>1282</v>
      </c>
      <c r="E399" s="78">
        <v>4</v>
      </c>
      <c r="F399" s="3" t="s">
        <v>10</v>
      </c>
      <c r="G399" s="78">
        <v>543.73</v>
      </c>
      <c r="H399" s="20">
        <f t="shared" si="13"/>
        <v>2174.92</v>
      </c>
    </row>
    <row r="400" spans="1:8" ht="20.100000000000001" customHeight="1" x14ac:dyDescent="0.25">
      <c r="A400" s="59" t="s">
        <v>589</v>
      </c>
      <c r="B400" s="3" t="s">
        <v>17</v>
      </c>
      <c r="C400" s="43" t="s">
        <v>590</v>
      </c>
      <c r="D400" s="43" t="s">
        <v>1283</v>
      </c>
      <c r="E400" s="78">
        <v>4</v>
      </c>
      <c r="F400" s="3" t="s">
        <v>10</v>
      </c>
      <c r="G400" s="78">
        <v>1661.35</v>
      </c>
      <c r="H400" s="20">
        <f t="shared" si="13"/>
        <v>6645.4</v>
      </c>
    </row>
    <row r="401" spans="1:8" ht="20.100000000000001" customHeight="1" x14ac:dyDescent="0.25">
      <c r="A401" s="59" t="s">
        <v>591</v>
      </c>
      <c r="B401" s="3" t="s">
        <v>17</v>
      </c>
      <c r="C401" s="43" t="s">
        <v>592</v>
      </c>
      <c r="D401" s="43" t="s">
        <v>1284</v>
      </c>
      <c r="E401" s="78">
        <v>2</v>
      </c>
      <c r="F401" s="3" t="s">
        <v>10</v>
      </c>
      <c r="G401" s="78">
        <v>2093.44</v>
      </c>
      <c r="H401" s="20">
        <f t="shared" si="13"/>
        <v>4186.88</v>
      </c>
    </row>
    <row r="402" spans="1:8" ht="20.100000000000001" customHeight="1" x14ac:dyDescent="0.25">
      <c r="A402" s="59" t="s">
        <v>593</v>
      </c>
      <c r="B402" s="3" t="s">
        <v>17</v>
      </c>
      <c r="C402" s="43" t="s">
        <v>594</v>
      </c>
      <c r="D402" s="43" t="s">
        <v>1285</v>
      </c>
      <c r="E402" s="78">
        <v>2</v>
      </c>
      <c r="F402" s="3" t="s">
        <v>10</v>
      </c>
      <c r="G402" s="78">
        <v>1360.57</v>
      </c>
      <c r="H402" s="20">
        <f t="shared" si="13"/>
        <v>2721.14</v>
      </c>
    </row>
    <row r="403" spans="1:8" ht="20.100000000000001" customHeight="1" x14ac:dyDescent="0.25">
      <c r="A403" s="59" t="s">
        <v>595</v>
      </c>
      <c r="B403" s="3" t="s">
        <v>17</v>
      </c>
      <c r="C403" s="43" t="s">
        <v>596</v>
      </c>
      <c r="D403" s="43" t="s">
        <v>1291</v>
      </c>
      <c r="E403" s="78">
        <v>2</v>
      </c>
      <c r="F403" s="3" t="s">
        <v>10</v>
      </c>
      <c r="G403" s="78">
        <v>307.58</v>
      </c>
      <c r="H403" s="20">
        <f t="shared" si="13"/>
        <v>615.16</v>
      </c>
    </row>
    <row r="404" spans="1:8" ht="20.100000000000001" customHeight="1" x14ac:dyDescent="0.25">
      <c r="A404" s="59" t="s">
        <v>597</v>
      </c>
      <c r="B404" s="3" t="s">
        <v>17</v>
      </c>
      <c r="C404" s="43" t="s">
        <v>598</v>
      </c>
      <c r="D404" s="43" t="s">
        <v>1292</v>
      </c>
      <c r="E404" s="78">
        <v>8</v>
      </c>
      <c r="F404" s="3" t="s">
        <v>10</v>
      </c>
      <c r="G404" s="78">
        <v>162.97999999999999</v>
      </c>
      <c r="H404" s="20">
        <f t="shared" si="13"/>
        <v>1303.8399999999999</v>
      </c>
    </row>
    <row r="405" spans="1:8" ht="20.100000000000001" customHeight="1" x14ac:dyDescent="0.25">
      <c r="A405" s="59" t="s">
        <v>599</v>
      </c>
      <c r="B405" s="3" t="s">
        <v>17</v>
      </c>
      <c r="C405" s="43" t="s">
        <v>600</v>
      </c>
      <c r="D405" s="43" t="s">
        <v>1290</v>
      </c>
      <c r="E405" s="78">
        <v>3</v>
      </c>
      <c r="F405" s="3" t="s">
        <v>10</v>
      </c>
      <c r="G405" s="78">
        <v>118.2</v>
      </c>
      <c r="H405" s="20">
        <f t="shared" si="13"/>
        <v>354.6</v>
      </c>
    </row>
    <row r="406" spans="1:8" ht="20.100000000000001" customHeight="1" x14ac:dyDescent="0.25">
      <c r="A406" s="59" t="s">
        <v>601</v>
      </c>
      <c r="B406" s="3" t="s">
        <v>17</v>
      </c>
      <c r="C406" s="43" t="s">
        <v>602</v>
      </c>
      <c r="D406" s="43" t="s">
        <v>1289</v>
      </c>
      <c r="E406" s="78">
        <v>2</v>
      </c>
      <c r="F406" s="3" t="s">
        <v>10</v>
      </c>
      <c r="G406" s="78">
        <v>69.52</v>
      </c>
      <c r="H406" s="20">
        <f t="shared" si="13"/>
        <v>139.04</v>
      </c>
    </row>
    <row r="407" spans="1:8" ht="20.100000000000001" customHeight="1" x14ac:dyDescent="0.25">
      <c r="A407" s="59" t="s">
        <v>603</v>
      </c>
      <c r="B407" s="3" t="s">
        <v>17</v>
      </c>
      <c r="C407" s="43" t="s">
        <v>604</v>
      </c>
      <c r="D407" s="43" t="s">
        <v>1288</v>
      </c>
      <c r="E407" s="78">
        <v>2</v>
      </c>
      <c r="F407" s="3" t="s">
        <v>10</v>
      </c>
      <c r="G407" s="78">
        <v>98.18</v>
      </c>
      <c r="H407" s="20">
        <f t="shared" si="13"/>
        <v>196.36</v>
      </c>
    </row>
    <row r="408" spans="1:8" ht="20.100000000000001" customHeight="1" x14ac:dyDescent="0.25">
      <c r="A408" s="59" t="s">
        <v>605</v>
      </c>
      <c r="B408" s="3" t="s">
        <v>17</v>
      </c>
      <c r="C408" s="43" t="s">
        <v>1295</v>
      </c>
      <c r="D408" s="43" t="s">
        <v>1294</v>
      </c>
      <c r="E408" s="78">
        <v>2</v>
      </c>
      <c r="F408" s="3" t="s">
        <v>10</v>
      </c>
      <c r="G408" s="92">
        <v>127.22</v>
      </c>
      <c r="H408" s="20">
        <f t="shared" si="13"/>
        <v>254.44</v>
      </c>
    </row>
    <row r="409" spans="1:8" ht="20.100000000000001" customHeight="1" x14ac:dyDescent="0.25">
      <c r="A409" s="59" t="s">
        <v>607</v>
      </c>
      <c r="B409" s="3" t="s">
        <v>17</v>
      </c>
      <c r="C409" s="43" t="s">
        <v>606</v>
      </c>
      <c r="D409" s="43" t="s">
        <v>1286</v>
      </c>
      <c r="E409" s="78">
        <v>2</v>
      </c>
      <c r="F409" s="3" t="s">
        <v>10</v>
      </c>
      <c r="G409" s="78">
        <v>499.09</v>
      </c>
      <c r="H409" s="20">
        <f t="shared" si="13"/>
        <v>998.18</v>
      </c>
    </row>
    <row r="410" spans="1:8" ht="20.100000000000001" customHeight="1" x14ac:dyDescent="0.25">
      <c r="A410" s="59" t="s">
        <v>610</v>
      </c>
      <c r="B410" s="3" t="s">
        <v>17</v>
      </c>
      <c r="C410" s="43" t="s">
        <v>608</v>
      </c>
      <c r="D410" s="43" t="s">
        <v>1287</v>
      </c>
      <c r="E410" s="78">
        <v>2</v>
      </c>
      <c r="F410" s="3" t="s">
        <v>10</v>
      </c>
      <c r="G410" s="78">
        <v>66.05</v>
      </c>
      <c r="H410" s="20">
        <f t="shared" si="13"/>
        <v>132.1</v>
      </c>
    </row>
    <row r="411" spans="1:8" ht="20.100000000000001" customHeight="1" x14ac:dyDescent="0.25">
      <c r="A411" s="52"/>
      <c r="B411" s="9"/>
      <c r="C411" s="44" t="s">
        <v>1293</v>
      </c>
      <c r="D411" s="44" t="s">
        <v>1551</v>
      </c>
      <c r="E411" s="78">
        <v>1</v>
      </c>
      <c r="F411" s="9"/>
      <c r="G411" s="79">
        <f>SUM(H398:H410)</f>
        <v>21286.35</v>
      </c>
      <c r="H411" s="29">
        <f t="shared" si="13"/>
        <v>21286.35</v>
      </c>
    </row>
    <row r="412" spans="1:8" ht="20.100000000000001" customHeight="1" x14ac:dyDescent="0.25">
      <c r="A412" s="60"/>
      <c r="B412" s="12"/>
      <c r="C412" s="45"/>
      <c r="D412" s="45"/>
      <c r="E412" s="34"/>
      <c r="F412" s="12"/>
      <c r="G412" s="34"/>
      <c r="H412" s="30"/>
    </row>
    <row r="413" spans="1:8" ht="20.100000000000001" customHeight="1" x14ac:dyDescent="0.25">
      <c r="A413" s="63"/>
      <c r="B413" s="18" t="s">
        <v>9</v>
      </c>
      <c r="C413" s="48" t="s">
        <v>609</v>
      </c>
      <c r="D413" s="48" t="s">
        <v>1296</v>
      </c>
      <c r="E413" s="82">
        <f>E420</f>
        <v>1</v>
      </c>
      <c r="F413" s="18" t="s">
        <v>433</v>
      </c>
      <c r="G413" s="82">
        <f>G420</f>
        <v>2934.25</v>
      </c>
      <c r="H413" s="32">
        <f>H420</f>
        <v>2934.25</v>
      </c>
    </row>
    <row r="414" spans="1:8" ht="20.100000000000001" customHeight="1" x14ac:dyDescent="0.25">
      <c r="A414" s="59" t="s">
        <v>612</v>
      </c>
      <c r="B414" s="3" t="s">
        <v>17</v>
      </c>
      <c r="C414" s="43" t="s">
        <v>611</v>
      </c>
      <c r="D414" s="91" t="s">
        <v>1301</v>
      </c>
      <c r="E414" s="78">
        <v>1</v>
      </c>
      <c r="F414" s="3" t="s">
        <v>154</v>
      </c>
      <c r="G414" s="78">
        <v>536.03</v>
      </c>
      <c r="H414" s="20">
        <f t="shared" ref="H414:H420" si="14">ROUND(E414*G414,2)</f>
        <v>536.03</v>
      </c>
    </row>
    <row r="415" spans="1:8" ht="20.100000000000001" customHeight="1" x14ac:dyDescent="0.25">
      <c r="A415" s="59" t="s">
        <v>614</v>
      </c>
      <c r="B415" s="3" t="s">
        <v>17</v>
      </c>
      <c r="C415" s="43" t="s">
        <v>613</v>
      </c>
      <c r="D415" s="91" t="s">
        <v>1299</v>
      </c>
      <c r="E415" s="78">
        <v>2</v>
      </c>
      <c r="F415" s="3" t="s">
        <v>154</v>
      </c>
      <c r="G415" s="78">
        <v>693.35</v>
      </c>
      <c r="H415" s="20">
        <f t="shared" si="14"/>
        <v>1386.7</v>
      </c>
    </row>
    <row r="416" spans="1:8" ht="20.100000000000001" customHeight="1" x14ac:dyDescent="0.25">
      <c r="A416" s="59" t="s">
        <v>616</v>
      </c>
      <c r="B416" s="3" t="s">
        <v>17</v>
      </c>
      <c r="C416" s="43" t="s">
        <v>615</v>
      </c>
      <c r="D416" s="91" t="s">
        <v>1298</v>
      </c>
      <c r="E416" s="78">
        <v>1</v>
      </c>
      <c r="F416" s="3" t="s">
        <v>154</v>
      </c>
      <c r="G416" s="78">
        <v>274.48</v>
      </c>
      <c r="H416" s="20">
        <f t="shared" si="14"/>
        <v>274.48</v>
      </c>
    </row>
    <row r="417" spans="1:8" ht="20.100000000000001" customHeight="1" x14ac:dyDescent="0.25">
      <c r="A417" s="59" t="s">
        <v>618</v>
      </c>
      <c r="B417" s="3" t="s">
        <v>17</v>
      </c>
      <c r="C417" s="43" t="s">
        <v>617</v>
      </c>
      <c r="D417" s="91" t="s">
        <v>1297</v>
      </c>
      <c r="E417" s="78">
        <v>1</v>
      </c>
      <c r="F417" s="3" t="s">
        <v>154</v>
      </c>
      <c r="G417" s="78">
        <v>120.75</v>
      </c>
      <c r="H417" s="20">
        <f t="shared" si="14"/>
        <v>120.75</v>
      </c>
    </row>
    <row r="418" spans="1:8" ht="20.100000000000001" customHeight="1" x14ac:dyDescent="0.25">
      <c r="A418" s="59" t="s">
        <v>620</v>
      </c>
      <c r="B418" s="3" t="s">
        <v>17</v>
      </c>
      <c r="C418" s="43" t="s">
        <v>619</v>
      </c>
      <c r="D418" s="91" t="s">
        <v>1300</v>
      </c>
      <c r="E418" s="78">
        <v>2</v>
      </c>
      <c r="F418" s="3" t="s">
        <v>154</v>
      </c>
      <c r="G418" s="78">
        <v>269.72000000000003</v>
      </c>
      <c r="H418" s="20">
        <f t="shared" si="14"/>
        <v>539.44000000000005</v>
      </c>
    </row>
    <row r="419" spans="1:8" ht="20.100000000000001" customHeight="1" x14ac:dyDescent="0.25">
      <c r="A419" s="59" t="s">
        <v>623</v>
      </c>
      <c r="B419" s="3" t="s">
        <v>17</v>
      </c>
      <c r="C419" s="43" t="s">
        <v>621</v>
      </c>
      <c r="D419" s="43" t="s">
        <v>1302</v>
      </c>
      <c r="E419" s="78">
        <v>1</v>
      </c>
      <c r="F419" s="3" t="s">
        <v>154</v>
      </c>
      <c r="G419" s="78">
        <v>76.849999999999994</v>
      </c>
      <c r="H419" s="20">
        <f t="shared" si="14"/>
        <v>76.849999999999994</v>
      </c>
    </row>
    <row r="420" spans="1:8" ht="20.100000000000001" customHeight="1" x14ac:dyDescent="0.25">
      <c r="A420" s="52"/>
      <c r="B420" s="9"/>
      <c r="C420" s="44" t="s">
        <v>1303</v>
      </c>
      <c r="D420" s="44" t="s">
        <v>1303</v>
      </c>
      <c r="E420" s="78">
        <v>1</v>
      </c>
      <c r="F420" s="9"/>
      <c r="G420" s="79">
        <f>SUM(H414:H419)</f>
        <v>2934.25</v>
      </c>
      <c r="H420" s="29">
        <f t="shared" si="14"/>
        <v>2934.25</v>
      </c>
    </row>
    <row r="421" spans="1:8" ht="20.100000000000001" customHeight="1" x14ac:dyDescent="0.25">
      <c r="A421" s="60"/>
      <c r="B421" s="12"/>
      <c r="C421" s="45"/>
      <c r="D421" s="45"/>
      <c r="E421" s="34"/>
      <c r="F421" s="12"/>
      <c r="G421" s="34"/>
      <c r="H421" s="30"/>
    </row>
    <row r="422" spans="1:8" ht="20.100000000000001" customHeight="1" x14ac:dyDescent="0.25">
      <c r="A422" s="63"/>
      <c r="B422" s="18" t="s">
        <v>9</v>
      </c>
      <c r="C422" s="48" t="s">
        <v>622</v>
      </c>
      <c r="D422" s="48" t="s">
        <v>1308</v>
      </c>
      <c r="E422" s="82">
        <f>E426</f>
        <v>1</v>
      </c>
      <c r="F422" s="18" t="s">
        <v>433</v>
      </c>
      <c r="G422" s="82">
        <f>G426</f>
        <v>1838.82</v>
      </c>
      <c r="H422" s="32">
        <f>H426</f>
        <v>1838.82</v>
      </c>
    </row>
    <row r="423" spans="1:8" ht="20.100000000000001" customHeight="1" x14ac:dyDescent="0.25">
      <c r="A423" s="59" t="s">
        <v>625</v>
      </c>
      <c r="B423" s="3" t="s">
        <v>17</v>
      </c>
      <c r="C423" s="43" t="s">
        <v>624</v>
      </c>
      <c r="D423" s="43" t="s">
        <v>1305</v>
      </c>
      <c r="E423" s="78">
        <v>1</v>
      </c>
      <c r="F423" s="3" t="s">
        <v>10</v>
      </c>
      <c r="G423" s="78">
        <v>605.73</v>
      </c>
      <c r="H423" s="20">
        <f>ROUND(E423*G423,2)</f>
        <v>605.73</v>
      </c>
    </row>
    <row r="424" spans="1:8" ht="20.100000000000001" customHeight="1" x14ac:dyDescent="0.25">
      <c r="A424" s="59" t="s">
        <v>627</v>
      </c>
      <c r="B424" s="3" t="s">
        <v>17</v>
      </c>
      <c r="C424" s="43" t="s">
        <v>626</v>
      </c>
      <c r="D424" s="43" t="s">
        <v>1306</v>
      </c>
      <c r="E424" s="78">
        <v>1</v>
      </c>
      <c r="F424" s="3" t="s">
        <v>10</v>
      </c>
      <c r="G424" s="78">
        <v>411.03</v>
      </c>
      <c r="H424" s="20">
        <f>ROUND(E424*G424,2)</f>
        <v>411.03</v>
      </c>
    </row>
    <row r="425" spans="1:8" s="4" customFormat="1" ht="39.950000000000003" customHeight="1" x14ac:dyDescent="0.25">
      <c r="A425" s="59" t="s">
        <v>1563</v>
      </c>
      <c r="B425" s="3" t="s">
        <v>17</v>
      </c>
      <c r="C425" s="43" t="s">
        <v>628</v>
      </c>
      <c r="D425" s="43" t="s">
        <v>1307</v>
      </c>
      <c r="E425" s="78">
        <v>2</v>
      </c>
      <c r="F425" s="3" t="s">
        <v>10</v>
      </c>
      <c r="G425" s="78">
        <v>411.03</v>
      </c>
      <c r="H425" s="20">
        <f>ROUND(E425*G425,2)</f>
        <v>822.06</v>
      </c>
    </row>
    <row r="426" spans="1:8" ht="20.100000000000001" customHeight="1" x14ac:dyDescent="0.25">
      <c r="A426" s="52"/>
      <c r="B426" s="9"/>
      <c r="C426" s="44" t="s">
        <v>1304</v>
      </c>
      <c r="D426" s="44" t="s">
        <v>1564</v>
      </c>
      <c r="E426" s="78">
        <v>1</v>
      </c>
      <c r="F426" s="9"/>
      <c r="G426" s="79">
        <f>SUM(H423:H425)</f>
        <v>1838.82</v>
      </c>
      <c r="H426" s="29">
        <f>ROUND(E426*G426,2)</f>
        <v>1838.82</v>
      </c>
    </row>
    <row r="427" spans="1:8" ht="20.100000000000001" customHeight="1" x14ac:dyDescent="0.25">
      <c r="A427" s="60"/>
      <c r="B427" s="12"/>
      <c r="C427" s="45"/>
      <c r="D427" s="45"/>
      <c r="E427" s="34"/>
      <c r="F427" s="12"/>
      <c r="G427" s="34"/>
      <c r="H427" s="30"/>
    </row>
    <row r="428" spans="1:8" ht="20.100000000000001" customHeight="1" x14ac:dyDescent="0.25">
      <c r="A428" s="52"/>
      <c r="B428" s="9"/>
      <c r="C428" s="44" t="s">
        <v>629</v>
      </c>
      <c r="D428" s="44" t="s">
        <v>629</v>
      </c>
      <c r="E428" s="78">
        <v>1</v>
      </c>
      <c r="F428" s="9"/>
      <c r="G428" s="79">
        <f>H397+H413+H422</f>
        <v>26059.42</v>
      </c>
      <c r="H428" s="29">
        <f>ROUND(E428*G428,2)</f>
        <v>26059.42</v>
      </c>
    </row>
    <row r="429" spans="1:8" ht="20.100000000000001" customHeight="1" x14ac:dyDescent="0.25">
      <c r="A429" s="60"/>
      <c r="B429" s="12"/>
      <c r="C429" s="45"/>
      <c r="D429" s="45"/>
      <c r="E429" s="34"/>
      <c r="F429" s="12"/>
      <c r="G429" s="34"/>
      <c r="H429" s="30"/>
    </row>
    <row r="430" spans="1:8" ht="20.100000000000001" customHeight="1" x14ac:dyDescent="0.25">
      <c r="A430" s="52"/>
      <c r="B430" s="9"/>
      <c r="C430" s="44" t="s">
        <v>630</v>
      </c>
      <c r="D430" s="44" t="s">
        <v>630</v>
      </c>
      <c r="E430" s="78">
        <v>1</v>
      </c>
      <c r="F430" s="9"/>
      <c r="G430" s="79">
        <f>H225+H239+H252+H270+H284+H303+H363+H374+H381+H396</f>
        <v>329414.46000000002</v>
      </c>
      <c r="H430" s="29">
        <f>ROUND(E430*G430,2)</f>
        <v>329414.46000000002</v>
      </c>
    </row>
    <row r="431" spans="1:8" ht="20.100000000000001" customHeight="1" x14ac:dyDescent="0.25">
      <c r="A431" s="60"/>
      <c r="B431" s="12"/>
      <c r="C431" s="45"/>
      <c r="D431" s="45"/>
      <c r="E431" s="34"/>
      <c r="F431" s="12"/>
      <c r="G431" s="34"/>
      <c r="H431" s="30"/>
    </row>
    <row r="432" spans="1:8" ht="20.100000000000001" customHeight="1" x14ac:dyDescent="0.25">
      <c r="A432" s="61" t="s">
        <v>631</v>
      </c>
      <c r="B432" s="17" t="s">
        <v>9</v>
      </c>
      <c r="C432" s="46" t="s">
        <v>292</v>
      </c>
      <c r="D432" s="46" t="s">
        <v>1152</v>
      </c>
      <c r="E432" s="80">
        <f>E601</f>
        <v>1</v>
      </c>
      <c r="F432" s="17" t="s">
        <v>10</v>
      </c>
      <c r="G432" s="80">
        <f>G601</f>
        <v>396759.75</v>
      </c>
      <c r="H432" s="31">
        <f>H601</f>
        <v>396759.75</v>
      </c>
    </row>
    <row r="433" spans="1:8" ht="20.100000000000001" customHeight="1" x14ac:dyDescent="0.25">
      <c r="A433" s="62" t="s">
        <v>632</v>
      </c>
      <c r="B433" s="7" t="s">
        <v>9</v>
      </c>
      <c r="C433" s="47" t="s">
        <v>359</v>
      </c>
      <c r="D433" s="47" t="s">
        <v>1183</v>
      </c>
      <c r="E433" s="81">
        <f>E444</f>
        <v>1</v>
      </c>
      <c r="F433" s="7" t="s">
        <v>10</v>
      </c>
      <c r="G433" s="81">
        <f>G444</f>
        <v>45700.63</v>
      </c>
      <c r="H433" s="21">
        <f>H444</f>
        <v>45700.63</v>
      </c>
    </row>
    <row r="434" spans="1:8" ht="39.950000000000003" customHeight="1" x14ac:dyDescent="0.25">
      <c r="A434" s="59" t="s">
        <v>633</v>
      </c>
      <c r="B434" s="3" t="s">
        <v>17</v>
      </c>
      <c r="C434" s="43" t="s">
        <v>361</v>
      </c>
      <c r="D434" s="43" t="s">
        <v>1171</v>
      </c>
      <c r="E434" s="78">
        <v>1057.68</v>
      </c>
      <c r="F434" s="3" t="s">
        <v>277</v>
      </c>
      <c r="G434" s="78">
        <v>4.3</v>
      </c>
      <c r="H434" s="20">
        <f t="shared" ref="H434:H444" si="15">ROUND(E434*G434,2)</f>
        <v>4548.0200000000004</v>
      </c>
    </row>
    <row r="435" spans="1:8" ht="20.100000000000001" customHeight="1" x14ac:dyDescent="0.25">
      <c r="A435" s="59" t="s">
        <v>634</v>
      </c>
      <c r="B435" s="3" t="s">
        <v>17</v>
      </c>
      <c r="C435" s="43" t="s">
        <v>363</v>
      </c>
      <c r="D435" s="43" t="s">
        <v>1172</v>
      </c>
      <c r="E435" s="78">
        <v>157.19</v>
      </c>
      <c r="F435" s="3" t="s">
        <v>35</v>
      </c>
      <c r="G435" s="78">
        <v>4.7699999999999996</v>
      </c>
      <c r="H435" s="20">
        <f t="shared" si="15"/>
        <v>749.8</v>
      </c>
    </row>
    <row r="436" spans="1:8" ht="20.100000000000001" customHeight="1" x14ac:dyDescent="0.25">
      <c r="A436" s="59" t="s">
        <v>635</v>
      </c>
      <c r="B436" s="3" t="s">
        <v>17</v>
      </c>
      <c r="C436" s="43" t="s">
        <v>365</v>
      </c>
      <c r="D436" s="43" t="s">
        <v>1173</v>
      </c>
      <c r="E436" s="78">
        <v>352.94</v>
      </c>
      <c r="F436" s="3" t="s">
        <v>277</v>
      </c>
      <c r="G436" s="78">
        <v>11.97</v>
      </c>
      <c r="H436" s="20">
        <f t="shared" si="15"/>
        <v>4224.6899999999996</v>
      </c>
    </row>
    <row r="437" spans="1:8" ht="20.100000000000001" customHeight="1" x14ac:dyDescent="0.25">
      <c r="A437" s="59" t="s">
        <v>636</v>
      </c>
      <c r="B437" s="3" t="s">
        <v>17</v>
      </c>
      <c r="C437" s="43" t="s">
        <v>367</v>
      </c>
      <c r="D437" s="43" t="s">
        <v>1174</v>
      </c>
      <c r="E437" s="78">
        <v>157.19</v>
      </c>
      <c r="F437" s="3" t="s">
        <v>35</v>
      </c>
      <c r="G437" s="78">
        <v>13</v>
      </c>
      <c r="H437" s="20">
        <f t="shared" si="15"/>
        <v>2043.47</v>
      </c>
    </row>
    <row r="438" spans="1:8" ht="20.100000000000001" customHeight="1" x14ac:dyDescent="0.25">
      <c r="A438" s="59" t="s">
        <v>637</v>
      </c>
      <c r="B438" s="3" t="s">
        <v>17</v>
      </c>
      <c r="C438" s="43" t="s">
        <v>369</v>
      </c>
      <c r="D438" s="43" t="s">
        <v>1175</v>
      </c>
      <c r="E438" s="78">
        <v>976.87</v>
      </c>
      <c r="F438" s="3" t="s">
        <v>35</v>
      </c>
      <c r="G438" s="78">
        <v>11.59</v>
      </c>
      <c r="H438" s="20">
        <f t="shared" si="15"/>
        <v>11321.92</v>
      </c>
    </row>
    <row r="439" spans="1:8" ht="20.100000000000001" customHeight="1" x14ac:dyDescent="0.25">
      <c r="A439" s="59" t="s">
        <v>638</v>
      </c>
      <c r="B439" s="3" t="s">
        <v>17</v>
      </c>
      <c r="C439" s="43" t="s">
        <v>371</v>
      </c>
      <c r="D439" s="43" t="s">
        <v>1176</v>
      </c>
      <c r="E439" s="78">
        <v>277.33999999999997</v>
      </c>
      <c r="F439" s="3" t="s">
        <v>35</v>
      </c>
      <c r="G439" s="78">
        <v>12.31</v>
      </c>
      <c r="H439" s="20">
        <f t="shared" si="15"/>
        <v>3414.06</v>
      </c>
    </row>
    <row r="440" spans="1:8" ht="20.100000000000001" customHeight="1" x14ac:dyDescent="0.25">
      <c r="A440" s="59" t="s">
        <v>639</v>
      </c>
      <c r="B440" s="3" t="s">
        <v>17</v>
      </c>
      <c r="C440" s="43" t="s">
        <v>373</v>
      </c>
      <c r="D440" s="43" t="s">
        <v>1177</v>
      </c>
      <c r="E440" s="78">
        <v>116.71</v>
      </c>
      <c r="F440" s="3" t="s">
        <v>35</v>
      </c>
      <c r="G440" s="78">
        <v>9.18</v>
      </c>
      <c r="H440" s="20">
        <f t="shared" si="15"/>
        <v>1071.4000000000001</v>
      </c>
    </row>
    <row r="441" spans="1:8" ht="20.100000000000001" customHeight="1" x14ac:dyDescent="0.25">
      <c r="A441" s="59" t="s">
        <v>640</v>
      </c>
      <c r="B441" s="3" t="s">
        <v>17</v>
      </c>
      <c r="C441" s="43" t="s">
        <v>377</v>
      </c>
      <c r="D441" s="43" t="s">
        <v>1179</v>
      </c>
      <c r="E441" s="78">
        <v>820.37</v>
      </c>
      <c r="F441" s="3" t="s">
        <v>277</v>
      </c>
      <c r="G441" s="78">
        <v>7.25</v>
      </c>
      <c r="H441" s="20">
        <f t="shared" si="15"/>
        <v>5947.68</v>
      </c>
    </row>
    <row r="442" spans="1:8" ht="20.100000000000001" customHeight="1" x14ac:dyDescent="0.25">
      <c r="A442" s="59" t="s">
        <v>641</v>
      </c>
      <c r="B442" s="3" t="s">
        <v>17</v>
      </c>
      <c r="C442" s="43" t="s">
        <v>379</v>
      </c>
      <c r="D442" s="43" t="s">
        <v>1180</v>
      </c>
      <c r="E442" s="78">
        <v>424.74</v>
      </c>
      <c r="F442" s="3" t="s">
        <v>277</v>
      </c>
      <c r="G442" s="78">
        <v>8.5</v>
      </c>
      <c r="H442" s="20">
        <f t="shared" si="15"/>
        <v>3610.29</v>
      </c>
    </row>
    <row r="443" spans="1:8" ht="20.100000000000001" customHeight="1" x14ac:dyDescent="0.25">
      <c r="A443" s="59" t="s">
        <v>642</v>
      </c>
      <c r="B443" s="3" t="s">
        <v>17</v>
      </c>
      <c r="C443" s="43" t="s">
        <v>381</v>
      </c>
      <c r="D443" s="43" t="s">
        <v>1181</v>
      </c>
      <c r="E443" s="78">
        <v>359.84</v>
      </c>
      <c r="F443" s="3" t="s">
        <v>35</v>
      </c>
      <c r="G443" s="78">
        <v>24.37</v>
      </c>
      <c r="H443" s="20">
        <f t="shared" si="15"/>
        <v>8769.2999999999993</v>
      </c>
    </row>
    <row r="444" spans="1:8" ht="20.100000000000001" customHeight="1" x14ac:dyDescent="0.25">
      <c r="A444" s="52"/>
      <c r="B444" s="9"/>
      <c r="C444" s="44" t="s">
        <v>643</v>
      </c>
      <c r="D444" s="44" t="s">
        <v>643</v>
      </c>
      <c r="E444" s="78">
        <v>1</v>
      </c>
      <c r="F444" s="9"/>
      <c r="G444" s="79">
        <f>SUM(H434:H443)</f>
        <v>45700.63</v>
      </c>
      <c r="H444" s="29">
        <f t="shared" si="15"/>
        <v>45700.63</v>
      </c>
    </row>
    <row r="445" spans="1:8" ht="20.100000000000001" customHeight="1" x14ac:dyDescent="0.25">
      <c r="A445" s="60"/>
      <c r="B445" s="12"/>
      <c r="C445" s="45"/>
      <c r="D445" s="45"/>
      <c r="E445" s="34"/>
      <c r="F445" s="12"/>
      <c r="G445" s="34"/>
      <c r="H445" s="30"/>
    </row>
    <row r="446" spans="1:8" ht="20.100000000000001" customHeight="1" x14ac:dyDescent="0.25">
      <c r="A446" s="62" t="s">
        <v>644</v>
      </c>
      <c r="B446" s="7" t="s">
        <v>9</v>
      </c>
      <c r="C446" s="47" t="s">
        <v>384</v>
      </c>
      <c r="D446" s="47" t="s">
        <v>1184</v>
      </c>
      <c r="E446" s="81">
        <f>E457</f>
        <v>1</v>
      </c>
      <c r="F446" s="7" t="s">
        <v>10</v>
      </c>
      <c r="G446" s="81">
        <f>G457</f>
        <v>33680.230000000003</v>
      </c>
      <c r="H446" s="21">
        <f>H457</f>
        <v>33680.230000000003</v>
      </c>
    </row>
    <row r="447" spans="1:8" ht="20.100000000000001" customHeight="1" x14ac:dyDescent="0.25">
      <c r="A447" s="59" t="s">
        <v>645</v>
      </c>
      <c r="B447" s="3" t="s">
        <v>17</v>
      </c>
      <c r="C447" s="43" t="s">
        <v>386</v>
      </c>
      <c r="D447" s="43" t="s">
        <v>1185</v>
      </c>
      <c r="E447" s="78">
        <v>616.38</v>
      </c>
      <c r="F447" s="3" t="s">
        <v>18</v>
      </c>
      <c r="G447" s="78">
        <v>4.7699999999999996</v>
      </c>
      <c r="H447" s="20">
        <f t="shared" ref="H447:H457" si="16">ROUND(E447*G447,2)</f>
        <v>2940.13</v>
      </c>
    </row>
    <row r="448" spans="1:8" ht="20.100000000000001" customHeight="1" x14ac:dyDescent="0.25">
      <c r="A448" s="59" t="s">
        <v>646</v>
      </c>
      <c r="B448" s="3" t="s">
        <v>17</v>
      </c>
      <c r="C448" s="43" t="s">
        <v>388</v>
      </c>
      <c r="D448" s="43" t="s">
        <v>1194</v>
      </c>
      <c r="E448" s="78">
        <v>161.07</v>
      </c>
      <c r="F448" s="3" t="s">
        <v>18</v>
      </c>
      <c r="G448" s="78">
        <v>13</v>
      </c>
      <c r="H448" s="20">
        <f t="shared" si="16"/>
        <v>2093.91</v>
      </c>
    </row>
    <row r="449" spans="1:8" ht="20.100000000000001" customHeight="1" x14ac:dyDescent="0.25">
      <c r="A449" s="59" t="s">
        <v>647</v>
      </c>
      <c r="B449" s="3" t="s">
        <v>17</v>
      </c>
      <c r="C449" s="43" t="s">
        <v>390</v>
      </c>
      <c r="D449" s="43" t="s">
        <v>1186</v>
      </c>
      <c r="E449" s="78">
        <v>123.99</v>
      </c>
      <c r="F449" s="3" t="s">
        <v>29</v>
      </c>
      <c r="G449" s="78">
        <v>15.36</v>
      </c>
      <c r="H449" s="20">
        <f t="shared" si="16"/>
        <v>1904.49</v>
      </c>
    </row>
    <row r="450" spans="1:8" ht="20.100000000000001" customHeight="1" x14ac:dyDescent="0.25">
      <c r="A450" s="59" t="s">
        <v>648</v>
      </c>
      <c r="B450" s="3" t="s">
        <v>17</v>
      </c>
      <c r="C450" s="43" t="s">
        <v>392</v>
      </c>
      <c r="D450" s="43" t="s">
        <v>1190</v>
      </c>
      <c r="E450" s="78">
        <v>49.76</v>
      </c>
      <c r="F450" s="3" t="s">
        <v>29</v>
      </c>
      <c r="G450" s="78">
        <v>33.28</v>
      </c>
      <c r="H450" s="20">
        <f t="shared" si="16"/>
        <v>1656.01</v>
      </c>
    </row>
    <row r="451" spans="1:8" ht="20.100000000000001" customHeight="1" x14ac:dyDescent="0.25">
      <c r="A451" s="59" t="s">
        <v>649</v>
      </c>
      <c r="B451" s="3" t="s">
        <v>17</v>
      </c>
      <c r="C451" s="43" t="s">
        <v>394</v>
      </c>
      <c r="D451" s="43" t="s">
        <v>1189</v>
      </c>
      <c r="E451" s="78">
        <v>92.52</v>
      </c>
      <c r="F451" s="3" t="s">
        <v>18</v>
      </c>
      <c r="G451" s="78">
        <v>17.93</v>
      </c>
      <c r="H451" s="20">
        <f t="shared" si="16"/>
        <v>1658.88</v>
      </c>
    </row>
    <row r="452" spans="1:8" ht="20.100000000000001" customHeight="1" x14ac:dyDescent="0.25">
      <c r="A452" s="59" t="s">
        <v>650</v>
      </c>
      <c r="B452" s="3" t="s">
        <v>17</v>
      </c>
      <c r="C452" s="43" t="s">
        <v>396</v>
      </c>
      <c r="D452" s="43" t="s">
        <v>1188</v>
      </c>
      <c r="E452" s="78">
        <v>523.87</v>
      </c>
      <c r="F452" s="3" t="s">
        <v>18</v>
      </c>
      <c r="G452" s="78">
        <v>19.059999999999999</v>
      </c>
      <c r="H452" s="20">
        <f t="shared" si="16"/>
        <v>9984.9599999999991</v>
      </c>
    </row>
    <row r="453" spans="1:8" ht="20.100000000000001" customHeight="1" x14ac:dyDescent="0.25">
      <c r="A453" s="59" t="s">
        <v>651</v>
      </c>
      <c r="B453" s="3" t="s">
        <v>17</v>
      </c>
      <c r="C453" s="43" t="s">
        <v>398</v>
      </c>
      <c r="D453" s="43" t="s">
        <v>1191</v>
      </c>
      <c r="E453" s="78">
        <v>52.09</v>
      </c>
      <c r="F453" s="3" t="s">
        <v>29</v>
      </c>
      <c r="G453" s="78">
        <v>3.84</v>
      </c>
      <c r="H453" s="20">
        <f t="shared" si="16"/>
        <v>200.03</v>
      </c>
    </row>
    <row r="454" spans="1:8" ht="20.100000000000001" customHeight="1" x14ac:dyDescent="0.25">
      <c r="A454" s="59" t="s">
        <v>652</v>
      </c>
      <c r="B454" s="3" t="s">
        <v>17</v>
      </c>
      <c r="C454" s="43" t="s">
        <v>400</v>
      </c>
      <c r="D454" s="43" t="s">
        <v>1192</v>
      </c>
      <c r="E454" s="78">
        <v>102.93</v>
      </c>
      <c r="F454" s="3" t="s">
        <v>18</v>
      </c>
      <c r="G454" s="78">
        <v>41.27</v>
      </c>
      <c r="H454" s="20">
        <f t="shared" si="16"/>
        <v>4247.92</v>
      </c>
    </row>
    <row r="455" spans="1:8" ht="20.100000000000001" customHeight="1" x14ac:dyDescent="0.25">
      <c r="A455" s="59" t="s">
        <v>653</v>
      </c>
      <c r="B455" s="3" t="s">
        <v>17</v>
      </c>
      <c r="C455" s="43" t="s">
        <v>402</v>
      </c>
      <c r="D455" s="43" t="s">
        <v>1193</v>
      </c>
      <c r="E455" s="78">
        <v>534.28</v>
      </c>
      <c r="F455" s="3" t="s">
        <v>35</v>
      </c>
      <c r="G455" s="78">
        <v>16.52</v>
      </c>
      <c r="H455" s="20">
        <f t="shared" si="16"/>
        <v>8826.31</v>
      </c>
    </row>
    <row r="456" spans="1:8" ht="20.100000000000001" customHeight="1" x14ac:dyDescent="0.25">
      <c r="A456" s="59" t="s">
        <v>654</v>
      </c>
      <c r="B456" s="3" t="s">
        <v>17</v>
      </c>
      <c r="C456" s="43" t="s">
        <v>404</v>
      </c>
      <c r="D456" s="43"/>
      <c r="E456" s="78">
        <v>21.16</v>
      </c>
      <c r="F456" s="3" t="s">
        <v>277</v>
      </c>
      <c r="G456" s="78">
        <v>7.92</v>
      </c>
      <c r="H456" s="20">
        <f t="shared" si="16"/>
        <v>167.59</v>
      </c>
    </row>
    <row r="457" spans="1:8" ht="20.100000000000001" customHeight="1" x14ac:dyDescent="0.25">
      <c r="A457" s="52"/>
      <c r="B457" s="9"/>
      <c r="C457" s="44" t="s">
        <v>655</v>
      </c>
      <c r="D457" s="44" t="s">
        <v>655</v>
      </c>
      <c r="E457" s="78">
        <v>1</v>
      </c>
      <c r="F457" s="9"/>
      <c r="G457" s="79">
        <f>SUM(H447:H456)</f>
        <v>33680.230000000003</v>
      </c>
      <c r="H457" s="29">
        <f t="shared" si="16"/>
        <v>33680.230000000003</v>
      </c>
    </row>
    <row r="458" spans="1:8" ht="20.100000000000001" customHeight="1" x14ac:dyDescent="0.25">
      <c r="A458" s="60"/>
      <c r="B458" s="12"/>
      <c r="C458" s="45"/>
      <c r="D458" s="45"/>
      <c r="E458" s="34"/>
      <c r="F458" s="12"/>
      <c r="G458" s="34"/>
      <c r="H458" s="30"/>
    </row>
    <row r="459" spans="1:8" ht="20.100000000000001" customHeight="1" x14ac:dyDescent="0.25">
      <c r="A459" s="62" t="s">
        <v>656</v>
      </c>
      <c r="B459" s="7" t="s">
        <v>9</v>
      </c>
      <c r="C459" s="47" t="s">
        <v>407</v>
      </c>
      <c r="D459" s="47"/>
      <c r="E459" s="81">
        <f>E476</f>
        <v>1</v>
      </c>
      <c r="F459" s="7" t="s">
        <v>10</v>
      </c>
      <c r="G459" s="81">
        <f>G476</f>
        <v>34235.870000000003</v>
      </c>
      <c r="H459" s="21">
        <f>H476</f>
        <v>34235.870000000003</v>
      </c>
    </row>
    <row r="460" spans="1:8" ht="20.100000000000001" customHeight="1" x14ac:dyDescent="0.25">
      <c r="A460" s="63"/>
      <c r="B460" s="18" t="s">
        <v>9</v>
      </c>
      <c r="C460" s="48" t="s">
        <v>408</v>
      </c>
      <c r="D460" s="48" t="s">
        <v>1196</v>
      </c>
      <c r="E460" s="82">
        <f>E464</f>
        <v>1</v>
      </c>
      <c r="F460" s="18" t="s">
        <v>65</v>
      </c>
      <c r="G460" s="82">
        <f>G464</f>
        <v>1832.48</v>
      </c>
      <c r="H460" s="32">
        <f>H464</f>
        <v>1832.48</v>
      </c>
    </row>
    <row r="461" spans="1:8" ht="20.100000000000001" customHeight="1" x14ac:dyDescent="0.25">
      <c r="A461" s="59" t="s">
        <v>657</v>
      </c>
      <c r="B461" s="3" t="s">
        <v>17</v>
      </c>
      <c r="C461" s="43" t="s">
        <v>658</v>
      </c>
      <c r="D461" s="43" t="s">
        <v>1309</v>
      </c>
      <c r="E461" s="78">
        <v>1</v>
      </c>
      <c r="F461" s="3" t="s">
        <v>433</v>
      </c>
      <c r="G461" s="78">
        <v>680.49</v>
      </c>
      <c r="H461" s="20">
        <f>ROUND(E461*G461,2)</f>
        <v>680.49</v>
      </c>
    </row>
    <row r="462" spans="1:8" ht="20.100000000000001" customHeight="1" x14ac:dyDescent="0.25">
      <c r="A462" s="59" t="s">
        <v>659</v>
      </c>
      <c r="B462" s="3" t="s">
        <v>17</v>
      </c>
      <c r="C462" s="43" t="s">
        <v>660</v>
      </c>
      <c r="D462" s="43" t="s">
        <v>1198</v>
      </c>
      <c r="E462" s="78">
        <v>15.94</v>
      </c>
      <c r="F462" s="3" t="s">
        <v>18</v>
      </c>
      <c r="G462" s="78">
        <v>49.01</v>
      </c>
      <c r="H462" s="20">
        <f>ROUND(E462*G462,2)</f>
        <v>781.22</v>
      </c>
    </row>
    <row r="463" spans="1:8" ht="20.100000000000001" customHeight="1" x14ac:dyDescent="0.25">
      <c r="A463" s="59" t="s">
        <v>661</v>
      </c>
      <c r="B463" s="3" t="s">
        <v>17</v>
      </c>
      <c r="C463" s="43" t="s">
        <v>412</v>
      </c>
      <c r="D463" s="91" t="s">
        <v>1200</v>
      </c>
      <c r="E463" s="78">
        <v>17.8</v>
      </c>
      <c r="F463" s="3" t="s">
        <v>29</v>
      </c>
      <c r="G463" s="78">
        <v>20.83</v>
      </c>
      <c r="H463" s="20">
        <f>ROUND(E463*G463,2)</f>
        <v>370.77</v>
      </c>
    </row>
    <row r="464" spans="1:8" ht="20.100000000000001" customHeight="1" x14ac:dyDescent="0.25">
      <c r="A464" s="52"/>
      <c r="B464" s="9"/>
      <c r="C464" s="44" t="s">
        <v>1310</v>
      </c>
      <c r="D464" s="44" t="s">
        <v>1310</v>
      </c>
      <c r="E464" s="78">
        <v>1</v>
      </c>
      <c r="F464" s="9"/>
      <c r="G464" s="79">
        <f>SUM(H461:H463)</f>
        <v>1832.48</v>
      </c>
      <c r="H464" s="29">
        <f>ROUND(E464*G464,2)</f>
        <v>1832.48</v>
      </c>
    </row>
    <row r="465" spans="1:8" ht="20.100000000000001" customHeight="1" x14ac:dyDescent="0.25">
      <c r="A465" s="60"/>
      <c r="B465" s="12"/>
      <c r="C465" s="45"/>
      <c r="D465" s="45"/>
      <c r="E465" s="34"/>
      <c r="F465" s="12"/>
      <c r="G465" s="34"/>
      <c r="H465" s="30"/>
    </row>
    <row r="466" spans="1:8" ht="20.100000000000001" customHeight="1" x14ac:dyDescent="0.25">
      <c r="A466" s="63"/>
      <c r="B466" s="18" t="s">
        <v>9</v>
      </c>
      <c r="C466" s="48" t="s">
        <v>413</v>
      </c>
      <c r="D466" s="48" t="s">
        <v>1197</v>
      </c>
      <c r="E466" s="82">
        <f>E474</f>
        <v>1</v>
      </c>
      <c r="F466" s="18" t="s">
        <v>65</v>
      </c>
      <c r="G466" s="82">
        <f>G474</f>
        <v>32403.39</v>
      </c>
      <c r="H466" s="32">
        <f>H474</f>
        <v>32403.39</v>
      </c>
    </row>
    <row r="467" spans="1:8" ht="20.100000000000001" customHeight="1" x14ac:dyDescent="0.25">
      <c r="A467" s="59" t="s">
        <v>662</v>
      </c>
      <c r="B467" s="3" t="s">
        <v>17</v>
      </c>
      <c r="C467" s="43" t="s">
        <v>663</v>
      </c>
      <c r="D467" s="43" t="s">
        <v>1202</v>
      </c>
      <c r="E467" s="78">
        <v>243.78</v>
      </c>
      <c r="F467" s="3" t="s">
        <v>35</v>
      </c>
      <c r="G467" s="78">
        <v>46.87</v>
      </c>
      <c r="H467" s="20">
        <f t="shared" ref="H467:H474" si="17">ROUND(E467*G467,2)</f>
        <v>11425.97</v>
      </c>
    </row>
    <row r="468" spans="1:8" ht="20.100000000000001" customHeight="1" x14ac:dyDescent="0.25">
      <c r="A468" s="59" t="s">
        <v>664</v>
      </c>
      <c r="B468" s="3" t="s">
        <v>17</v>
      </c>
      <c r="C468" s="43" t="s">
        <v>665</v>
      </c>
      <c r="D468" s="43" t="s">
        <v>1311</v>
      </c>
      <c r="E468" s="78">
        <v>138.75</v>
      </c>
      <c r="F468" s="3" t="s">
        <v>35</v>
      </c>
      <c r="G468" s="78">
        <v>65</v>
      </c>
      <c r="H468" s="20">
        <f t="shared" si="17"/>
        <v>9018.75</v>
      </c>
    </row>
    <row r="469" spans="1:8" ht="20.100000000000001" customHeight="1" x14ac:dyDescent="0.25">
      <c r="A469" s="59" t="s">
        <v>666</v>
      </c>
      <c r="B469" s="3" t="s">
        <v>17</v>
      </c>
      <c r="C469" s="43" t="s">
        <v>667</v>
      </c>
      <c r="D469" s="43" t="s">
        <v>1205</v>
      </c>
      <c r="E469" s="78">
        <v>18.86</v>
      </c>
      <c r="F469" s="3" t="s">
        <v>35</v>
      </c>
      <c r="G469" s="78">
        <v>35.74</v>
      </c>
      <c r="H469" s="20">
        <f t="shared" si="17"/>
        <v>674.06</v>
      </c>
    </row>
    <row r="470" spans="1:8" ht="20.100000000000001" customHeight="1" x14ac:dyDescent="0.25">
      <c r="A470" s="59" t="s">
        <v>668</v>
      </c>
      <c r="B470" s="3" t="s">
        <v>17</v>
      </c>
      <c r="C470" s="43" t="s">
        <v>669</v>
      </c>
      <c r="D470" s="43" t="s">
        <v>1206</v>
      </c>
      <c r="E470" s="78">
        <v>40.31</v>
      </c>
      <c r="F470" s="3" t="s">
        <v>18</v>
      </c>
      <c r="G470" s="78">
        <v>37.72</v>
      </c>
      <c r="H470" s="20">
        <f t="shared" si="17"/>
        <v>1520.49</v>
      </c>
    </row>
    <row r="471" spans="1:8" ht="20.100000000000001" customHeight="1" x14ac:dyDescent="0.25">
      <c r="A471" s="59" t="s">
        <v>670</v>
      </c>
      <c r="B471" s="3" t="s">
        <v>17</v>
      </c>
      <c r="C471" s="43" t="s">
        <v>425</v>
      </c>
      <c r="D471" s="43" t="s">
        <v>1207</v>
      </c>
      <c r="E471" s="78">
        <v>61.32</v>
      </c>
      <c r="F471" s="3" t="s">
        <v>18</v>
      </c>
      <c r="G471" s="78">
        <v>52.23</v>
      </c>
      <c r="H471" s="20">
        <f t="shared" si="17"/>
        <v>3202.74</v>
      </c>
    </row>
    <row r="472" spans="1:8" ht="20.100000000000001" customHeight="1" x14ac:dyDescent="0.25">
      <c r="A472" s="59" t="s">
        <v>671</v>
      </c>
      <c r="B472" s="3" t="s">
        <v>17</v>
      </c>
      <c r="C472" s="43" t="s">
        <v>427</v>
      </c>
      <c r="D472" s="43" t="s">
        <v>1208</v>
      </c>
      <c r="E472" s="78">
        <v>111.59</v>
      </c>
      <c r="F472" s="3" t="s">
        <v>18</v>
      </c>
      <c r="G472" s="78">
        <v>52.23</v>
      </c>
      <c r="H472" s="20">
        <f t="shared" si="17"/>
        <v>5828.35</v>
      </c>
    </row>
    <row r="473" spans="1:8" ht="20.100000000000001" customHeight="1" x14ac:dyDescent="0.25">
      <c r="A473" s="59" t="s">
        <v>672</v>
      </c>
      <c r="B473" s="3" t="s">
        <v>17</v>
      </c>
      <c r="C473" s="43" t="s">
        <v>421</v>
      </c>
      <c r="D473" s="43" t="s">
        <v>1203</v>
      </c>
      <c r="E473" s="78">
        <v>21.7</v>
      </c>
      <c r="F473" s="3" t="s">
        <v>29</v>
      </c>
      <c r="G473" s="78">
        <v>33.78</v>
      </c>
      <c r="H473" s="20">
        <f t="shared" si="17"/>
        <v>733.03</v>
      </c>
    </row>
    <row r="474" spans="1:8" ht="20.100000000000001" customHeight="1" x14ac:dyDescent="0.25">
      <c r="A474" s="52"/>
      <c r="B474" s="9"/>
      <c r="C474" s="44" t="s">
        <v>1312</v>
      </c>
      <c r="D474" s="44" t="s">
        <v>1312</v>
      </c>
      <c r="E474" s="78">
        <v>1</v>
      </c>
      <c r="F474" s="9"/>
      <c r="G474" s="79">
        <f>SUM(H467:H473)</f>
        <v>32403.39</v>
      </c>
      <c r="H474" s="29">
        <f t="shared" si="17"/>
        <v>32403.39</v>
      </c>
    </row>
    <row r="475" spans="1:8" ht="20.100000000000001" customHeight="1" x14ac:dyDescent="0.25">
      <c r="A475" s="60"/>
      <c r="B475" s="12"/>
      <c r="C475" s="45"/>
      <c r="D475" s="45"/>
      <c r="E475" s="34"/>
      <c r="F475" s="12"/>
      <c r="G475" s="34"/>
      <c r="H475" s="30"/>
    </row>
    <row r="476" spans="1:8" ht="20.100000000000001" customHeight="1" x14ac:dyDescent="0.25">
      <c r="A476" s="52"/>
      <c r="B476" s="9"/>
      <c r="C476" s="44" t="s">
        <v>673</v>
      </c>
      <c r="D476" s="44"/>
      <c r="E476" s="78">
        <v>1</v>
      </c>
      <c r="F476" s="9"/>
      <c r="G476" s="79">
        <f>H460+H466</f>
        <v>34235.870000000003</v>
      </c>
      <c r="H476" s="29">
        <f>ROUND(E476*G476,2)</f>
        <v>34235.870000000003</v>
      </c>
    </row>
    <row r="477" spans="1:8" ht="20.100000000000001" customHeight="1" x14ac:dyDescent="0.25">
      <c r="A477" s="60"/>
      <c r="B477" s="12"/>
      <c r="C477" s="45"/>
      <c r="D477" s="45"/>
      <c r="E477" s="34"/>
      <c r="F477" s="12"/>
      <c r="G477" s="34"/>
      <c r="H477" s="30"/>
    </row>
    <row r="478" spans="1:8" ht="20.100000000000001" customHeight="1" x14ac:dyDescent="0.25">
      <c r="A478" s="62" t="s">
        <v>674</v>
      </c>
      <c r="B478" s="7" t="s">
        <v>9</v>
      </c>
      <c r="C478" s="47" t="s">
        <v>430</v>
      </c>
      <c r="D478" s="47" t="s">
        <v>1211</v>
      </c>
      <c r="E478" s="81">
        <f>E493</f>
        <v>1</v>
      </c>
      <c r="F478" s="7" t="s">
        <v>10</v>
      </c>
      <c r="G478" s="81">
        <f>G493</f>
        <v>59219.05</v>
      </c>
      <c r="H478" s="21">
        <f>H493</f>
        <v>59219.05</v>
      </c>
    </row>
    <row r="479" spans="1:8" ht="20.100000000000001" customHeight="1" x14ac:dyDescent="0.25">
      <c r="A479" s="63"/>
      <c r="B479" s="18" t="s">
        <v>9</v>
      </c>
      <c r="C479" s="48" t="s">
        <v>431</v>
      </c>
      <c r="D479" s="48" t="s">
        <v>1212</v>
      </c>
      <c r="E479" s="82">
        <f>E487</f>
        <v>1</v>
      </c>
      <c r="F479" s="18" t="s">
        <v>65</v>
      </c>
      <c r="G479" s="82">
        <f>G487</f>
        <v>49602.36</v>
      </c>
      <c r="H479" s="32">
        <f>H487</f>
        <v>49602.36</v>
      </c>
    </row>
    <row r="480" spans="1:8" ht="20.100000000000001" customHeight="1" x14ac:dyDescent="0.25">
      <c r="A480" s="59" t="s">
        <v>675</v>
      </c>
      <c r="B480" s="3" t="s">
        <v>17</v>
      </c>
      <c r="C480" s="43" t="s">
        <v>676</v>
      </c>
      <c r="D480" s="43" t="s">
        <v>1313</v>
      </c>
      <c r="E480" s="78">
        <v>1</v>
      </c>
      <c r="F480" s="3" t="s">
        <v>433</v>
      </c>
      <c r="G480" s="78">
        <v>14955.15</v>
      </c>
      <c r="H480" s="20">
        <f t="shared" ref="H480:H487" si="18">ROUND(E480*G480,2)</f>
        <v>14955.15</v>
      </c>
    </row>
    <row r="481" spans="1:8" ht="20.100000000000001" customHeight="1" x14ac:dyDescent="0.25">
      <c r="A481" s="59" t="s">
        <v>677</v>
      </c>
      <c r="B481" s="3" t="s">
        <v>17</v>
      </c>
      <c r="C481" s="43" t="s">
        <v>493</v>
      </c>
      <c r="D481" s="43" t="s">
        <v>493</v>
      </c>
      <c r="E481" s="78">
        <v>1</v>
      </c>
      <c r="F481" s="3" t="s">
        <v>433</v>
      </c>
      <c r="G481" s="78">
        <v>18288.53</v>
      </c>
      <c r="H481" s="20">
        <f t="shared" si="18"/>
        <v>18288.53</v>
      </c>
    </row>
    <row r="482" spans="1:8" ht="20.100000000000001" customHeight="1" x14ac:dyDescent="0.25">
      <c r="A482" s="59" t="s">
        <v>678</v>
      </c>
      <c r="B482" s="3" t="s">
        <v>17</v>
      </c>
      <c r="C482" s="43" t="s">
        <v>548</v>
      </c>
      <c r="D482" s="43" t="s">
        <v>1314</v>
      </c>
      <c r="E482" s="78">
        <v>1</v>
      </c>
      <c r="F482" s="3" t="s">
        <v>433</v>
      </c>
      <c r="G482" s="78">
        <v>3465.57</v>
      </c>
      <c r="H482" s="20">
        <f t="shared" si="18"/>
        <v>3465.57</v>
      </c>
    </row>
    <row r="483" spans="1:8" ht="20.100000000000001" customHeight="1" x14ac:dyDescent="0.25">
      <c r="A483" s="59" t="s">
        <v>679</v>
      </c>
      <c r="B483" s="3" t="s">
        <v>17</v>
      </c>
      <c r="C483" s="43" t="s">
        <v>680</v>
      </c>
      <c r="D483" s="43" t="s">
        <v>680</v>
      </c>
      <c r="E483" s="78">
        <v>1</v>
      </c>
      <c r="F483" s="3" t="s">
        <v>433</v>
      </c>
      <c r="G483" s="78">
        <v>2774.19</v>
      </c>
      <c r="H483" s="20">
        <f t="shared" si="18"/>
        <v>2774.19</v>
      </c>
    </row>
    <row r="484" spans="1:8" ht="20.100000000000001" customHeight="1" x14ac:dyDescent="0.25">
      <c r="A484" s="59" t="s">
        <v>681</v>
      </c>
      <c r="B484" s="3" t="s">
        <v>17</v>
      </c>
      <c r="C484" s="43" t="s">
        <v>682</v>
      </c>
      <c r="D484" s="43" t="s">
        <v>682</v>
      </c>
      <c r="E484" s="78">
        <v>1</v>
      </c>
      <c r="F484" s="3" t="s">
        <v>433</v>
      </c>
      <c r="G484" s="78">
        <v>3478.41</v>
      </c>
      <c r="H484" s="20">
        <f t="shared" si="18"/>
        <v>3478.41</v>
      </c>
    </row>
    <row r="485" spans="1:8" ht="20.100000000000001" customHeight="1" x14ac:dyDescent="0.25">
      <c r="A485" s="59" t="s">
        <v>683</v>
      </c>
      <c r="B485" s="3" t="s">
        <v>17</v>
      </c>
      <c r="C485" s="43" t="s">
        <v>684</v>
      </c>
      <c r="D485" s="43" t="s">
        <v>684</v>
      </c>
      <c r="E485" s="78">
        <v>1</v>
      </c>
      <c r="F485" s="3" t="s">
        <v>433</v>
      </c>
      <c r="G485" s="78">
        <v>3478.41</v>
      </c>
      <c r="H485" s="20">
        <f t="shared" si="18"/>
        <v>3478.41</v>
      </c>
    </row>
    <row r="486" spans="1:8" ht="20.100000000000001" customHeight="1" x14ac:dyDescent="0.25">
      <c r="A486" s="59" t="s">
        <v>685</v>
      </c>
      <c r="B486" s="3" t="s">
        <v>17</v>
      </c>
      <c r="C486" s="43" t="s">
        <v>686</v>
      </c>
      <c r="D486" s="43" t="s">
        <v>686</v>
      </c>
      <c r="E486" s="78">
        <v>1</v>
      </c>
      <c r="F486" s="3" t="s">
        <v>433</v>
      </c>
      <c r="G486" s="78">
        <v>3162.1</v>
      </c>
      <c r="H486" s="20">
        <f t="shared" si="18"/>
        <v>3162.1</v>
      </c>
    </row>
    <row r="487" spans="1:8" ht="20.100000000000001" customHeight="1" x14ac:dyDescent="0.25">
      <c r="A487" s="52"/>
      <c r="B487" s="9"/>
      <c r="C487" s="44" t="s">
        <v>1315</v>
      </c>
      <c r="D487" s="44" t="s">
        <v>1315</v>
      </c>
      <c r="E487" s="78">
        <v>1</v>
      </c>
      <c r="F487" s="9"/>
      <c r="G487" s="79">
        <f>SUM(H480:H486)</f>
        <v>49602.36</v>
      </c>
      <c r="H487" s="29">
        <f t="shared" si="18"/>
        <v>49602.36</v>
      </c>
    </row>
    <row r="488" spans="1:8" ht="20.100000000000001" customHeight="1" x14ac:dyDescent="0.25">
      <c r="A488" s="60"/>
      <c r="B488" s="12"/>
      <c r="C488" s="45"/>
      <c r="D488" s="45"/>
      <c r="E488" s="34"/>
      <c r="F488" s="12"/>
      <c r="G488" s="34"/>
      <c r="H488" s="30"/>
    </row>
    <row r="489" spans="1:8" ht="20.100000000000001" customHeight="1" x14ac:dyDescent="0.25">
      <c r="A489" s="63"/>
      <c r="B489" s="18" t="s">
        <v>9</v>
      </c>
      <c r="C489" s="48" t="s">
        <v>687</v>
      </c>
      <c r="D489" s="48" t="s">
        <v>1215</v>
      </c>
      <c r="E489" s="82">
        <f>E491</f>
        <v>1</v>
      </c>
      <c r="F489" s="18" t="s">
        <v>65</v>
      </c>
      <c r="G489" s="82">
        <f>G491</f>
        <v>9616.69</v>
      </c>
      <c r="H489" s="32">
        <f>H491</f>
        <v>9616.69</v>
      </c>
    </row>
    <row r="490" spans="1:8" ht="20.100000000000001" customHeight="1" x14ac:dyDescent="0.25">
      <c r="A490" s="59" t="s">
        <v>688</v>
      </c>
      <c r="B490" s="3" t="s">
        <v>17</v>
      </c>
      <c r="C490" s="43" t="s">
        <v>689</v>
      </c>
      <c r="D490" s="43" t="s">
        <v>1317</v>
      </c>
      <c r="E490" s="78">
        <v>54.43</v>
      </c>
      <c r="F490" s="3" t="s">
        <v>35</v>
      </c>
      <c r="G490" s="78">
        <v>176.68</v>
      </c>
      <c r="H490" s="20">
        <f>ROUND(E490*G490,2)</f>
        <v>9616.69</v>
      </c>
    </row>
    <row r="491" spans="1:8" ht="20.100000000000001" customHeight="1" x14ac:dyDescent="0.25">
      <c r="A491" s="52"/>
      <c r="B491" s="9"/>
      <c r="C491" s="44" t="s">
        <v>1316</v>
      </c>
      <c r="D491" s="44" t="s">
        <v>1316</v>
      </c>
      <c r="E491" s="78">
        <v>1</v>
      </c>
      <c r="F491" s="9"/>
      <c r="G491" s="79">
        <f>H490</f>
        <v>9616.69</v>
      </c>
      <c r="H491" s="29">
        <f>ROUND(E491*G491,2)</f>
        <v>9616.69</v>
      </c>
    </row>
    <row r="492" spans="1:8" ht="20.100000000000001" customHeight="1" x14ac:dyDescent="0.25">
      <c r="A492" s="60"/>
      <c r="B492" s="12"/>
      <c r="C492" s="45"/>
      <c r="D492" s="45"/>
      <c r="E492" s="34"/>
      <c r="F492" s="12"/>
      <c r="G492" s="34"/>
      <c r="H492" s="30"/>
    </row>
    <row r="493" spans="1:8" ht="20.100000000000001" customHeight="1" x14ac:dyDescent="0.25">
      <c r="A493" s="52"/>
      <c r="B493" s="9"/>
      <c r="C493" s="44" t="s">
        <v>690</v>
      </c>
      <c r="D493" s="44" t="s">
        <v>690</v>
      </c>
      <c r="E493" s="78">
        <v>1</v>
      </c>
      <c r="F493" s="9"/>
      <c r="G493" s="79">
        <f>H479+H489</f>
        <v>59219.05</v>
      </c>
      <c r="H493" s="29">
        <f>ROUND(E493*G493,2)</f>
        <v>59219.05</v>
      </c>
    </row>
    <row r="494" spans="1:8" ht="20.100000000000001" customHeight="1" x14ac:dyDescent="0.25">
      <c r="A494" s="60"/>
      <c r="B494" s="12"/>
      <c r="C494" s="45"/>
      <c r="D494" s="45"/>
      <c r="E494" s="34"/>
      <c r="F494" s="12"/>
      <c r="G494" s="34"/>
      <c r="H494" s="30"/>
    </row>
    <row r="495" spans="1:8" ht="20.100000000000001" customHeight="1" x14ac:dyDescent="0.25">
      <c r="A495" s="62" t="s">
        <v>691</v>
      </c>
      <c r="B495" s="7" t="s">
        <v>9</v>
      </c>
      <c r="C495" s="47" t="s">
        <v>692</v>
      </c>
      <c r="D495" s="47" t="s">
        <v>1217</v>
      </c>
      <c r="E495" s="81">
        <f>E512</f>
        <v>1</v>
      </c>
      <c r="F495" s="7" t="s">
        <v>10</v>
      </c>
      <c r="G495" s="81">
        <f>G512</f>
        <v>102221.98</v>
      </c>
      <c r="H495" s="21">
        <f>H512</f>
        <v>102221.98</v>
      </c>
    </row>
    <row r="496" spans="1:8" ht="20.100000000000001" customHeight="1" x14ac:dyDescent="0.25">
      <c r="A496" s="63"/>
      <c r="B496" s="18" t="s">
        <v>9</v>
      </c>
      <c r="C496" s="48" t="s">
        <v>408</v>
      </c>
      <c r="D496" s="48" t="s">
        <v>1196</v>
      </c>
      <c r="E496" s="82">
        <f>E503</f>
        <v>1</v>
      </c>
      <c r="F496" s="18" t="s">
        <v>65</v>
      </c>
      <c r="G496" s="82">
        <f>G503</f>
        <v>56885.51</v>
      </c>
      <c r="H496" s="32">
        <f>H503</f>
        <v>56885.51</v>
      </c>
    </row>
    <row r="497" spans="1:8" ht="20.100000000000001" customHeight="1" x14ac:dyDescent="0.25">
      <c r="A497" s="59" t="s">
        <v>693</v>
      </c>
      <c r="B497" s="3" t="s">
        <v>17</v>
      </c>
      <c r="C497" s="43" t="s">
        <v>449</v>
      </c>
      <c r="D497" s="91" t="s">
        <v>1220</v>
      </c>
      <c r="E497" s="78">
        <v>982.58</v>
      </c>
      <c r="F497" s="3" t="s">
        <v>35</v>
      </c>
      <c r="G497" s="78">
        <v>26.55</v>
      </c>
      <c r="H497" s="20">
        <f t="shared" ref="H497:H503" si="19">ROUND(E497*G497,2)</f>
        <v>26087.5</v>
      </c>
    </row>
    <row r="498" spans="1:8" ht="20.100000000000001" customHeight="1" x14ac:dyDescent="0.25">
      <c r="A498" s="59" t="s">
        <v>694</v>
      </c>
      <c r="B498" s="3" t="s">
        <v>17</v>
      </c>
      <c r="C498" s="43" t="s">
        <v>451</v>
      </c>
      <c r="D498" s="91" t="s">
        <v>1219</v>
      </c>
      <c r="E498" s="78">
        <v>278.04000000000002</v>
      </c>
      <c r="F498" s="3" t="s">
        <v>35</v>
      </c>
      <c r="G498" s="78">
        <v>26.55</v>
      </c>
      <c r="H498" s="20">
        <f t="shared" si="19"/>
        <v>7381.96</v>
      </c>
    </row>
    <row r="499" spans="1:8" ht="20.100000000000001" customHeight="1" x14ac:dyDescent="0.25">
      <c r="A499" s="59" t="s">
        <v>695</v>
      </c>
      <c r="B499" s="3" t="s">
        <v>17</v>
      </c>
      <c r="C499" s="43" t="s">
        <v>453</v>
      </c>
      <c r="D499" s="43" t="s">
        <v>1218</v>
      </c>
      <c r="E499" s="78">
        <v>401.94</v>
      </c>
      <c r="F499" s="3" t="s">
        <v>277</v>
      </c>
      <c r="G499" s="78">
        <v>11.15</v>
      </c>
      <c r="H499" s="20">
        <f t="shared" si="19"/>
        <v>4481.63</v>
      </c>
    </row>
    <row r="500" spans="1:8" ht="20.100000000000001" customHeight="1" x14ac:dyDescent="0.25">
      <c r="A500" s="59" t="s">
        <v>696</v>
      </c>
      <c r="B500" s="3" t="s">
        <v>17</v>
      </c>
      <c r="C500" s="43" t="s">
        <v>455</v>
      </c>
      <c r="D500" s="43" t="s">
        <v>1223</v>
      </c>
      <c r="E500" s="78">
        <v>773.17</v>
      </c>
      <c r="F500" s="3" t="s">
        <v>277</v>
      </c>
      <c r="G500" s="78">
        <v>8.19</v>
      </c>
      <c r="H500" s="20">
        <f t="shared" si="19"/>
        <v>6332.26</v>
      </c>
    </row>
    <row r="501" spans="1:8" ht="20.100000000000001" customHeight="1" x14ac:dyDescent="0.25">
      <c r="A501" s="59" t="s">
        <v>697</v>
      </c>
      <c r="B501" s="3" t="s">
        <v>17</v>
      </c>
      <c r="C501" s="43" t="s">
        <v>457</v>
      </c>
      <c r="D501" s="43" t="s">
        <v>1221</v>
      </c>
      <c r="E501" s="78">
        <v>10</v>
      </c>
      <c r="F501" s="3" t="s">
        <v>10</v>
      </c>
      <c r="G501" s="78">
        <v>1069.8800000000001</v>
      </c>
      <c r="H501" s="20">
        <f t="shared" si="19"/>
        <v>10698.8</v>
      </c>
    </row>
    <row r="502" spans="1:8" ht="20.100000000000001" customHeight="1" x14ac:dyDescent="0.25">
      <c r="A502" s="59" t="s">
        <v>698</v>
      </c>
      <c r="B502" s="3" t="s">
        <v>17</v>
      </c>
      <c r="C502" s="43" t="s">
        <v>459</v>
      </c>
      <c r="D502" s="43" t="s">
        <v>1222</v>
      </c>
      <c r="E502" s="78">
        <v>191.1</v>
      </c>
      <c r="F502" s="3" t="s">
        <v>277</v>
      </c>
      <c r="G502" s="78">
        <v>9.9600000000000009</v>
      </c>
      <c r="H502" s="20">
        <f t="shared" si="19"/>
        <v>1903.36</v>
      </c>
    </row>
    <row r="503" spans="1:8" ht="20.100000000000001" customHeight="1" x14ac:dyDescent="0.25">
      <c r="A503" s="52"/>
      <c r="B503" s="9"/>
      <c r="C503" s="44" t="s">
        <v>1318</v>
      </c>
      <c r="D503" s="44" t="s">
        <v>1318</v>
      </c>
      <c r="E503" s="78">
        <v>1</v>
      </c>
      <c r="F503" s="9"/>
      <c r="G503" s="79">
        <f>SUM(H497:H502)</f>
        <v>56885.51</v>
      </c>
      <c r="H503" s="29">
        <f t="shared" si="19"/>
        <v>56885.51</v>
      </c>
    </row>
    <row r="504" spans="1:8" ht="20.100000000000001" customHeight="1" x14ac:dyDescent="0.25">
      <c r="A504" s="60"/>
      <c r="B504" s="12"/>
      <c r="C504" s="45"/>
      <c r="D504" s="45"/>
      <c r="E504" s="34"/>
      <c r="F504" s="12"/>
      <c r="G504" s="34"/>
      <c r="H504" s="30"/>
    </row>
    <row r="505" spans="1:8" ht="20.100000000000001" customHeight="1" x14ac:dyDescent="0.25">
      <c r="A505" s="63"/>
      <c r="B505" s="18" t="s">
        <v>9</v>
      </c>
      <c r="C505" s="48" t="s">
        <v>413</v>
      </c>
      <c r="D505" s="48" t="s">
        <v>1197</v>
      </c>
      <c r="E505" s="82">
        <f>E510</f>
        <v>1</v>
      </c>
      <c r="F505" s="18" t="s">
        <v>65</v>
      </c>
      <c r="G505" s="82">
        <f>G510</f>
        <v>45336.47</v>
      </c>
      <c r="H505" s="32">
        <f>H510</f>
        <v>45336.47</v>
      </c>
    </row>
    <row r="506" spans="1:8" ht="20.100000000000001" customHeight="1" x14ac:dyDescent="0.25">
      <c r="A506" s="59" t="s">
        <v>699</v>
      </c>
      <c r="B506" s="3" t="s">
        <v>17</v>
      </c>
      <c r="C506" s="43" t="s">
        <v>462</v>
      </c>
      <c r="D506" s="43" t="s">
        <v>1226</v>
      </c>
      <c r="E506" s="78">
        <v>488.17</v>
      </c>
      <c r="F506" s="3" t="s">
        <v>35</v>
      </c>
      <c r="G506" s="78">
        <v>8.32</v>
      </c>
      <c r="H506" s="20">
        <f>ROUND(E506*G506,2)</f>
        <v>4061.57</v>
      </c>
    </row>
    <row r="507" spans="1:8" ht="20.100000000000001" customHeight="1" x14ac:dyDescent="0.25">
      <c r="A507" s="59" t="s">
        <v>700</v>
      </c>
      <c r="B507" s="3" t="s">
        <v>17</v>
      </c>
      <c r="C507" s="43" t="s">
        <v>1237</v>
      </c>
      <c r="D507" s="43" t="s">
        <v>1236</v>
      </c>
      <c r="E507" s="78">
        <v>534.28</v>
      </c>
      <c r="F507" s="3" t="s">
        <v>35</v>
      </c>
      <c r="G507" s="78">
        <v>52.94</v>
      </c>
      <c r="H507" s="20">
        <f>ROUND(E507*G507,2)</f>
        <v>28284.78</v>
      </c>
    </row>
    <row r="508" spans="1:8" ht="20.100000000000001" customHeight="1" x14ac:dyDescent="0.25">
      <c r="A508" s="59" t="s">
        <v>701</v>
      </c>
      <c r="B508" s="3" t="s">
        <v>17</v>
      </c>
      <c r="C508" s="43" t="s">
        <v>466</v>
      </c>
      <c r="D508" s="91" t="s">
        <v>1228</v>
      </c>
      <c r="E508" s="78">
        <v>76.59</v>
      </c>
      <c r="F508" s="3" t="s">
        <v>277</v>
      </c>
      <c r="G508" s="78">
        <v>19.510000000000002</v>
      </c>
      <c r="H508" s="20">
        <f>ROUND(E508*G508,2)</f>
        <v>1494.27</v>
      </c>
    </row>
    <row r="509" spans="1:8" ht="20.100000000000001" customHeight="1" x14ac:dyDescent="0.25">
      <c r="A509" s="59" t="s">
        <v>702</v>
      </c>
      <c r="B509" s="3" t="s">
        <v>17</v>
      </c>
      <c r="C509" s="43" t="s">
        <v>469</v>
      </c>
      <c r="D509" s="43" t="s">
        <v>1227</v>
      </c>
      <c r="E509" s="78">
        <v>505.09</v>
      </c>
      <c r="F509" s="3" t="s">
        <v>468</v>
      </c>
      <c r="G509" s="78">
        <v>22.76</v>
      </c>
      <c r="H509" s="20">
        <f>ROUND(E509*G509,2)</f>
        <v>11495.85</v>
      </c>
    </row>
    <row r="510" spans="1:8" ht="20.100000000000001" customHeight="1" x14ac:dyDescent="0.25">
      <c r="A510" s="52"/>
      <c r="B510" s="9"/>
      <c r="C510" s="44" t="s">
        <v>1319</v>
      </c>
      <c r="D510" s="44" t="s">
        <v>1319</v>
      </c>
      <c r="E510" s="78">
        <v>1</v>
      </c>
      <c r="F510" s="9"/>
      <c r="G510" s="79">
        <f>SUM(H506:H509)</f>
        <v>45336.47</v>
      </c>
      <c r="H510" s="29">
        <f>ROUND(E510*G510,2)</f>
        <v>45336.47</v>
      </c>
    </row>
    <row r="511" spans="1:8" ht="20.100000000000001" customHeight="1" x14ac:dyDescent="0.25">
      <c r="A511" s="60"/>
      <c r="B511" s="12"/>
      <c r="C511" s="45"/>
      <c r="D511" s="45"/>
      <c r="E511" s="34"/>
      <c r="F511" s="12"/>
      <c r="G511" s="34"/>
      <c r="H511" s="30"/>
    </row>
    <row r="512" spans="1:8" ht="20.100000000000001" customHeight="1" x14ac:dyDescent="0.25">
      <c r="A512" s="52"/>
      <c r="B512" s="9"/>
      <c r="C512" s="44" t="s">
        <v>703</v>
      </c>
      <c r="D512" s="44" t="s">
        <v>703</v>
      </c>
      <c r="E512" s="78">
        <v>1</v>
      </c>
      <c r="F512" s="9"/>
      <c r="G512" s="79">
        <f>H496+H505</f>
        <v>102221.98</v>
      </c>
      <c r="H512" s="29">
        <f>ROUND(E512*G512,2)</f>
        <v>102221.98</v>
      </c>
    </row>
    <row r="513" spans="1:8" ht="20.100000000000001" customHeight="1" x14ac:dyDescent="0.25">
      <c r="A513" s="60"/>
      <c r="B513" s="12"/>
      <c r="C513" s="45"/>
      <c r="D513" s="45"/>
      <c r="E513" s="34"/>
      <c r="F513" s="12"/>
      <c r="G513" s="34"/>
      <c r="H513" s="30"/>
    </row>
    <row r="514" spans="1:8" ht="20.100000000000001" customHeight="1" x14ac:dyDescent="0.25">
      <c r="A514" s="62" t="s">
        <v>704</v>
      </c>
      <c r="B514" s="7" t="s">
        <v>9</v>
      </c>
      <c r="C514" s="47" t="s">
        <v>472</v>
      </c>
      <c r="D514" s="47" t="s">
        <v>1229</v>
      </c>
      <c r="E514" s="81">
        <f>E540</f>
        <v>1</v>
      </c>
      <c r="F514" s="7" t="s">
        <v>10</v>
      </c>
      <c r="G514" s="81">
        <f>G540</f>
        <v>35659.72</v>
      </c>
      <c r="H514" s="21">
        <f>H540</f>
        <v>35659.72</v>
      </c>
    </row>
    <row r="515" spans="1:8" ht="20.100000000000001" customHeight="1" x14ac:dyDescent="0.25">
      <c r="A515" s="63"/>
      <c r="B515" s="18" t="s">
        <v>9</v>
      </c>
      <c r="C515" s="48" t="s">
        <v>705</v>
      </c>
      <c r="D515" s="48" t="s">
        <v>1230</v>
      </c>
      <c r="E515" s="82">
        <f>E528</f>
        <v>1</v>
      </c>
      <c r="F515" s="18" t="s">
        <v>65</v>
      </c>
      <c r="G515" s="82">
        <f>G528</f>
        <v>26938.87</v>
      </c>
      <c r="H515" s="32">
        <f>H528</f>
        <v>26938.87</v>
      </c>
    </row>
    <row r="516" spans="1:8" ht="20.100000000000001" customHeight="1" x14ac:dyDescent="0.25">
      <c r="A516" s="59" t="s">
        <v>706</v>
      </c>
      <c r="B516" s="3" t="s">
        <v>17</v>
      </c>
      <c r="C516" s="43" t="s">
        <v>686</v>
      </c>
      <c r="D516" s="43" t="s">
        <v>686</v>
      </c>
      <c r="E516" s="78">
        <v>27.83</v>
      </c>
      <c r="F516" s="3" t="s">
        <v>35</v>
      </c>
      <c r="G516" s="78">
        <v>75.62</v>
      </c>
      <c r="H516" s="20">
        <f t="shared" ref="H516:H528" si="20">ROUND(E516*G516,2)</f>
        <v>2104.5</v>
      </c>
    </row>
    <row r="517" spans="1:8" ht="20.100000000000001" customHeight="1" x14ac:dyDescent="0.25">
      <c r="A517" s="59" t="s">
        <v>707</v>
      </c>
      <c r="B517" s="3" t="s">
        <v>17</v>
      </c>
      <c r="C517" s="43" t="s">
        <v>708</v>
      </c>
      <c r="D517" s="43" t="s">
        <v>708</v>
      </c>
      <c r="E517" s="78">
        <v>7.66</v>
      </c>
      <c r="F517" s="3" t="s">
        <v>35</v>
      </c>
      <c r="G517" s="78">
        <v>75.62</v>
      </c>
      <c r="H517" s="20">
        <f t="shared" si="20"/>
        <v>579.25</v>
      </c>
    </row>
    <row r="518" spans="1:8" ht="20.100000000000001" customHeight="1" x14ac:dyDescent="0.25">
      <c r="A518" s="59" t="s">
        <v>709</v>
      </c>
      <c r="B518" s="3" t="s">
        <v>17</v>
      </c>
      <c r="C518" s="43" t="s">
        <v>710</v>
      </c>
      <c r="D518" s="43" t="s">
        <v>710</v>
      </c>
      <c r="E518" s="78">
        <v>15.64</v>
      </c>
      <c r="F518" s="3" t="s">
        <v>35</v>
      </c>
      <c r="G518" s="78">
        <v>75.62</v>
      </c>
      <c r="H518" s="20">
        <f t="shared" si="20"/>
        <v>1182.7</v>
      </c>
    </row>
    <row r="519" spans="1:8" ht="20.100000000000001" customHeight="1" x14ac:dyDescent="0.25">
      <c r="A519" s="59" t="s">
        <v>711</v>
      </c>
      <c r="B519" s="3" t="s">
        <v>17</v>
      </c>
      <c r="C519" s="43" t="s">
        <v>712</v>
      </c>
      <c r="D519" s="43" t="s">
        <v>712</v>
      </c>
      <c r="E519" s="78">
        <v>34.36</v>
      </c>
      <c r="F519" s="3" t="s">
        <v>35</v>
      </c>
      <c r="G519" s="78">
        <v>75.62</v>
      </c>
      <c r="H519" s="20">
        <f t="shared" si="20"/>
        <v>2598.3000000000002</v>
      </c>
    </row>
    <row r="520" spans="1:8" ht="20.100000000000001" customHeight="1" x14ac:dyDescent="0.25">
      <c r="A520" s="59" t="s">
        <v>713</v>
      </c>
      <c r="B520" s="3" t="s">
        <v>17</v>
      </c>
      <c r="C520" s="43" t="s">
        <v>714</v>
      </c>
      <c r="D520" s="43" t="s">
        <v>714</v>
      </c>
      <c r="E520" s="78">
        <v>9.9499999999999993</v>
      </c>
      <c r="F520" s="3" t="s">
        <v>35</v>
      </c>
      <c r="G520" s="78">
        <v>75.62</v>
      </c>
      <c r="H520" s="20">
        <f t="shared" si="20"/>
        <v>752.42</v>
      </c>
    </row>
    <row r="521" spans="1:8" ht="20.100000000000001" customHeight="1" x14ac:dyDescent="0.25">
      <c r="A521" s="59" t="s">
        <v>715</v>
      </c>
      <c r="B521" s="3" t="s">
        <v>17</v>
      </c>
      <c r="C521" s="43" t="s">
        <v>689</v>
      </c>
      <c r="D521" s="43" t="s">
        <v>1317</v>
      </c>
      <c r="E521" s="78">
        <v>63.32</v>
      </c>
      <c r="F521" s="3" t="s">
        <v>35</v>
      </c>
      <c r="G521" s="78">
        <v>75.62</v>
      </c>
      <c r="H521" s="20">
        <f t="shared" si="20"/>
        <v>4788.26</v>
      </c>
    </row>
    <row r="522" spans="1:8" ht="20.100000000000001" customHeight="1" x14ac:dyDescent="0.25">
      <c r="A522" s="59" t="s">
        <v>716</v>
      </c>
      <c r="B522" s="3" t="s">
        <v>17</v>
      </c>
      <c r="C522" s="43" t="s">
        <v>717</v>
      </c>
      <c r="D522" s="97" t="s">
        <v>1313</v>
      </c>
      <c r="E522" s="78">
        <v>27.72</v>
      </c>
      <c r="F522" s="3" t="s">
        <v>35</v>
      </c>
      <c r="G522" s="78">
        <v>75.62</v>
      </c>
      <c r="H522" s="20">
        <f t="shared" si="20"/>
        <v>2096.19</v>
      </c>
    </row>
    <row r="523" spans="1:8" ht="20.100000000000001" customHeight="1" x14ac:dyDescent="0.25">
      <c r="A523" s="59" t="s">
        <v>718</v>
      </c>
      <c r="B523" s="3" t="s">
        <v>17</v>
      </c>
      <c r="C523" s="43" t="s">
        <v>680</v>
      </c>
      <c r="D523" s="43" t="s">
        <v>680</v>
      </c>
      <c r="E523" s="78">
        <v>21.18</v>
      </c>
      <c r="F523" s="3" t="s">
        <v>35</v>
      </c>
      <c r="G523" s="78">
        <v>75.62</v>
      </c>
      <c r="H523" s="20">
        <f t="shared" si="20"/>
        <v>1601.63</v>
      </c>
    </row>
    <row r="524" spans="1:8" ht="20.100000000000001" customHeight="1" x14ac:dyDescent="0.25">
      <c r="A524" s="59" t="s">
        <v>719</v>
      </c>
      <c r="B524" s="3" t="s">
        <v>17</v>
      </c>
      <c r="C524" s="43" t="s">
        <v>720</v>
      </c>
      <c r="D524" s="43" t="s">
        <v>720</v>
      </c>
      <c r="E524" s="78">
        <v>5.9</v>
      </c>
      <c r="F524" s="3" t="s">
        <v>35</v>
      </c>
      <c r="G524" s="78">
        <v>75.62</v>
      </c>
      <c r="H524" s="20">
        <f t="shared" si="20"/>
        <v>446.16</v>
      </c>
    </row>
    <row r="525" spans="1:8" ht="20.100000000000001" customHeight="1" x14ac:dyDescent="0.25">
      <c r="A525" s="59" t="s">
        <v>721</v>
      </c>
      <c r="B525" s="3" t="s">
        <v>17</v>
      </c>
      <c r="C525" s="43" t="s">
        <v>684</v>
      </c>
      <c r="D525" s="43" t="s">
        <v>684</v>
      </c>
      <c r="E525" s="78">
        <v>33.68</v>
      </c>
      <c r="F525" s="3" t="s">
        <v>35</v>
      </c>
      <c r="G525" s="78">
        <v>75.62</v>
      </c>
      <c r="H525" s="20">
        <f t="shared" si="20"/>
        <v>2546.88</v>
      </c>
    </row>
    <row r="526" spans="1:8" ht="20.100000000000001" customHeight="1" x14ac:dyDescent="0.25">
      <c r="A526" s="59" t="s">
        <v>722</v>
      </c>
      <c r="B526" s="3" t="s">
        <v>17</v>
      </c>
      <c r="C526" s="43" t="s">
        <v>723</v>
      </c>
      <c r="D526" s="43" t="s">
        <v>723</v>
      </c>
      <c r="E526" s="78">
        <v>6.72</v>
      </c>
      <c r="F526" s="3" t="s">
        <v>35</v>
      </c>
      <c r="G526" s="78">
        <v>75.62</v>
      </c>
      <c r="H526" s="20">
        <f t="shared" si="20"/>
        <v>508.17</v>
      </c>
    </row>
    <row r="527" spans="1:8" ht="20.100000000000001" customHeight="1" x14ac:dyDescent="0.25">
      <c r="A527" s="59" t="s">
        <v>724</v>
      </c>
      <c r="B527" s="3" t="s">
        <v>17</v>
      </c>
      <c r="C527" s="43" t="s">
        <v>493</v>
      </c>
      <c r="D527" s="43" t="s">
        <v>493</v>
      </c>
      <c r="E527" s="78">
        <v>102.28</v>
      </c>
      <c r="F527" s="3" t="s">
        <v>35</v>
      </c>
      <c r="G527" s="78">
        <v>75.62</v>
      </c>
      <c r="H527" s="20">
        <f t="shared" si="20"/>
        <v>7734.41</v>
      </c>
    </row>
    <row r="528" spans="1:8" ht="20.100000000000001" customHeight="1" x14ac:dyDescent="0.25">
      <c r="A528" s="52"/>
      <c r="B528" s="9"/>
      <c r="C528" s="44" t="s">
        <v>1320</v>
      </c>
      <c r="D528" s="44" t="s">
        <v>1320</v>
      </c>
      <c r="E528" s="78">
        <v>1</v>
      </c>
      <c r="F528" s="9"/>
      <c r="G528" s="79">
        <f>SUM(H516:H527)</f>
        <v>26938.87</v>
      </c>
      <c r="H528" s="29">
        <f t="shared" si="20"/>
        <v>26938.87</v>
      </c>
    </row>
    <row r="529" spans="1:8" ht="20.100000000000001" customHeight="1" x14ac:dyDescent="0.25">
      <c r="A529" s="60"/>
      <c r="B529" s="12"/>
      <c r="C529" s="45"/>
      <c r="D529" s="45"/>
      <c r="E529" s="34"/>
      <c r="F529" s="12"/>
      <c r="G529" s="34"/>
      <c r="H529" s="30"/>
    </row>
    <row r="530" spans="1:8" ht="20.100000000000001" customHeight="1" x14ac:dyDescent="0.25">
      <c r="A530" s="63"/>
      <c r="B530" s="18" t="s">
        <v>9</v>
      </c>
      <c r="C530" s="48" t="s">
        <v>526</v>
      </c>
      <c r="D530" s="48" t="s">
        <v>1247</v>
      </c>
      <c r="E530" s="82">
        <f>E533</f>
        <v>1</v>
      </c>
      <c r="F530" s="18" t="s">
        <v>65</v>
      </c>
      <c r="G530" s="82">
        <f>G533</f>
        <v>5858.15</v>
      </c>
      <c r="H530" s="32">
        <f>H533</f>
        <v>5858.15</v>
      </c>
    </row>
    <row r="531" spans="1:8" ht="20.100000000000001" customHeight="1" x14ac:dyDescent="0.25">
      <c r="A531" s="59" t="s">
        <v>529</v>
      </c>
      <c r="B531" s="3" t="s">
        <v>17</v>
      </c>
      <c r="C531" s="43" t="s">
        <v>530</v>
      </c>
      <c r="D531" s="43" t="s">
        <v>1268</v>
      </c>
      <c r="E531" s="78">
        <v>160.49</v>
      </c>
      <c r="F531" s="3" t="s">
        <v>277</v>
      </c>
      <c r="G531" s="78">
        <v>35.24</v>
      </c>
      <c r="H531" s="20">
        <f>ROUND(E531*G531,2)</f>
        <v>5655.67</v>
      </c>
    </row>
    <row r="532" spans="1:8" ht="20.100000000000001" customHeight="1" x14ac:dyDescent="0.25">
      <c r="A532" s="59" t="s">
        <v>531</v>
      </c>
      <c r="B532" s="3" t="s">
        <v>17</v>
      </c>
      <c r="C532" s="43" t="s">
        <v>532</v>
      </c>
      <c r="D532" s="43" t="s">
        <v>1269</v>
      </c>
      <c r="E532" s="78">
        <v>12.93</v>
      </c>
      <c r="F532" s="3" t="s">
        <v>277</v>
      </c>
      <c r="G532" s="78">
        <v>15.66</v>
      </c>
      <c r="H532" s="20">
        <f>ROUND(E532*G532,2)</f>
        <v>202.48</v>
      </c>
    </row>
    <row r="533" spans="1:8" ht="20.100000000000001" customHeight="1" x14ac:dyDescent="0.25">
      <c r="A533" s="52"/>
      <c r="B533" s="9"/>
      <c r="C533" s="44" t="s">
        <v>1321</v>
      </c>
      <c r="D533" s="44" t="s">
        <v>1321</v>
      </c>
      <c r="E533" s="78">
        <v>1</v>
      </c>
      <c r="F533" s="9"/>
      <c r="G533" s="79">
        <f>SUM(H531:H532)</f>
        <v>5858.15</v>
      </c>
      <c r="H533" s="29">
        <f>ROUND(E533*G533,2)</f>
        <v>5858.15</v>
      </c>
    </row>
    <row r="534" spans="1:8" ht="20.100000000000001" customHeight="1" x14ac:dyDescent="0.25">
      <c r="A534" s="60"/>
      <c r="B534" s="12"/>
      <c r="C534" s="45"/>
      <c r="D534" s="45"/>
      <c r="E534" s="34"/>
      <c r="F534" s="12"/>
      <c r="G534" s="34"/>
      <c r="H534" s="30"/>
    </row>
    <row r="535" spans="1:8" ht="20.100000000000001" customHeight="1" x14ac:dyDescent="0.25">
      <c r="A535" s="63"/>
      <c r="B535" s="18" t="s">
        <v>9</v>
      </c>
      <c r="C535" s="48" t="s">
        <v>538</v>
      </c>
      <c r="D535" s="48" t="s">
        <v>1249</v>
      </c>
      <c r="E535" s="82">
        <f>E538</f>
        <v>1</v>
      </c>
      <c r="F535" s="18" t="s">
        <v>65</v>
      </c>
      <c r="G535" s="82">
        <f>G538</f>
        <v>2862.7</v>
      </c>
      <c r="H535" s="32">
        <f>H538</f>
        <v>2862.7</v>
      </c>
    </row>
    <row r="536" spans="1:8" ht="20.100000000000001" customHeight="1" x14ac:dyDescent="0.25">
      <c r="A536" s="59" t="s">
        <v>725</v>
      </c>
      <c r="B536" s="3" t="s">
        <v>17</v>
      </c>
      <c r="C536" s="43" t="s">
        <v>538</v>
      </c>
      <c r="D536" s="43" t="s">
        <v>1250</v>
      </c>
      <c r="E536" s="78">
        <v>27.15</v>
      </c>
      <c r="F536" s="3" t="s">
        <v>277</v>
      </c>
      <c r="G536" s="78">
        <v>34.64</v>
      </c>
      <c r="H536" s="20">
        <f>ROUND(E536*G536,2)</f>
        <v>940.48</v>
      </c>
    </row>
    <row r="537" spans="1:8" ht="20.100000000000001" customHeight="1" x14ac:dyDescent="0.25">
      <c r="A537" s="59" t="s">
        <v>726</v>
      </c>
      <c r="B537" s="3" t="s">
        <v>17</v>
      </c>
      <c r="C537" s="43" t="s">
        <v>544</v>
      </c>
      <c r="D537" s="43" t="s">
        <v>1253</v>
      </c>
      <c r="E537" s="78">
        <v>53.1</v>
      </c>
      <c r="F537" s="3" t="s">
        <v>277</v>
      </c>
      <c r="G537" s="78">
        <v>36.200000000000003</v>
      </c>
      <c r="H537" s="20">
        <f>ROUND(E537*G537,2)</f>
        <v>1922.22</v>
      </c>
    </row>
    <row r="538" spans="1:8" ht="20.100000000000001" customHeight="1" x14ac:dyDescent="0.25">
      <c r="A538" s="52"/>
      <c r="B538" s="9"/>
      <c r="C538" s="44" t="s">
        <v>1322</v>
      </c>
      <c r="D538" s="44" t="s">
        <v>1322</v>
      </c>
      <c r="E538" s="78">
        <v>1</v>
      </c>
      <c r="F538" s="9"/>
      <c r="G538" s="79">
        <f>SUM(H536:H537)</f>
        <v>2862.7</v>
      </c>
      <c r="H538" s="29">
        <f>ROUND(E538*G538,2)</f>
        <v>2862.7</v>
      </c>
    </row>
    <row r="539" spans="1:8" ht="20.100000000000001" customHeight="1" x14ac:dyDescent="0.25">
      <c r="A539" s="60"/>
      <c r="B539" s="12"/>
      <c r="C539" s="45"/>
      <c r="D539" s="45"/>
      <c r="E539" s="34"/>
      <c r="F539" s="12"/>
      <c r="G539" s="34"/>
      <c r="H539" s="30"/>
    </row>
    <row r="540" spans="1:8" ht="20.100000000000001" customHeight="1" x14ac:dyDescent="0.25">
      <c r="A540" s="52"/>
      <c r="B540" s="9"/>
      <c r="C540" s="44" t="s">
        <v>727</v>
      </c>
      <c r="D540" s="44" t="s">
        <v>727</v>
      </c>
      <c r="E540" s="78">
        <v>1</v>
      </c>
      <c r="F540" s="9"/>
      <c r="G540" s="79">
        <f>H515+H530+H535</f>
        <v>35659.72</v>
      </c>
      <c r="H540" s="29">
        <f>ROUND(E540*G540,2)</f>
        <v>35659.72</v>
      </c>
    </row>
    <row r="541" spans="1:8" ht="20.100000000000001" customHeight="1" x14ac:dyDescent="0.25">
      <c r="A541" s="60"/>
      <c r="B541" s="12"/>
      <c r="C541" s="45"/>
      <c r="D541" s="45"/>
      <c r="E541" s="34"/>
      <c r="F541" s="12"/>
      <c r="G541" s="34"/>
      <c r="H541" s="30"/>
    </row>
    <row r="542" spans="1:8" ht="39.950000000000003" customHeight="1" x14ac:dyDescent="0.25">
      <c r="A542" s="62" t="s">
        <v>728</v>
      </c>
      <c r="B542" s="7" t="s">
        <v>9</v>
      </c>
      <c r="C542" s="47" t="s">
        <v>729</v>
      </c>
      <c r="D542" s="47" t="s">
        <v>1260</v>
      </c>
      <c r="E542" s="81">
        <f>E546</f>
        <v>1</v>
      </c>
      <c r="F542" s="7" t="s">
        <v>10</v>
      </c>
      <c r="G542" s="81">
        <f>G546</f>
        <v>3148.29</v>
      </c>
      <c r="H542" s="21">
        <f>H546</f>
        <v>3148.29</v>
      </c>
    </row>
    <row r="543" spans="1:8" ht="20.100000000000001" customHeight="1" x14ac:dyDescent="0.25">
      <c r="A543" s="59" t="s">
        <v>730</v>
      </c>
      <c r="B543" s="3" t="s">
        <v>17</v>
      </c>
      <c r="C543" s="43" t="s">
        <v>731</v>
      </c>
      <c r="D543" s="91" t="s">
        <v>1262</v>
      </c>
      <c r="E543" s="78">
        <v>111.38</v>
      </c>
      <c r="F543" s="3" t="s">
        <v>35</v>
      </c>
      <c r="G543" s="78">
        <v>14.65</v>
      </c>
      <c r="H543" s="20">
        <f>ROUND(E543*G543,2)</f>
        <v>1631.72</v>
      </c>
    </row>
    <row r="544" spans="1:8" ht="20.100000000000001" customHeight="1" x14ac:dyDescent="0.25">
      <c r="A544" s="59" t="s">
        <v>732</v>
      </c>
      <c r="B544" s="3" t="s">
        <v>17</v>
      </c>
      <c r="C544" s="43" t="s">
        <v>733</v>
      </c>
      <c r="D544" s="91" t="s">
        <v>1263</v>
      </c>
      <c r="E544" s="78">
        <v>84.52</v>
      </c>
      <c r="F544" s="3" t="s">
        <v>35</v>
      </c>
      <c r="G544" s="78">
        <v>14.65</v>
      </c>
      <c r="H544" s="20">
        <f>ROUND(E544*G544,2)</f>
        <v>1238.22</v>
      </c>
    </row>
    <row r="545" spans="1:8" ht="20.100000000000001" customHeight="1" x14ac:dyDescent="0.25">
      <c r="A545" s="59" t="s">
        <v>734</v>
      </c>
      <c r="B545" s="3" t="s">
        <v>17</v>
      </c>
      <c r="C545" s="43" t="s">
        <v>735</v>
      </c>
      <c r="D545" s="91" t="s">
        <v>1264</v>
      </c>
      <c r="E545" s="78">
        <v>19</v>
      </c>
      <c r="F545" s="3" t="s">
        <v>35</v>
      </c>
      <c r="G545" s="78">
        <v>14.65</v>
      </c>
      <c r="H545" s="20">
        <f>ROUND(E545*G545,2)</f>
        <v>278.35000000000002</v>
      </c>
    </row>
    <row r="546" spans="1:8" ht="20.100000000000001" customHeight="1" x14ac:dyDescent="0.25">
      <c r="A546" s="52"/>
      <c r="B546" s="9"/>
      <c r="C546" s="44" t="s">
        <v>736</v>
      </c>
      <c r="D546" s="44" t="s">
        <v>736</v>
      </c>
      <c r="E546" s="78">
        <v>1</v>
      </c>
      <c r="F546" s="9"/>
      <c r="G546" s="79">
        <f>SUM(H543:H545)</f>
        <v>3148.29</v>
      </c>
      <c r="H546" s="29">
        <f>ROUND(E546*G546,2)</f>
        <v>3148.29</v>
      </c>
    </row>
    <row r="547" spans="1:8" ht="20.100000000000001" customHeight="1" x14ac:dyDescent="0.25">
      <c r="A547" s="60"/>
      <c r="B547" s="12"/>
      <c r="C547" s="45"/>
      <c r="D547" s="45"/>
      <c r="E547" s="34"/>
      <c r="F547" s="12"/>
      <c r="G547" s="34"/>
      <c r="H547" s="30"/>
    </row>
    <row r="548" spans="1:8" ht="20.100000000000001" customHeight="1" x14ac:dyDescent="0.25">
      <c r="A548" s="62" t="s">
        <v>737</v>
      </c>
      <c r="B548" s="7" t="s">
        <v>9</v>
      </c>
      <c r="C548" s="47" t="s">
        <v>567</v>
      </c>
      <c r="D548" s="47" t="s">
        <v>1270</v>
      </c>
      <c r="E548" s="81">
        <f>E561</f>
        <v>1</v>
      </c>
      <c r="F548" s="7" t="s">
        <v>10</v>
      </c>
      <c r="G548" s="81">
        <f>G561</f>
        <v>21056.91</v>
      </c>
      <c r="H548" s="21">
        <f>H561</f>
        <v>21056.91</v>
      </c>
    </row>
    <row r="549" spans="1:8" ht="20.100000000000001" customHeight="1" x14ac:dyDescent="0.25">
      <c r="A549" s="63"/>
      <c r="B549" s="18" t="s">
        <v>9</v>
      </c>
      <c r="C549" s="48" t="s">
        <v>568</v>
      </c>
      <c r="D549" s="48" t="s">
        <v>1271</v>
      </c>
      <c r="E549" s="82">
        <f>E551</f>
        <v>1</v>
      </c>
      <c r="F549" s="18" t="s">
        <v>65</v>
      </c>
      <c r="G549" s="82">
        <f>G551</f>
        <v>2672.33</v>
      </c>
      <c r="H549" s="32">
        <f>H551</f>
        <v>2672.33</v>
      </c>
    </row>
    <row r="550" spans="1:8" ht="20.100000000000001" customHeight="1" x14ac:dyDescent="0.25">
      <c r="A550" s="59" t="s">
        <v>738</v>
      </c>
      <c r="B550" s="3" t="s">
        <v>17</v>
      </c>
      <c r="C550" s="43" t="s">
        <v>570</v>
      </c>
      <c r="D550" s="43" t="s">
        <v>1272</v>
      </c>
      <c r="E550" s="78">
        <v>24.23</v>
      </c>
      <c r="F550" s="3" t="s">
        <v>18</v>
      </c>
      <c r="G550" s="78">
        <v>110.29</v>
      </c>
      <c r="H550" s="20">
        <f>ROUND(E550*G550,2)</f>
        <v>2672.33</v>
      </c>
    </row>
    <row r="551" spans="1:8" ht="20.100000000000001" customHeight="1" x14ac:dyDescent="0.25">
      <c r="A551" s="52"/>
      <c r="B551" s="9"/>
      <c r="C551" s="44" t="s">
        <v>1323</v>
      </c>
      <c r="D551" s="44" t="s">
        <v>1323</v>
      </c>
      <c r="E551" s="78">
        <v>1</v>
      </c>
      <c r="F551" s="9"/>
      <c r="G551" s="79">
        <f>H550</f>
        <v>2672.33</v>
      </c>
      <c r="H551" s="29">
        <f>ROUND(E551*G551,2)</f>
        <v>2672.33</v>
      </c>
    </row>
    <row r="552" spans="1:8" ht="20.100000000000001" customHeight="1" x14ac:dyDescent="0.25">
      <c r="A552" s="60"/>
      <c r="B552" s="12"/>
      <c r="C552" s="45"/>
      <c r="D552" s="45"/>
      <c r="E552" s="34"/>
      <c r="F552" s="12"/>
      <c r="G552" s="34"/>
      <c r="H552" s="30"/>
    </row>
    <row r="553" spans="1:8" ht="20.100000000000001" customHeight="1" x14ac:dyDescent="0.25">
      <c r="A553" s="63"/>
      <c r="B553" s="18" t="s">
        <v>9</v>
      </c>
      <c r="C553" s="48" t="s">
        <v>739</v>
      </c>
      <c r="D553" s="48" t="s">
        <v>1273</v>
      </c>
      <c r="E553" s="82">
        <f>E559</f>
        <v>1</v>
      </c>
      <c r="F553" s="18" t="s">
        <v>65</v>
      </c>
      <c r="G553" s="82">
        <f>G559</f>
        <v>18384.580000000002</v>
      </c>
      <c r="H553" s="32">
        <f>H559</f>
        <v>18384.580000000002</v>
      </c>
    </row>
    <row r="554" spans="1:8" ht="20.100000000000001" customHeight="1" x14ac:dyDescent="0.25">
      <c r="A554" s="59" t="s">
        <v>740</v>
      </c>
      <c r="B554" s="3" t="s">
        <v>17</v>
      </c>
      <c r="C554" s="43" t="s">
        <v>579</v>
      </c>
      <c r="D554" s="43" t="s">
        <v>1324</v>
      </c>
      <c r="E554" s="78">
        <v>51.53</v>
      </c>
      <c r="F554" s="3" t="s">
        <v>18</v>
      </c>
      <c r="G554" s="78">
        <v>105.77</v>
      </c>
      <c r="H554" s="20">
        <f t="shared" ref="H554:H559" si="21">ROUND(E554*G554,2)</f>
        <v>5450.33</v>
      </c>
    </row>
    <row r="555" spans="1:8" ht="20.100000000000001" customHeight="1" x14ac:dyDescent="0.25">
      <c r="A555" s="59" t="s">
        <v>741</v>
      </c>
      <c r="B555" s="3" t="s">
        <v>17</v>
      </c>
      <c r="C555" s="43" t="s">
        <v>575</v>
      </c>
      <c r="D555" s="43" t="s">
        <v>1277</v>
      </c>
      <c r="E555" s="78">
        <v>102.54</v>
      </c>
      <c r="F555" s="3" t="s">
        <v>18</v>
      </c>
      <c r="G555" s="78">
        <v>96.59</v>
      </c>
      <c r="H555" s="20">
        <f t="shared" si="21"/>
        <v>9904.34</v>
      </c>
    </row>
    <row r="556" spans="1:8" ht="20.100000000000001" customHeight="1" x14ac:dyDescent="0.25">
      <c r="A556" s="59" t="s">
        <v>742</v>
      </c>
      <c r="B556" s="3" t="s">
        <v>17</v>
      </c>
      <c r="C556" s="43" t="s">
        <v>573</v>
      </c>
      <c r="D556" s="43" t="s">
        <v>1275</v>
      </c>
      <c r="E556" s="78">
        <v>19</v>
      </c>
      <c r="F556" s="3" t="s">
        <v>18</v>
      </c>
      <c r="G556" s="78">
        <v>105.77</v>
      </c>
      <c r="H556" s="20">
        <f t="shared" si="21"/>
        <v>2009.63</v>
      </c>
    </row>
    <row r="557" spans="1:8" ht="20.100000000000001" customHeight="1" x14ac:dyDescent="0.25">
      <c r="A557" s="59" t="s">
        <v>743</v>
      </c>
      <c r="B557" s="3" t="s">
        <v>17</v>
      </c>
      <c r="C557" s="43" t="s">
        <v>744</v>
      </c>
      <c r="D557" s="91" t="s">
        <v>1274</v>
      </c>
      <c r="E557" s="78">
        <v>4</v>
      </c>
      <c r="F557" s="3" t="s">
        <v>10</v>
      </c>
      <c r="G557" s="78">
        <v>138.33000000000001</v>
      </c>
      <c r="H557" s="20">
        <f t="shared" si="21"/>
        <v>553.32000000000005</v>
      </c>
    </row>
    <row r="558" spans="1:8" ht="20.100000000000001" customHeight="1" x14ac:dyDescent="0.25">
      <c r="A558" s="59" t="s">
        <v>745</v>
      </c>
      <c r="B558" s="3" t="s">
        <v>17</v>
      </c>
      <c r="C558" s="43" t="s">
        <v>746</v>
      </c>
      <c r="D558" s="43" t="s">
        <v>1325</v>
      </c>
      <c r="E558" s="78">
        <v>1</v>
      </c>
      <c r="F558" s="3" t="s">
        <v>10</v>
      </c>
      <c r="G558" s="78">
        <v>466.96</v>
      </c>
      <c r="H558" s="20">
        <f t="shared" si="21"/>
        <v>466.96</v>
      </c>
    </row>
    <row r="559" spans="1:8" ht="20.100000000000001" customHeight="1" x14ac:dyDescent="0.25">
      <c r="A559" s="52"/>
      <c r="B559" s="9"/>
      <c r="C559" s="44" t="s">
        <v>1326</v>
      </c>
      <c r="D559" s="44" t="s">
        <v>1326</v>
      </c>
      <c r="E559" s="78">
        <v>1</v>
      </c>
      <c r="F559" s="9"/>
      <c r="G559" s="79">
        <f>SUM(H554:H558)</f>
        <v>18384.580000000002</v>
      </c>
      <c r="H559" s="29">
        <f t="shared" si="21"/>
        <v>18384.580000000002</v>
      </c>
    </row>
    <row r="560" spans="1:8" ht="20.100000000000001" customHeight="1" x14ac:dyDescent="0.25">
      <c r="A560" s="60"/>
      <c r="B560" s="12"/>
      <c r="C560" s="45"/>
      <c r="D560" s="45"/>
      <c r="E560" s="34"/>
      <c r="F560" s="12"/>
      <c r="G560" s="34"/>
      <c r="H560" s="30"/>
    </row>
    <row r="561" spans="1:9" ht="20.100000000000001" customHeight="1" x14ac:dyDescent="0.25">
      <c r="A561" s="52"/>
      <c r="B561" s="9"/>
      <c r="C561" s="44" t="s">
        <v>747</v>
      </c>
      <c r="D561" s="44" t="s">
        <v>747</v>
      </c>
      <c r="E561" s="78">
        <v>1</v>
      </c>
      <c r="F561" s="9"/>
      <c r="G561" s="79">
        <f>H549+H553</f>
        <v>21056.91</v>
      </c>
      <c r="H561" s="29">
        <f>ROUND(E561*G561,2)</f>
        <v>21056.91</v>
      </c>
      <c r="I561" s="8"/>
    </row>
    <row r="562" spans="1:9" ht="20.100000000000001" customHeight="1" x14ac:dyDescent="0.25">
      <c r="A562" s="60"/>
      <c r="B562" s="12"/>
      <c r="C562" s="45"/>
      <c r="D562" s="45"/>
      <c r="E562" s="34"/>
      <c r="F562" s="12"/>
      <c r="G562" s="34"/>
      <c r="H562" s="30"/>
    </row>
    <row r="563" spans="1:9" ht="20.100000000000001" customHeight="1" x14ac:dyDescent="0.25">
      <c r="A563" s="62" t="s">
        <v>748</v>
      </c>
      <c r="B563" s="7" t="s">
        <v>9</v>
      </c>
      <c r="C563" s="47" t="s">
        <v>749</v>
      </c>
      <c r="D563" s="47" t="s">
        <v>1278</v>
      </c>
      <c r="E563" s="81">
        <f>E582</f>
        <v>1</v>
      </c>
      <c r="F563" s="7" t="s">
        <v>10</v>
      </c>
      <c r="G563" s="81">
        <f>G582</f>
        <v>38943.68</v>
      </c>
      <c r="H563" s="21">
        <f>H582</f>
        <v>38943.68</v>
      </c>
    </row>
    <row r="564" spans="1:9" ht="20.100000000000001" customHeight="1" x14ac:dyDescent="0.25">
      <c r="A564" s="65"/>
      <c r="B564" s="19" t="s">
        <v>9</v>
      </c>
      <c r="C564" s="44" t="s">
        <v>750</v>
      </c>
      <c r="D564" s="44" t="s">
        <v>1280</v>
      </c>
      <c r="E564" s="79">
        <f>E573</f>
        <v>1</v>
      </c>
      <c r="F564" s="19" t="s">
        <v>433</v>
      </c>
      <c r="G564" s="79">
        <f>G573</f>
        <v>35893.370000000003</v>
      </c>
      <c r="H564" s="29">
        <f>H573</f>
        <v>35893.370000000003</v>
      </c>
    </row>
    <row r="565" spans="1:9" ht="20.100000000000001" customHeight="1" x14ac:dyDescent="0.25">
      <c r="A565" s="59" t="s">
        <v>751</v>
      </c>
      <c r="B565" s="3" t="s">
        <v>17</v>
      </c>
      <c r="C565" s="43" t="s">
        <v>586</v>
      </c>
      <c r="D565" s="43" t="s">
        <v>1281</v>
      </c>
      <c r="E565" s="78">
        <v>4</v>
      </c>
      <c r="F565" s="3" t="s">
        <v>10</v>
      </c>
      <c r="G565" s="78">
        <v>521.42999999999995</v>
      </c>
      <c r="H565" s="20">
        <f t="shared" ref="H565:H573" si="22">ROUND(E565*G565,2)</f>
        <v>2085.7199999999998</v>
      </c>
    </row>
    <row r="566" spans="1:9" ht="20.100000000000001" customHeight="1" x14ac:dyDescent="0.25">
      <c r="A566" s="59" t="s">
        <v>752</v>
      </c>
      <c r="B566" s="3" t="s">
        <v>17</v>
      </c>
      <c r="C566" s="43" t="s">
        <v>588</v>
      </c>
      <c r="D566" s="43" t="s">
        <v>1282</v>
      </c>
      <c r="E566" s="78">
        <v>6</v>
      </c>
      <c r="F566" s="3" t="s">
        <v>10</v>
      </c>
      <c r="G566" s="78">
        <v>543.73</v>
      </c>
      <c r="H566" s="20">
        <f t="shared" si="22"/>
        <v>3262.38</v>
      </c>
    </row>
    <row r="567" spans="1:9" ht="20.100000000000001" customHeight="1" x14ac:dyDescent="0.25">
      <c r="A567" s="59" t="s">
        <v>753</v>
      </c>
      <c r="B567" s="3" t="s">
        <v>17</v>
      </c>
      <c r="C567" s="43" t="s">
        <v>590</v>
      </c>
      <c r="D567" s="43" t="s">
        <v>1283</v>
      </c>
      <c r="E567" s="78">
        <v>6</v>
      </c>
      <c r="F567" s="3" t="s">
        <v>10</v>
      </c>
      <c r="G567" s="78">
        <v>1661.35</v>
      </c>
      <c r="H567" s="20">
        <f t="shared" si="22"/>
        <v>9968.1</v>
      </c>
    </row>
    <row r="568" spans="1:9" ht="20.100000000000001" customHeight="1" x14ac:dyDescent="0.25">
      <c r="A568" s="59" t="s">
        <v>754</v>
      </c>
      <c r="B568" s="3" t="s">
        <v>17</v>
      </c>
      <c r="C568" s="43" t="s">
        <v>592</v>
      </c>
      <c r="D568" s="43" t="s">
        <v>1284</v>
      </c>
      <c r="E568" s="78">
        <v>6</v>
      </c>
      <c r="F568" s="3" t="s">
        <v>10</v>
      </c>
      <c r="G568" s="78">
        <v>2093.44</v>
      </c>
      <c r="H568" s="20">
        <f t="shared" si="22"/>
        <v>12560.64</v>
      </c>
    </row>
    <row r="569" spans="1:9" ht="20.100000000000001" customHeight="1" x14ac:dyDescent="0.25">
      <c r="A569" s="59" t="s">
        <v>755</v>
      </c>
      <c r="B569" s="3" t="s">
        <v>17</v>
      </c>
      <c r="C569" s="43" t="s">
        <v>756</v>
      </c>
      <c r="D569" s="43" t="s">
        <v>1285</v>
      </c>
      <c r="E569" s="78">
        <v>4</v>
      </c>
      <c r="F569" s="3" t="s">
        <v>10</v>
      </c>
      <c r="G569" s="78">
        <v>1360.57</v>
      </c>
      <c r="H569" s="20">
        <f t="shared" si="22"/>
        <v>5442.28</v>
      </c>
    </row>
    <row r="570" spans="1:9" ht="20.100000000000001" customHeight="1" x14ac:dyDescent="0.25">
      <c r="A570" s="59" t="s">
        <v>757</v>
      </c>
      <c r="B570" s="3" t="s">
        <v>17</v>
      </c>
      <c r="C570" s="43" t="s">
        <v>596</v>
      </c>
      <c r="D570" s="43" t="s">
        <v>1291</v>
      </c>
      <c r="E570" s="78">
        <v>6</v>
      </c>
      <c r="F570" s="3" t="s">
        <v>10</v>
      </c>
      <c r="G570" s="78">
        <v>307.58</v>
      </c>
      <c r="H570" s="20">
        <f t="shared" si="22"/>
        <v>1845.48</v>
      </c>
    </row>
    <row r="571" spans="1:9" ht="20.100000000000001" customHeight="1" x14ac:dyDescent="0.25">
      <c r="A571" s="59" t="s">
        <v>758</v>
      </c>
      <c r="B571" s="3" t="s">
        <v>17</v>
      </c>
      <c r="C571" s="43" t="s">
        <v>598</v>
      </c>
      <c r="D571" s="43" t="s">
        <v>1292</v>
      </c>
      <c r="E571" s="78">
        <v>4</v>
      </c>
      <c r="F571" s="3" t="s">
        <v>10</v>
      </c>
      <c r="G571" s="78">
        <v>162.97999999999999</v>
      </c>
      <c r="H571" s="20">
        <f t="shared" si="22"/>
        <v>651.91999999999996</v>
      </c>
    </row>
    <row r="572" spans="1:9" ht="20.100000000000001" customHeight="1" x14ac:dyDescent="0.25">
      <c r="A572" s="59" t="s">
        <v>759</v>
      </c>
      <c r="B572" s="3" t="s">
        <v>17</v>
      </c>
      <c r="C572" s="43" t="s">
        <v>621</v>
      </c>
      <c r="D572" s="43" t="s">
        <v>1302</v>
      </c>
      <c r="E572" s="78">
        <v>1</v>
      </c>
      <c r="F572" s="3" t="s">
        <v>154</v>
      </c>
      <c r="G572" s="78">
        <v>76.849999999999994</v>
      </c>
      <c r="H572" s="20">
        <f t="shared" si="22"/>
        <v>76.849999999999994</v>
      </c>
    </row>
    <row r="573" spans="1:9" ht="20.100000000000001" customHeight="1" x14ac:dyDescent="0.25">
      <c r="A573" s="52"/>
      <c r="B573" s="9"/>
      <c r="C573" s="44" t="s">
        <v>1327</v>
      </c>
      <c r="D573" s="44" t="s">
        <v>1327</v>
      </c>
      <c r="E573" s="78">
        <v>1</v>
      </c>
      <c r="F573" s="9"/>
      <c r="G573" s="79">
        <f>SUM(H565:H572)</f>
        <v>35893.370000000003</v>
      </c>
      <c r="H573" s="29">
        <f t="shared" si="22"/>
        <v>35893.370000000003</v>
      </c>
    </row>
    <row r="574" spans="1:9" ht="20.100000000000001" customHeight="1" x14ac:dyDescent="0.25">
      <c r="A574" s="60"/>
      <c r="B574" s="12"/>
      <c r="C574" s="45"/>
      <c r="D574" s="45"/>
      <c r="E574" s="34"/>
      <c r="F574" s="12"/>
      <c r="G574" s="34"/>
      <c r="H574" s="30"/>
    </row>
    <row r="575" spans="1:9" ht="20.100000000000001" customHeight="1" x14ac:dyDescent="0.25">
      <c r="A575" s="63"/>
      <c r="B575" s="18" t="s">
        <v>9</v>
      </c>
      <c r="C575" s="48" t="s">
        <v>760</v>
      </c>
      <c r="D575" s="48" t="s">
        <v>1308</v>
      </c>
      <c r="E575" s="82">
        <f>E580</f>
        <v>1</v>
      </c>
      <c r="F575" s="18" t="s">
        <v>433</v>
      </c>
      <c r="G575" s="82">
        <f>G580</f>
        <v>3050.31</v>
      </c>
      <c r="H575" s="32">
        <f>H580</f>
        <v>3050.31</v>
      </c>
    </row>
    <row r="576" spans="1:9" ht="20.100000000000001" customHeight="1" x14ac:dyDescent="0.25">
      <c r="A576" s="59" t="s">
        <v>761</v>
      </c>
      <c r="B576" s="3" t="s">
        <v>17</v>
      </c>
      <c r="C576" s="43" t="s">
        <v>762</v>
      </c>
      <c r="D576" s="43" t="s">
        <v>1330</v>
      </c>
      <c r="E576" s="78">
        <v>1</v>
      </c>
      <c r="F576" s="3" t="s">
        <v>154</v>
      </c>
      <c r="G576" s="78">
        <v>951.87</v>
      </c>
      <c r="H576" s="20">
        <f>ROUND(E576*G576,2)</f>
        <v>951.87</v>
      </c>
    </row>
    <row r="577" spans="1:8" ht="20.100000000000001" customHeight="1" x14ac:dyDescent="0.25">
      <c r="A577" s="59" t="s">
        <v>763</v>
      </c>
      <c r="B577" s="3" t="s">
        <v>17</v>
      </c>
      <c r="C577" s="43" t="s">
        <v>764</v>
      </c>
      <c r="D577" s="43" t="s">
        <v>1331</v>
      </c>
      <c r="E577" s="78">
        <v>2</v>
      </c>
      <c r="F577" s="3" t="s">
        <v>154</v>
      </c>
      <c r="G577" s="78">
        <v>562.47</v>
      </c>
      <c r="H577" s="20">
        <f>ROUND(E577*G577,2)</f>
        <v>1124.94</v>
      </c>
    </row>
    <row r="578" spans="1:8" ht="39.950000000000003" customHeight="1" x14ac:dyDescent="0.25">
      <c r="A578" s="59" t="s">
        <v>765</v>
      </c>
      <c r="B578" s="3" t="s">
        <v>17</v>
      </c>
      <c r="C578" s="43" t="s">
        <v>766</v>
      </c>
      <c r="D578" s="43" t="s">
        <v>1328</v>
      </c>
      <c r="E578" s="78">
        <v>1</v>
      </c>
      <c r="F578" s="3" t="s">
        <v>154</v>
      </c>
      <c r="G578" s="78">
        <v>562.47</v>
      </c>
      <c r="H578" s="20">
        <f>ROUND(E578*G578,2)</f>
        <v>562.47</v>
      </c>
    </row>
    <row r="579" spans="1:8" ht="20.100000000000001" customHeight="1" x14ac:dyDescent="0.25">
      <c r="A579" s="59" t="s">
        <v>767</v>
      </c>
      <c r="B579" s="3" t="s">
        <v>17</v>
      </c>
      <c r="C579" s="43" t="s">
        <v>768</v>
      </c>
      <c r="D579" s="43" t="s">
        <v>1329</v>
      </c>
      <c r="E579" s="78">
        <v>1</v>
      </c>
      <c r="F579" s="3" t="s">
        <v>154</v>
      </c>
      <c r="G579" s="78">
        <v>411.03</v>
      </c>
      <c r="H579" s="20">
        <f>ROUND(E579*G579,2)</f>
        <v>411.03</v>
      </c>
    </row>
    <row r="580" spans="1:8" ht="20.100000000000001" customHeight="1" x14ac:dyDescent="0.25">
      <c r="A580" s="52"/>
      <c r="B580" s="9"/>
      <c r="C580" s="44" t="s">
        <v>1332</v>
      </c>
      <c r="D580" s="44" t="s">
        <v>1332</v>
      </c>
      <c r="E580" s="78">
        <v>1</v>
      </c>
      <c r="F580" s="9"/>
      <c r="G580" s="79">
        <f>SUM(H576:H579)</f>
        <v>3050.31</v>
      </c>
      <c r="H580" s="29">
        <f>ROUND(E580*G580,2)</f>
        <v>3050.31</v>
      </c>
    </row>
    <row r="581" spans="1:8" ht="20.100000000000001" customHeight="1" x14ac:dyDescent="0.25">
      <c r="A581" s="60"/>
      <c r="B581" s="12"/>
      <c r="C581" s="45"/>
      <c r="D581" s="45"/>
      <c r="E581" s="34"/>
      <c r="F581" s="12"/>
      <c r="G581" s="34"/>
      <c r="H581" s="30"/>
    </row>
    <row r="582" spans="1:8" ht="20.100000000000001" customHeight="1" x14ac:dyDescent="0.25">
      <c r="A582" s="52"/>
      <c r="B582" s="9"/>
      <c r="C582" s="44" t="s">
        <v>769</v>
      </c>
      <c r="D582" s="44" t="s">
        <v>769</v>
      </c>
      <c r="E582" s="78">
        <v>1</v>
      </c>
      <c r="F582" s="9"/>
      <c r="G582" s="79">
        <f>H564+H575</f>
        <v>38943.68</v>
      </c>
      <c r="H582" s="29">
        <f>ROUND(E582*G582,2)</f>
        <v>38943.68</v>
      </c>
    </row>
    <row r="583" spans="1:8" ht="20.100000000000001" customHeight="1" x14ac:dyDescent="0.25">
      <c r="A583" s="60"/>
      <c r="B583" s="12"/>
      <c r="C583" s="45"/>
      <c r="D583" s="45"/>
      <c r="E583" s="34"/>
      <c r="F583" s="12"/>
      <c r="G583" s="34"/>
      <c r="H583" s="30"/>
    </row>
    <row r="584" spans="1:8" ht="20.100000000000001" customHeight="1" x14ac:dyDescent="0.25">
      <c r="A584" s="62" t="s">
        <v>770</v>
      </c>
      <c r="B584" s="7" t="s">
        <v>9</v>
      </c>
      <c r="C584" s="47" t="s">
        <v>771</v>
      </c>
      <c r="D584" s="47" t="s">
        <v>1049</v>
      </c>
      <c r="E584" s="81">
        <f>E599</f>
        <v>1</v>
      </c>
      <c r="F584" s="7" t="s">
        <v>10</v>
      </c>
      <c r="G584" s="81">
        <f>G599</f>
        <v>22893.39</v>
      </c>
      <c r="H584" s="21">
        <f>H599</f>
        <v>22893.39</v>
      </c>
    </row>
    <row r="585" spans="1:8" ht="20.100000000000001" customHeight="1" x14ac:dyDescent="0.25">
      <c r="A585" s="65"/>
      <c r="B585" s="19" t="s">
        <v>9</v>
      </c>
      <c r="C585" s="44" t="s">
        <v>772</v>
      </c>
      <c r="D585" s="44" t="s">
        <v>1333</v>
      </c>
      <c r="E585" s="79">
        <f>E587</f>
        <v>1</v>
      </c>
      <c r="F585" s="19" t="s">
        <v>10</v>
      </c>
      <c r="G585" s="79">
        <f>G587</f>
        <v>3597.1</v>
      </c>
      <c r="H585" s="29">
        <f>H587</f>
        <v>3597.1</v>
      </c>
    </row>
    <row r="586" spans="1:8" ht="20.100000000000001" customHeight="1" x14ac:dyDescent="0.25">
      <c r="A586" s="59" t="s">
        <v>773</v>
      </c>
      <c r="B586" s="3" t="s">
        <v>17</v>
      </c>
      <c r="C586" s="43" t="s">
        <v>774</v>
      </c>
      <c r="D586" s="43" t="s">
        <v>1335</v>
      </c>
      <c r="E586" s="78">
        <v>1</v>
      </c>
      <c r="F586" s="3" t="s">
        <v>10</v>
      </c>
      <c r="G586" s="78">
        <v>3597.1</v>
      </c>
      <c r="H586" s="20">
        <f>ROUND(E586*G586,2)</f>
        <v>3597.1</v>
      </c>
    </row>
    <row r="587" spans="1:8" ht="20.100000000000001" customHeight="1" x14ac:dyDescent="0.25">
      <c r="A587" s="52"/>
      <c r="B587" s="9"/>
      <c r="C587" s="44" t="s">
        <v>1334</v>
      </c>
      <c r="D587" s="44" t="s">
        <v>1334</v>
      </c>
      <c r="E587" s="78">
        <v>1</v>
      </c>
      <c r="F587" s="9"/>
      <c r="G587" s="79">
        <f>H586</f>
        <v>3597.1</v>
      </c>
      <c r="H587" s="29">
        <f>ROUND(E587*G587,2)</f>
        <v>3597.1</v>
      </c>
    </row>
    <row r="588" spans="1:8" ht="20.100000000000001" customHeight="1" x14ac:dyDescent="0.25">
      <c r="A588" s="60"/>
      <c r="B588" s="12"/>
      <c r="C588" s="45"/>
      <c r="D588" s="45"/>
      <c r="E588" s="34"/>
      <c r="F588" s="12"/>
      <c r="G588" s="34"/>
      <c r="H588" s="30"/>
    </row>
    <row r="589" spans="1:8" ht="20.100000000000001" customHeight="1" x14ac:dyDescent="0.25">
      <c r="A589" s="63"/>
      <c r="B589" s="18" t="s">
        <v>9</v>
      </c>
      <c r="C589" s="48" t="s">
        <v>775</v>
      </c>
      <c r="D589" s="48" t="s">
        <v>1336</v>
      </c>
      <c r="E589" s="82">
        <f>E592</f>
        <v>1</v>
      </c>
      <c r="F589" s="18" t="s">
        <v>10</v>
      </c>
      <c r="G589" s="82">
        <f>G592</f>
        <v>15537.12</v>
      </c>
      <c r="H589" s="32">
        <f>H592</f>
        <v>15537.12</v>
      </c>
    </row>
    <row r="590" spans="1:8" ht="20.100000000000001" customHeight="1" x14ac:dyDescent="0.25">
      <c r="A590" s="59" t="s">
        <v>776</v>
      </c>
      <c r="B590" s="3" t="s">
        <v>17</v>
      </c>
      <c r="C590" s="43" t="s">
        <v>525</v>
      </c>
      <c r="D590" s="43" t="s">
        <v>1246</v>
      </c>
      <c r="E590" s="78">
        <v>18.5</v>
      </c>
      <c r="F590" s="3" t="s">
        <v>277</v>
      </c>
      <c r="G590" s="78">
        <v>335.72</v>
      </c>
      <c r="H590" s="20">
        <f>ROUND(E590*G590,2)</f>
        <v>6210.82</v>
      </c>
    </row>
    <row r="591" spans="1:8" ht="20.100000000000001" customHeight="1" x14ac:dyDescent="0.25">
      <c r="A591" s="59" t="s">
        <v>777</v>
      </c>
      <c r="B591" s="3" t="s">
        <v>17</v>
      </c>
      <c r="C591" s="43" t="s">
        <v>778</v>
      </c>
      <c r="D591" s="43" t="s">
        <v>493</v>
      </c>
      <c r="E591" s="78">
        <v>27.78</v>
      </c>
      <c r="F591" s="3" t="s">
        <v>277</v>
      </c>
      <c r="G591" s="78">
        <v>335.72</v>
      </c>
      <c r="H591" s="20">
        <f>ROUND(E591*G591,2)</f>
        <v>9326.2999999999993</v>
      </c>
    </row>
    <row r="592" spans="1:8" ht="20.100000000000001" customHeight="1" x14ac:dyDescent="0.25">
      <c r="A592" s="52"/>
      <c r="B592" s="9"/>
      <c r="C592" s="44" t="s">
        <v>1337</v>
      </c>
      <c r="D592" s="44" t="s">
        <v>1337</v>
      </c>
      <c r="E592" s="78">
        <v>1</v>
      </c>
      <c r="F592" s="9"/>
      <c r="G592" s="79">
        <f>SUM(H590:H591)</f>
        <v>15537.12</v>
      </c>
      <c r="H592" s="29">
        <f>ROUND(E592*G592,2)</f>
        <v>15537.12</v>
      </c>
    </row>
    <row r="593" spans="1:9" ht="20.100000000000001" customHeight="1" x14ac:dyDescent="0.25">
      <c r="A593" s="60"/>
      <c r="B593" s="12"/>
      <c r="C593" s="45"/>
      <c r="D593" s="45"/>
      <c r="E593" s="34"/>
      <c r="F593" s="12"/>
      <c r="G593" s="34"/>
      <c r="H593" s="30"/>
    </row>
    <row r="594" spans="1:9" ht="39.950000000000003" customHeight="1" x14ac:dyDescent="0.25">
      <c r="A594" s="63"/>
      <c r="B594" s="18" t="s">
        <v>9</v>
      </c>
      <c r="C594" s="48" t="s">
        <v>779</v>
      </c>
      <c r="D594" s="48" t="s">
        <v>1338</v>
      </c>
      <c r="E594" s="82">
        <f>E597</f>
        <v>1</v>
      </c>
      <c r="F594" s="18" t="s">
        <v>10</v>
      </c>
      <c r="G594" s="82">
        <f>G597</f>
        <v>3759.17</v>
      </c>
      <c r="H594" s="32">
        <f>H597</f>
        <v>3759.17</v>
      </c>
    </row>
    <row r="595" spans="1:9" ht="20.100000000000001" customHeight="1" x14ac:dyDescent="0.25">
      <c r="A595" s="59" t="s">
        <v>780</v>
      </c>
      <c r="B595" s="3" t="s">
        <v>17</v>
      </c>
      <c r="C595" s="43" t="s">
        <v>781</v>
      </c>
      <c r="D595" s="43" t="s">
        <v>1340</v>
      </c>
      <c r="E595" s="78">
        <v>1</v>
      </c>
      <c r="F595" s="3" t="s">
        <v>433</v>
      </c>
      <c r="G595" s="78">
        <v>2600</v>
      </c>
      <c r="H595" s="20">
        <f>ROUND(E595*G595,2)</f>
        <v>2600</v>
      </c>
    </row>
    <row r="596" spans="1:9" ht="20.100000000000001" customHeight="1" x14ac:dyDescent="0.25">
      <c r="A596" s="59" t="s">
        <v>782</v>
      </c>
      <c r="B596" s="3" t="s">
        <v>17</v>
      </c>
      <c r="C596" s="43" t="s">
        <v>783</v>
      </c>
      <c r="D596" s="43" t="s">
        <v>1341</v>
      </c>
      <c r="E596" s="78">
        <v>1</v>
      </c>
      <c r="F596" s="3" t="s">
        <v>433</v>
      </c>
      <c r="G596" s="78">
        <v>1159.17</v>
      </c>
      <c r="H596" s="20">
        <f>ROUND(E596*G596,2)</f>
        <v>1159.17</v>
      </c>
    </row>
    <row r="597" spans="1:9" ht="20.100000000000001" customHeight="1" x14ac:dyDescent="0.25">
      <c r="A597" s="52"/>
      <c r="B597" s="9"/>
      <c r="C597" s="44" t="s">
        <v>1339</v>
      </c>
      <c r="D597" s="44" t="s">
        <v>1339</v>
      </c>
      <c r="E597" s="78">
        <v>1</v>
      </c>
      <c r="F597" s="9"/>
      <c r="G597" s="79">
        <f>SUM(H595:H596)</f>
        <v>3759.17</v>
      </c>
      <c r="H597" s="29">
        <f>ROUND(E597*G597,2)</f>
        <v>3759.17</v>
      </c>
    </row>
    <row r="598" spans="1:9" ht="20.100000000000001" hidden="1" customHeight="1" outlineLevel="1" x14ac:dyDescent="0.25">
      <c r="A598" s="60"/>
      <c r="B598" s="12"/>
      <c r="C598" s="45"/>
      <c r="D598" s="45"/>
      <c r="E598" s="34"/>
      <c r="F598" s="12"/>
      <c r="G598" s="34"/>
      <c r="H598" s="30"/>
    </row>
    <row r="599" spans="1:9" ht="20.100000000000001" hidden="1" customHeight="1" outlineLevel="1" x14ac:dyDescent="0.25">
      <c r="A599" s="64"/>
      <c r="C599" s="49" t="s">
        <v>784</v>
      </c>
      <c r="D599" s="49"/>
      <c r="E599" s="84">
        <v>1</v>
      </c>
      <c r="G599" s="83">
        <f>H585+H589+H594</f>
        <v>22893.39</v>
      </c>
      <c r="H599" s="33">
        <f>ROUND(E599*G599,2)</f>
        <v>22893.39</v>
      </c>
    </row>
    <row r="600" spans="1:9" ht="20.100000000000001" hidden="1" customHeight="1" outlineLevel="1" x14ac:dyDescent="0.25">
      <c r="A600" s="60"/>
      <c r="B600" s="12"/>
      <c r="C600" s="45"/>
      <c r="D600" s="45"/>
      <c r="E600" s="34"/>
      <c r="F600" s="12"/>
      <c r="G600" s="34"/>
      <c r="H600" s="30"/>
    </row>
    <row r="601" spans="1:9" ht="20.100000000000001" hidden="1" customHeight="1" outlineLevel="1" x14ac:dyDescent="0.25">
      <c r="A601" s="64"/>
      <c r="C601" s="49" t="s">
        <v>785</v>
      </c>
      <c r="D601" s="49"/>
      <c r="E601" s="84">
        <v>1</v>
      </c>
      <c r="G601" s="83">
        <f>H433+H446+H459+H478+H495+H514+H542+H548+H563+H584</f>
        <v>396759.75</v>
      </c>
      <c r="H601" s="33">
        <f>ROUND(E601*G601,2)</f>
        <v>396759.75</v>
      </c>
    </row>
    <row r="602" spans="1:9" ht="20.100000000000001" hidden="1" customHeight="1" outlineLevel="1" x14ac:dyDescent="0.25">
      <c r="A602" s="60"/>
      <c r="B602" s="12"/>
      <c r="C602" s="45"/>
      <c r="D602" s="45"/>
      <c r="E602" s="34"/>
      <c r="F602" s="12"/>
      <c r="G602" s="34"/>
      <c r="H602" s="30"/>
    </row>
    <row r="603" spans="1:9" ht="20.100000000000001" hidden="1" customHeight="1" outlineLevel="1" x14ac:dyDescent="0.25">
      <c r="A603" s="64"/>
      <c r="C603" s="49" t="s">
        <v>786</v>
      </c>
      <c r="D603" s="49"/>
      <c r="E603" s="84">
        <v>1</v>
      </c>
      <c r="G603" s="83">
        <f>H224+H432</f>
        <v>726174.21</v>
      </c>
      <c r="H603" s="33">
        <f>ROUND(E603*G603,2)</f>
        <v>726174.21</v>
      </c>
    </row>
    <row r="604" spans="1:9" ht="20.100000000000001" hidden="1" customHeight="1" outlineLevel="1" x14ac:dyDescent="0.25">
      <c r="A604" s="60"/>
      <c r="B604" s="12"/>
      <c r="C604" s="45"/>
      <c r="D604" s="45"/>
      <c r="E604" s="34"/>
      <c r="F604" s="12"/>
      <c r="G604" s="34"/>
      <c r="H604" s="30"/>
    </row>
    <row r="605" spans="1:9" ht="20.100000000000001" hidden="1" customHeight="1" outlineLevel="1" x14ac:dyDescent="0.25">
      <c r="A605" s="64"/>
      <c r="C605" s="49" t="s">
        <v>787</v>
      </c>
      <c r="D605" s="49"/>
      <c r="E605" s="84">
        <v>1</v>
      </c>
      <c r="G605" s="83">
        <f>H38+H223</f>
        <v>1150525.95</v>
      </c>
      <c r="H605" s="33">
        <f>ROUND(E605*G605,2)</f>
        <v>1150525.95</v>
      </c>
    </row>
    <row r="606" spans="1:9" ht="20.100000000000001" hidden="1" customHeight="1" outlineLevel="1" x14ac:dyDescent="0.25">
      <c r="A606" s="60"/>
      <c r="B606" s="12"/>
      <c r="C606" s="45"/>
      <c r="D606" s="45"/>
      <c r="E606" s="34"/>
      <c r="F606" s="12"/>
      <c r="G606" s="34"/>
      <c r="H606" s="30"/>
    </row>
    <row r="607" spans="1:9" ht="20.100000000000001" customHeight="1" collapsed="1" x14ac:dyDescent="0.25">
      <c r="A607" s="57" t="s">
        <v>788</v>
      </c>
      <c r="B607" s="16" t="s">
        <v>9</v>
      </c>
      <c r="C607" s="41" t="s">
        <v>789</v>
      </c>
      <c r="D607" s="41" t="s">
        <v>1342</v>
      </c>
      <c r="E607" s="76">
        <f>E713</f>
        <v>1</v>
      </c>
      <c r="F607" s="16" t="s">
        <v>10</v>
      </c>
      <c r="G607" s="76">
        <f>G713</f>
        <v>110087.51</v>
      </c>
      <c r="H607" s="27">
        <f>H713</f>
        <v>110087.51</v>
      </c>
      <c r="I607" s="99">
        <f>+TERMINACIONES!H607+'OBRA GRIS'!H607</f>
        <v>110087.51</v>
      </c>
    </row>
    <row r="608" spans="1:9" ht="20.100000000000001" customHeight="1" x14ac:dyDescent="0.25">
      <c r="A608" s="58"/>
      <c r="B608" s="5" t="s">
        <v>9</v>
      </c>
      <c r="C608" s="42" t="s">
        <v>790</v>
      </c>
      <c r="D608" s="42" t="s">
        <v>1476</v>
      </c>
      <c r="E608" s="77">
        <f>E687</f>
        <v>1</v>
      </c>
      <c r="F608" s="5" t="s">
        <v>10</v>
      </c>
      <c r="G608" s="77">
        <f>G687</f>
        <v>72853.67</v>
      </c>
      <c r="H608" s="28">
        <f>H687</f>
        <v>72853.67</v>
      </c>
    </row>
    <row r="609" spans="1:8" ht="20.100000000000001" customHeight="1" x14ac:dyDescent="0.25">
      <c r="A609" s="61"/>
      <c r="B609" s="17" t="s">
        <v>9</v>
      </c>
      <c r="C609" s="46" t="s">
        <v>790</v>
      </c>
      <c r="D609" s="42" t="s">
        <v>1343</v>
      </c>
      <c r="E609" s="80">
        <f>E656</f>
        <v>1</v>
      </c>
      <c r="F609" s="17" t="s">
        <v>10</v>
      </c>
      <c r="G609" s="80">
        <f>G656</f>
        <v>69031.679999999993</v>
      </c>
      <c r="H609" s="31">
        <f>H656</f>
        <v>69031.679999999993</v>
      </c>
    </row>
    <row r="610" spans="1:8" ht="20.100000000000001" customHeight="1" x14ac:dyDescent="0.25">
      <c r="A610" s="62" t="s">
        <v>791</v>
      </c>
      <c r="B610" s="7" t="s">
        <v>9</v>
      </c>
      <c r="C610" s="47" t="s">
        <v>792</v>
      </c>
      <c r="D610" s="47" t="s">
        <v>1344</v>
      </c>
      <c r="E610" s="81">
        <f>E619</f>
        <v>1</v>
      </c>
      <c r="F610" s="7" t="s">
        <v>10</v>
      </c>
      <c r="G610" s="81">
        <f>G619</f>
        <v>10330.39</v>
      </c>
      <c r="H610" s="21">
        <f>H619</f>
        <v>10330.39</v>
      </c>
    </row>
    <row r="611" spans="1:8" ht="20.100000000000001" customHeight="1" x14ac:dyDescent="0.25">
      <c r="A611" s="59" t="s">
        <v>793</v>
      </c>
      <c r="B611" s="3" t="s">
        <v>17</v>
      </c>
      <c r="C611" s="43" t="s">
        <v>794</v>
      </c>
      <c r="D611" s="43" t="s">
        <v>1345</v>
      </c>
      <c r="E611" s="78">
        <v>98.56</v>
      </c>
      <c r="F611" s="3" t="s">
        <v>70</v>
      </c>
      <c r="G611" s="78">
        <v>33.47</v>
      </c>
      <c r="H611" s="20">
        <f t="shared" ref="H611:H619" si="23">ROUND(E611*G611,2)</f>
        <v>3298.8</v>
      </c>
    </row>
    <row r="612" spans="1:8" ht="20.100000000000001" customHeight="1" x14ac:dyDescent="0.25">
      <c r="A612" s="59" t="s">
        <v>795</v>
      </c>
      <c r="B612" s="3" t="s">
        <v>17</v>
      </c>
      <c r="C612" s="43" t="s">
        <v>796</v>
      </c>
      <c r="D612" s="43" t="s">
        <v>1346</v>
      </c>
      <c r="E612" s="78">
        <v>17.86</v>
      </c>
      <c r="F612" s="3" t="s">
        <v>70</v>
      </c>
      <c r="G612" s="78">
        <v>33.47</v>
      </c>
      <c r="H612" s="20">
        <f t="shared" si="23"/>
        <v>597.77</v>
      </c>
    </row>
    <row r="613" spans="1:8" ht="20.100000000000001" customHeight="1" x14ac:dyDescent="0.25">
      <c r="A613" s="59" t="s">
        <v>797</v>
      </c>
      <c r="B613" s="3" t="s">
        <v>17</v>
      </c>
      <c r="C613" s="43" t="s">
        <v>798</v>
      </c>
      <c r="D613" s="43" t="s">
        <v>1347</v>
      </c>
      <c r="E613" s="78">
        <v>85.8</v>
      </c>
      <c r="F613" s="3" t="s">
        <v>75</v>
      </c>
      <c r="G613" s="78">
        <v>17.46</v>
      </c>
      <c r="H613" s="20">
        <f t="shared" si="23"/>
        <v>1498.07</v>
      </c>
    </row>
    <row r="614" spans="1:8" ht="20.100000000000001" customHeight="1" x14ac:dyDescent="0.25">
      <c r="A614" s="59" t="s">
        <v>799</v>
      </c>
      <c r="B614" s="3" t="s">
        <v>17</v>
      </c>
      <c r="C614" s="43" t="s">
        <v>800</v>
      </c>
      <c r="D614" s="43" t="s">
        <v>1348</v>
      </c>
      <c r="E614" s="78">
        <v>48.84</v>
      </c>
      <c r="F614" s="3" t="s">
        <v>54</v>
      </c>
      <c r="G614" s="78">
        <v>22.79</v>
      </c>
      <c r="H614" s="20">
        <f t="shared" si="23"/>
        <v>1113.06</v>
      </c>
    </row>
    <row r="615" spans="1:8" ht="20.100000000000001" customHeight="1" x14ac:dyDescent="0.25">
      <c r="A615" s="59" t="s">
        <v>801</v>
      </c>
      <c r="B615" s="3" t="s">
        <v>17</v>
      </c>
      <c r="C615" s="43" t="s">
        <v>802</v>
      </c>
      <c r="D615" s="98" t="s">
        <v>1350</v>
      </c>
      <c r="E615" s="78">
        <v>80.17</v>
      </c>
      <c r="F615" s="3" t="s">
        <v>54</v>
      </c>
      <c r="G615" s="78">
        <v>22.79</v>
      </c>
      <c r="H615" s="20">
        <f t="shared" si="23"/>
        <v>1827.07</v>
      </c>
    </row>
    <row r="616" spans="1:8" ht="20.100000000000001" customHeight="1" x14ac:dyDescent="0.25">
      <c r="A616" s="59" t="s">
        <v>803</v>
      </c>
      <c r="B616" s="3" t="s">
        <v>17</v>
      </c>
      <c r="C616" s="43" t="s">
        <v>804</v>
      </c>
      <c r="D616" s="43" t="s">
        <v>1349</v>
      </c>
      <c r="E616" s="78">
        <v>275.91000000000003</v>
      </c>
      <c r="F616" s="3" t="s">
        <v>18</v>
      </c>
      <c r="G616" s="78">
        <v>2.65</v>
      </c>
      <c r="H616" s="20">
        <f t="shared" si="23"/>
        <v>731.16</v>
      </c>
    </row>
    <row r="617" spans="1:8" ht="20.100000000000001" customHeight="1" x14ac:dyDescent="0.25">
      <c r="A617" s="59" t="s">
        <v>805</v>
      </c>
      <c r="B617" s="3" t="s">
        <v>17</v>
      </c>
      <c r="C617" s="43" t="s">
        <v>81</v>
      </c>
      <c r="D617" s="43" t="s">
        <v>1060</v>
      </c>
      <c r="E617" s="78">
        <v>100.15</v>
      </c>
      <c r="F617" s="3" t="s">
        <v>80</v>
      </c>
      <c r="G617" s="78">
        <v>8.08</v>
      </c>
      <c r="H617" s="20">
        <f t="shared" si="23"/>
        <v>809.21</v>
      </c>
    </row>
    <row r="618" spans="1:8" ht="20.100000000000001" customHeight="1" x14ac:dyDescent="0.25">
      <c r="A618" s="59" t="s">
        <v>806</v>
      </c>
      <c r="B618" s="3" t="s">
        <v>17</v>
      </c>
      <c r="C618" s="43" t="s">
        <v>19</v>
      </c>
      <c r="D618" s="43" t="s">
        <v>1039</v>
      </c>
      <c r="E618" s="78">
        <v>275.91000000000003</v>
      </c>
      <c r="F618" s="3" t="s">
        <v>18</v>
      </c>
      <c r="G618" s="78">
        <v>1.65</v>
      </c>
      <c r="H618" s="20">
        <f t="shared" si="23"/>
        <v>455.25</v>
      </c>
    </row>
    <row r="619" spans="1:8" ht="20.100000000000001" customHeight="1" x14ac:dyDescent="0.25">
      <c r="A619" s="52"/>
      <c r="B619" s="9"/>
      <c r="C619" s="44" t="s">
        <v>807</v>
      </c>
      <c r="D619" s="44" t="s">
        <v>807</v>
      </c>
      <c r="E619" s="78">
        <v>1</v>
      </c>
      <c r="F619" s="9"/>
      <c r="G619" s="79">
        <f>SUM(H611:H618)</f>
        <v>10330.39</v>
      </c>
      <c r="H619" s="29">
        <f t="shared" si="23"/>
        <v>10330.39</v>
      </c>
    </row>
    <row r="620" spans="1:8" ht="20.100000000000001" customHeight="1" x14ac:dyDescent="0.25">
      <c r="A620" s="60"/>
      <c r="B620" s="12"/>
      <c r="C620" s="45"/>
      <c r="D620" s="45"/>
      <c r="E620" s="34"/>
      <c r="F620" s="12"/>
      <c r="G620" s="34"/>
      <c r="H620" s="30"/>
    </row>
    <row r="621" spans="1:8" ht="20.100000000000001" customHeight="1" x14ac:dyDescent="0.25">
      <c r="A621" s="62" t="s">
        <v>808</v>
      </c>
      <c r="B621" s="7" t="s">
        <v>9</v>
      </c>
      <c r="C621" s="47" t="s">
        <v>809</v>
      </c>
      <c r="D621" s="93" t="s">
        <v>1354</v>
      </c>
      <c r="E621" s="81">
        <f>E627</f>
        <v>1</v>
      </c>
      <c r="F621" s="7" t="s">
        <v>10</v>
      </c>
      <c r="G621" s="81">
        <f>G627</f>
        <v>23413.59</v>
      </c>
      <c r="H621" s="21">
        <f>H627</f>
        <v>23413.59</v>
      </c>
    </row>
    <row r="622" spans="1:8" ht="20.100000000000001" customHeight="1" x14ac:dyDescent="0.25">
      <c r="A622" s="59" t="s">
        <v>810</v>
      </c>
      <c r="B622" s="3" t="s">
        <v>17</v>
      </c>
      <c r="C622" s="43" t="s">
        <v>811</v>
      </c>
      <c r="D622" s="43" t="s">
        <v>1351</v>
      </c>
      <c r="E622" s="78">
        <v>19.36</v>
      </c>
      <c r="F622" s="3" t="s">
        <v>54</v>
      </c>
      <c r="G622" s="78">
        <v>357.47</v>
      </c>
      <c r="H622" s="20">
        <f t="shared" ref="H622:H627" si="24">ROUND(E622*G622,2)</f>
        <v>6920.62</v>
      </c>
    </row>
    <row r="623" spans="1:8" ht="20.100000000000001" customHeight="1" x14ac:dyDescent="0.25">
      <c r="A623" s="59" t="s">
        <v>812</v>
      </c>
      <c r="B623" s="3" t="s">
        <v>17</v>
      </c>
      <c r="C623" s="43" t="s">
        <v>813</v>
      </c>
      <c r="D623" s="43" t="s">
        <v>1352</v>
      </c>
      <c r="E623" s="78">
        <v>25.27</v>
      </c>
      <c r="F623" s="3" t="s">
        <v>54</v>
      </c>
      <c r="G623" s="78">
        <v>529.51</v>
      </c>
      <c r="H623" s="20">
        <f t="shared" si="24"/>
        <v>13380.72</v>
      </c>
    </row>
    <row r="624" spans="1:8" ht="20.100000000000001" customHeight="1" x14ac:dyDescent="0.25">
      <c r="A624" s="59" t="s">
        <v>814</v>
      </c>
      <c r="B624" s="3" t="s">
        <v>17</v>
      </c>
      <c r="C624" s="43" t="s">
        <v>815</v>
      </c>
      <c r="D624" s="43" t="s">
        <v>1353</v>
      </c>
      <c r="E624" s="78">
        <v>6.06</v>
      </c>
      <c r="F624" s="3" t="s">
        <v>54</v>
      </c>
      <c r="G624" s="78">
        <v>316.66000000000003</v>
      </c>
      <c r="H624" s="20">
        <f t="shared" si="24"/>
        <v>1918.96</v>
      </c>
    </row>
    <row r="625" spans="1:8" ht="20.100000000000001" customHeight="1" x14ac:dyDescent="0.25">
      <c r="A625" s="59" t="s">
        <v>816</v>
      </c>
      <c r="B625" s="3" t="s">
        <v>17</v>
      </c>
      <c r="C625" s="43" t="s">
        <v>157</v>
      </c>
      <c r="D625" s="43" t="s">
        <v>1101</v>
      </c>
      <c r="E625" s="78">
        <v>0.56000000000000005</v>
      </c>
      <c r="F625" s="3" t="s">
        <v>54</v>
      </c>
      <c r="G625" s="78">
        <v>762.71</v>
      </c>
      <c r="H625" s="20">
        <f t="shared" si="24"/>
        <v>427.12</v>
      </c>
    </row>
    <row r="626" spans="1:8" ht="20.100000000000001" customHeight="1" x14ac:dyDescent="0.25">
      <c r="A626" s="59" t="s">
        <v>817</v>
      </c>
      <c r="B626" s="3" t="s">
        <v>17</v>
      </c>
      <c r="C626" s="43" t="s">
        <v>124</v>
      </c>
      <c r="D626" s="43" t="s">
        <v>1085</v>
      </c>
      <c r="E626" s="78">
        <v>3.37</v>
      </c>
      <c r="F626" s="3" t="s">
        <v>54</v>
      </c>
      <c r="G626" s="78">
        <v>227.35</v>
      </c>
      <c r="H626" s="20">
        <f t="shared" si="24"/>
        <v>766.17</v>
      </c>
    </row>
    <row r="627" spans="1:8" ht="20.100000000000001" customHeight="1" x14ac:dyDescent="0.25">
      <c r="A627" s="52"/>
      <c r="B627" s="9"/>
      <c r="C627" s="44" t="s">
        <v>818</v>
      </c>
      <c r="D627" s="44" t="s">
        <v>818</v>
      </c>
      <c r="E627" s="78">
        <v>1</v>
      </c>
      <c r="F627" s="9"/>
      <c r="G627" s="79">
        <f>SUM(H622:H626)</f>
        <v>23413.59</v>
      </c>
      <c r="H627" s="29">
        <f t="shared" si="24"/>
        <v>23413.59</v>
      </c>
    </row>
    <row r="628" spans="1:8" ht="20.100000000000001" customHeight="1" x14ac:dyDescent="0.25">
      <c r="A628" s="60"/>
      <c r="B628" s="12"/>
      <c r="C628" s="45"/>
      <c r="D628" s="45"/>
      <c r="E628" s="34"/>
      <c r="F628" s="12"/>
      <c r="G628" s="34"/>
      <c r="H628" s="30"/>
    </row>
    <row r="629" spans="1:8" ht="20.100000000000001" customHeight="1" x14ac:dyDescent="0.25">
      <c r="A629" s="62" t="s">
        <v>819</v>
      </c>
      <c r="B629" s="7" t="s">
        <v>9</v>
      </c>
      <c r="C629" s="47" t="s">
        <v>164</v>
      </c>
      <c r="D629" s="93" t="s">
        <v>1151</v>
      </c>
      <c r="E629" s="81">
        <f>E632</f>
        <v>1</v>
      </c>
      <c r="F629" s="7" t="s">
        <v>10</v>
      </c>
      <c r="G629" s="81">
        <f>G632</f>
        <v>2479.14</v>
      </c>
      <c r="H629" s="21">
        <f>H632</f>
        <v>2479.14</v>
      </c>
    </row>
    <row r="630" spans="1:8" ht="20.100000000000001" customHeight="1" x14ac:dyDescent="0.25">
      <c r="A630" s="59" t="s">
        <v>820</v>
      </c>
      <c r="B630" s="3" t="s">
        <v>17</v>
      </c>
      <c r="C630" s="43" t="s">
        <v>821</v>
      </c>
      <c r="D630" s="43" t="s">
        <v>1356</v>
      </c>
      <c r="E630" s="78">
        <v>7.48</v>
      </c>
      <c r="F630" s="3" t="s">
        <v>18</v>
      </c>
      <c r="G630" s="78">
        <v>40.200000000000003</v>
      </c>
      <c r="H630" s="20">
        <f>ROUND(E630*G630,2)</f>
        <v>300.7</v>
      </c>
    </row>
    <row r="631" spans="1:8" ht="20.100000000000001" customHeight="1" x14ac:dyDescent="0.25">
      <c r="A631" s="59" t="s">
        <v>822</v>
      </c>
      <c r="B631" s="3" t="s">
        <v>17</v>
      </c>
      <c r="C631" s="43" t="s">
        <v>823</v>
      </c>
      <c r="D631" s="43" t="s">
        <v>1355</v>
      </c>
      <c r="E631" s="78">
        <v>54.19</v>
      </c>
      <c r="F631" s="3" t="s">
        <v>18</v>
      </c>
      <c r="G631" s="78">
        <v>40.200000000000003</v>
      </c>
      <c r="H631" s="20">
        <f>ROUND(E631*G631,2)</f>
        <v>2178.44</v>
      </c>
    </row>
    <row r="632" spans="1:8" ht="20.100000000000001" customHeight="1" x14ac:dyDescent="0.25">
      <c r="A632" s="52"/>
      <c r="B632" s="9"/>
      <c r="C632" s="44" t="s">
        <v>824</v>
      </c>
      <c r="D632" s="44" t="s">
        <v>824</v>
      </c>
      <c r="E632" s="78">
        <v>1</v>
      </c>
      <c r="F632" s="9"/>
      <c r="G632" s="79">
        <f>SUM(H630:H631)</f>
        <v>2479.14</v>
      </c>
      <c r="H632" s="29">
        <f>ROUND(E632*G632,2)</f>
        <v>2479.14</v>
      </c>
    </row>
    <row r="633" spans="1:8" ht="20.100000000000001" customHeight="1" x14ac:dyDescent="0.25">
      <c r="A633" s="60"/>
      <c r="B633" s="12"/>
      <c r="C633" s="45"/>
      <c r="D633" s="45"/>
      <c r="E633" s="34"/>
      <c r="F633" s="12"/>
      <c r="G633" s="34"/>
      <c r="H633" s="30"/>
    </row>
    <row r="634" spans="1:8" ht="20.100000000000001" customHeight="1" x14ac:dyDescent="0.25">
      <c r="A634" s="62" t="s">
        <v>825</v>
      </c>
      <c r="B634" s="7" t="s">
        <v>9</v>
      </c>
      <c r="C634" s="47" t="s">
        <v>826</v>
      </c>
      <c r="D634" s="93" t="s">
        <v>1357</v>
      </c>
      <c r="E634" s="81">
        <f>E643</f>
        <v>1</v>
      </c>
      <c r="F634" s="7" t="s">
        <v>10</v>
      </c>
      <c r="G634" s="81">
        <f>G643</f>
        <v>9091.2900000000009</v>
      </c>
      <c r="H634" s="21">
        <f>H643</f>
        <v>9091.2900000000009</v>
      </c>
    </row>
    <row r="635" spans="1:8" ht="20.100000000000001" customHeight="1" x14ac:dyDescent="0.25">
      <c r="A635" s="59" t="s">
        <v>827</v>
      </c>
      <c r="B635" s="3" t="s">
        <v>17</v>
      </c>
      <c r="C635" s="43" t="s">
        <v>828</v>
      </c>
      <c r="D635" s="43" t="s">
        <v>1358</v>
      </c>
      <c r="E635" s="78">
        <v>239.14</v>
      </c>
      <c r="F635" s="3" t="s">
        <v>35</v>
      </c>
      <c r="G635" s="78">
        <v>4.1900000000000004</v>
      </c>
      <c r="H635" s="20">
        <f t="shared" ref="H635:H643" si="25">ROUND(E635*G635,2)</f>
        <v>1002</v>
      </c>
    </row>
    <row r="636" spans="1:8" ht="20.100000000000001" customHeight="1" x14ac:dyDescent="0.25">
      <c r="A636" s="59" t="s">
        <v>829</v>
      </c>
      <c r="B636" s="3" t="s">
        <v>17</v>
      </c>
      <c r="C636" s="43" t="s">
        <v>830</v>
      </c>
      <c r="D636" s="43" t="s">
        <v>1174</v>
      </c>
      <c r="E636" s="78">
        <v>119.57</v>
      </c>
      <c r="F636" s="3" t="s">
        <v>35</v>
      </c>
      <c r="G636" s="78">
        <v>13.33</v>
      </c>
      <c r="H636" s="20">
        <f t="shared" si="25"/>
        <v>1593.87</v>
      </c>
    </row>
    <row r="637" spans="1:8" ht="20.100000000000001" customHeight="1" x14ac:dyDescent="0.25">
      <c r="A637" s="59" t="s">
        <v>831</v>
      </c>
      <c r="B637" s="3" t="s">
        <v>17</v>
      </c>
      <c r="C637" s="43" t="s">
        <v>832</v>
      </c>
      <c r="D637" s="43" t="s">
        <v>1359</v>
      </c>
      <c r="E637" s="78">
        <v>194.26</v>
      </c>
      <c r="F637" s="3" t="s">
        <v>277</v>
      </c>
      <c r="G637" s="78">
        <v>4.41</v>
      </c>
      <c r="H637" s="20">
        <f t="shared" si="25"/>
        <v>856.69</v>
      </c>
    </row>
    <row r="638" spans="1:8" ht="20.100000000000001" customHeight="1" x14ac:dyDescent="0.25">
      <c r="A638" s="59" t="s">
        <v>833</v>
      </c>
      <c r="B638" s="3" t="s">
        <v>17</v>
      </c>
      <c r="C638" s="43" t="s">
        <v>834</v>
      </c>
      <c r="D638" s="43" t="s">
        <v>1360</v>
      </c>
      <c r="E638" s="78">
        <v>61.38</v>
      </c>
      <c r="F638" s="3" t="s">
        <v>277</v>
      </c>
      <c r="G638" s="78">
        <v>6.54</v>
      </c>
      <c r="H638" s="20">
        <f t="shared" si="25"/>
        <v>401.43</v>
      </c>
    </row>
    <row r="639" spans="1:8" ht="20.100000000000001" customHeight="1" x14ac:dyDescent="0.25">
      <c r="A639" s="59" t="s">
        <v>835</v>
      </c>
      <c r="B639" s="3" t="s">
        <v>17</v>
      </c>
      <c r="C639" s="43" t="s">
        <v>836</v>
      </c>
      <c r="D639" s="43" t="s">
        <v>1187</v>
      </c>
      <c r="E639" s="78">
        <v>115.92</v>
      </c>
      <c r="F639" s="3" t="s">
        <v>35</v>
      </c>
      <c r="G639" s="78">
        <v>17.93</v>
      </c>
      <c r="H639" s="20">
        <f t="shared" si="25"/>
        <v>2078.4499999999998</v>
      </c>
    </row>
    <row r="640" spans="1:8" ht="20.100000000000001" customHeight="1" x14ac:dyDescent="0.25">
      <c r="A640" s="59" t="s">
        <v>837</v>
      </c>
      <c r="B640" s="3" t="s">
        <v>17</v>
      </c>
      <c r="C640" s="43" t="s">
        <v>838</v>
      </c>
      <c r="D640" s="43" t="s">
        <v>1361</v>
      </c>
      <c r="E640" s="78">
        <v>139.5</v>
      </c>
      <c r="F640" s="3" t="s">
        <v>277</v>
      </c>
      <c r="G640" s="78">
        <v>3.84</v>
      </c>
      <c r="H640" s="20">
        <f t="shared" si="25"/>
        <v>535.67999999999995</v>
      </c>
    </row>
    <row r="641" spans="1:8" ht="20.100000000000001" customHeight="1" x14ac:dyDescent="0.25">
      <c r="A641" s="59" t="s">
        <v>839</v>
      </c>
      <c r="B641" s="3" t="s">
        <v>17</v>
      </c>
      <c r="C641" s="43" t="s">
        <v>840</v>
      </c>
      <c r="D641" s="43" t="s">
        <v>1362</v>
      </c>
      <c r="E641" s="78">
        <v>56.3</v>
      </c>
      <c r="F641" s="3" t="s">
        <v>277</v>
      </c>
      <c r="G641" s="78">
        <v>22.64</v>
      </c>
      <c r="H641" s="20">
        <f t="shared" si="25"/>
        <v>1274.6300000000001</v>
      </c>
    </row>
    <row r="642" spans="1:8" ht="20.100000000000001" customHeight="1" x14ac:dyDescent="0.25">
      <c r="A642" s="59" t="s">
        <v>841</v>
      </c>
      <c r="B642" s="3" t="s">
        <v>17</v>
      </c>
      <c r="C642" s="43" t="s">
        <v>842</v>
      </c>
      <c r="D642" s="43" t="s">
        <v>1363</v>
      </c>
      <c r="E642" s="78">
        <v>15.2</v>
      </c>
      <c r="F642" s="3" t="s">
        <v>277</v>
      </c>
      <c r="G642" s="78">
        <v>88.72</v>
      </c>
      <c r="H642" s="20">
        <f t="shared" si="25"/>
        <v>1348.54</v>
      </c>
    </row>
    <row r="643" spans="1:8" ht="20.100000000000001" customHeight="1" x14ac:dyDescent="0.25">
      <c r="A643" s="52"/>
      <c r="B643" s="9"/>
      <c r="C643" s="44" t="s">
        <v>843</v>
      </c>
      <c r="D643" s="44" t="s">
        <v>843</v>
      </c>
      <c r="E643" s="78">
        <v>1</v>
      </c>
      <c r="F643" s="9"/>
      <c r="G643" s="79">
        <f>SUM(H635:H642)</f>
        <v>9091.2900000000009</v>
      </c>
      <c r="H643" s="29">
        <f t="shared" si="25"/>
        <v>9091.2900000000009</v>
      </c>
    </row>
    <row r="644" spans="1:8" ht="20.100000000000001" customHeight="1" x14ac:dyDescent="0.25">
      <c r="A644" s="60"/>
      <c r="B644" s="12"/>
      <c r="C644" s="45"/>
      <c r="D644" s="45"/>
      <c r="E644" s="34"/>
      <c r="F644" s="12"/>
      <c r="G644" s="34"/>
      <c r="H644" s="30"/>
    </row>
    <row r="645" spans="1:8" ht="20.100000000000001" customHeight="1" x14ac:dyDescent="0.25">
      <c r="A645" s="62" t="s">
        <v>844</v>
      </c>
      <c r="B645" s="7" t="s">
        <v>9</v>
      </c>
      <c r="C645" s="47" t="s">
        <v>845</v>
      </c>
      <c r="D645" s="47" t="s">
        <v>1364</v>
      </c>
      <c r="E645" s="81">
        <f>E649</f>
        <v>1</v>
      </c>
      <c r="F645" s="7" t="s">
        <v>10</v>
      </c>
      <c r="G645" s="81">
        <f>G649</f>
        <v>19487.419999999998</v>
      </c>
      <c r="H645" s="21">
        <f>H649</f>
        <v>19487.419999999998</v>
      </c>
    </row>
    <row r="646" spans="1:8" ht="20.100000000000001" customHeight="1" x14ac:dyDescent="0.25">
      <c r="A646" s="59" t="s">
        <v>846</v>
      </c>
      <c r="B646" s="3" t="s">
        <v>17</v>
      </c>
      <c r="C646" s="43" t="s">
        <v>847</v>
      </c>
      <c r="D646" s="91" t="s">
        <v>1365</v>
      </c>
      <c r="E646" s="78">
        <v>58.2</v>
      </c>
      <c r="F646" s="3" t="s">
        <v>277</v>
      </c>
      <c r="G646" s="78">
        <v>68.09</v>
      </c>
      <c r="H646" s="20">
        <f>ROUND(E646*G646,2)</f>
        <v>3962.84</v>
      </c>
    </row>
    <row r="647" spans="1:8" ht="20.100000000000001" customHeight="1" x14ac:dyDescent="0.25">
      <c r="A647" s="59" t="s">
        <v>848</v>
      </c>
      <c r="B647" s="3" t="s">
        <v>17</v>
      </c>
      <c r="C647" s="43" t="s">
        <v>849</v>
      </c>
      <c r="D647" s="91" t="s">
        <v>1366</v>
      </c>
      <c r="E647" s="78">
        <v>61.8</v>
      </c>
      <c r="F647" s="3" t="s">
        <v>277</v>
      </c>
      <c r="G647" s="78">
        <v>68.5</v>
      </c>
      <c r="H647" s="20">
        <f>ROUND(E647*G647,2)</f>
        <v>4233.3</v>
      </c>
    </row>
    <row r="648" spans="1:8" ht="20.100000000000001" customHeight="1" x14ac:dyDescent="0.25">
      <c r="A648" s="59" t="s">
        <v>850</v>
      </c>
      <c r="B648" s="3" t="s">
        <v>17</v>
      </c>
      <c r="C648" s="43" t="s">
        <v>851</v>
      </c>
      <c r="D648" s="91" t="s">
        <v>1367</v>
      </c>
      <c r="E648" s="78">
        <v>246.75</v>
      </c>
      <c r="F648" s="3" t="s">
        <v>35</v>
      </c>
      <c r="G648" s="78">
        <v>45.76</v>
      </c>
      <c r="H648" s="20">
        <f>ROUND(E648*G648,2)</f>
        <v>11291.28</v>
      </c>
    </row>
    <row r="649" spans="1:8" ht="20.100000000000001" customHeight="1" x14ac:dyDescent="0.25">
      <c r="A649" s="52"/>
      <c r="B649" s="9"/>
      <c r="C649" s="44" t="s">
        <v>852</v>
      </c>
      <c r="D649" s="44" t="s">
        <v>852</v>
      </c>
      <c r="E649" s="78">
        <v>1</v>
      </c>
      <c r="F649" s="9"/>
      <c r="G649" s="79">
        <f>SUM(H646:H648)</f>
        <v>19487.419999999998</v>
      </c>
      <c r="H649" s="29">
        <f>ROUND(E649*G649,2)</f>
        <v>19487.419999999998</v>
      </c>
    </row>
    <row r="650" spans="1:8" ht="20.100000000000001" customHeight="1" x14ac:dyDescent="0.25">
      <c r="A650" s="60"/>
      <c r="B650" s="12"/>
      <c r="C650" s="45"/>
      <c r="D650" s="45"/>
      <c r="E650" s="34"/>
      <c r="F650" s="12"/>
      <c r="G650" s="34"/>
      <c r="H650" s="30"/>
    </row>
    <row r="651" spans="1:8" ht="20.100000000000001" customHeight="1" x14ac:dyDescent="0.25">
      <c r="A651" s="62" t="s">
        <v>853</v>
      </c>
      <c r="B651" s="7" t="s">
        <v>9</v>
      </c>
      <c r="C651" s="47" t="s">
        <v>44</v>
      </c>
      <c r="D651" s="93" t="s">
        <v>1049</v>
      </c>
      <c r="E651" s="81">
        <f>E654</f>
        <v>1</v>
      </c>
      <c r="F651" s="7" t="s">
        <v>10</v>
      </c>
      <c r="G651" s="81">
        <f>G654</f>
        <v>4229.8500000000004</v>
      </c>
      <c r="H651" s="21">
        <f>H654</f>
        <v>4229.8500000000004</v>
      </c>
    </row>
    <row r="652" spans="1:8" ht="20.100000000000001" customHeight="1" x14ac:dyDescent="0.25">
      <c r="A652" s="59" t="s">
        <v>854</v>
      </c>
      <c r="B652" s="3" t="s">
        <v>17</v>
      </c>
      <c r="C652" s="43" t="s">
        <v>855</v>
      </c>
      <c r="D652" s="43" t="s">
        <v>1368</v>
      </c>
      <c r="E652" s="78">
        <v>235.46</v>
      </c>
      <c r="F652" s="3" t="s">
        <v>18</v>
      </c>
      <c r="G652" s="78">
        <v>14.65</v>
      </c>
      <c r="H652" s="20">
        <f>ROUND(E652*G652,2)</f>
        <v>3449.49</v>
      </c>
    </row>
    <row r="653" spans="1:8" ht="20.100000000000001" customHeight="1" x14ac:dyDescent="0.25">
      <c r="A653" s="59" t="s">
        <v>856</v>
      </c>
      <c r="B653" s="3" t="s">
        <v>17</v>
      </c>
      <c r="C653" s="43" t="s">
        <v>857</v>
      </c>
      <c r="D653" s="43" t="s">
        <v>1369</v>
      </c>
      <c r="E653" s="78">
        <v>1</v>
      </c>
      <c r="F653" s="3" t="s">
        <v>26</v>
      </c>
      <c r="G653" s="78">
        <v>780.36</v>
      </c>
      <c r="H653" s="20">
        <f>ROUND(E653*G653,2)</f>
        <v>780.36</v>
      </c>
    </row>
    <row r="654" spans="1:8" ht="20.100000000000001" customHeight="1" x14ac:dyDescent="0.25">
      <c r="A654" s="52"/>
      <c r="B654" s="9"/>
      <c r="C654" s="44" t="s">
        <v>858</v>
      </c>
      <c r="D654" s="44" t="s">
        <v>858</v>
      </c>
      <c r="E654" s="78">
        <v>1</v>
      </c>
      <c r="F654" s="9"/>
      <c r="G654" s="79">
        <f>SUM(H652:H653)</f>
        <v>4229.8500000000004</v>
      </c>
      <c r="H654" s="29">
        <f>ROUND(E654*G654,2)</f>
        <v>4229.8500000000004</v>
      </c>
    </row>
    <row r="655" spans="1:8" ht="20.100000000000001" customHeight="1" x14ac:dyDescent="0.25">
      <c r="A655" s="60"/>
      <c r="B655" s="12"/>
      <c r="C655" s="45"/>
      <c r="D655" s="45"/>
      <c r="E655" s="34"/>
      <c r="F655" s="12"/>
      <c r="G655" s="34"/>
      <c r="H655" s="30"/>
    </row>
    <row r="656" spans="1:8" s="8" customFormat="1" ht="20.100000000000001" customHeight="1" x14ac:dyDescent="0.25">
      <c r="A656" s="52"/>
      <c r="B656" s="9"/>
      <c r="C656" s="44" t="s">
        <v>859</v>
      </c>
      <c r="D656" s="44"/>
      <c r="E656" s="78">
        <v>1</v>
      </c>
      <c r="F656" s="9"/>
      <c r="G656" s="79">
        <f>H610+H621+H629+H634+H645+H651</f>
        <v>69031.679999999993</v>
      </c>
      <c r="H656" s="29">
        <f>ROUND(E656*G656,2)</f>
        <v>69031.679999999993</v>
      </c>
    </row>
    <row r="657" spans="1:9" ht="20.100000000000001" customHeight="1" x14ac:dyDescent="0.25">
      <c r="A657" s="60"/>
      <c r="B657" s="12"/>
      <c r="C657" s="45"/>
      <c r="D657" s="45"/>
      <c r="E657" s="34"/>
      <c r="F657" s="12"/>
      <c r="G657" s="34"/>
      <c r="H657" s="30"/>
    </row>
    <row r="658" spans="1:9" ht="20.100000000000001" customHeight="1" x14ac:dyDescent="0.25">
      <c r="A658" s="61"/>
      <c r="B658" s="17" t="s">
        <v>9</v>
      </c>
      <c r="C658" s="46" t="s">
        <v>860</v>
      </c>
      <c r="D658" s="46" t="s">
        <v>1370</v>
      </c>
      <c r="E658" s="80">
        <f>E685</f>
        <v>1</v>
      </c>
      <c r="F658" s="17" t="s">
        <v>10</v>
      </c>
      <c r="G658" s="80">
        <f>G685</f>
        <v>3821.99</v>
      </c>
      <c r="H658" s="31">
        <f>H685</f>
        <v>3821.99</v>
      </c>
      <c r="I658" s="99">
        <f>+TERMINACIONES!H658+'OBRA GRIS'!H658</f>
        <v>3821.99</v>
      </c>
    </row>
    <row r="659" spans="1:9" ht="20.100000000000001" customHeight="1" x14ac:dyDescent="0.25">
      <c r="A659" s="62" t="s">
        <v>861</v>
      </c>
      <c r="B659" s="7" t="s">
        <v>9</v>
      </c>
      <c r="C659" s="47" t="s">
        <v>88</v>
      </c>
      <c r="D659" s="47" t="s">
        <v>1371</v>
      </c>
      <c r="E659" s="81">
        <f>E662</f>
        <v>1</v>
      </c>
      <c r="F659" s="7" t="s">
        <v>10</v>
      </c>
      <c r="G659" s="81">
        <f>G662</f>
        <v>420.08</v>
      </c>
      <c r="H659" s="21">
        <f>H662</f>
        <v>420.08</v>
      </c>
    </row>
    <row r="660" spans="1:9" ht="20.100000000000001" customHeight="1" x14ac:dyDescent="0.25">
      <c r="A660" s="59" t="s">
        <v>862</v>
      </c>
      <c r="B660" s="3" t="s">
        <v>17</v>
      </c>
      <c r="C660" s="43" t="s">
        <v>811</v>
      </c>
      <c r="D660" s="43" t="s">
        <v>1372</v>
      </c>
      <c r="E660" s="78">
        <v>0.13</v>
      </c>
      <c r="F660" s="3" t="s">
        <v>54</v>
      </c>
      <c r="G660" s="78">
        <v>359.2</v>
      </c>
      <c r="H660" s="20">
        <f>ROUND(E660*G660,2)</f>
        <v>46.7</v>
      </c>
    </row>
    <row r="661" spans="1:9" ht="20.100000000000001" customHeight="1" x14ac:dyDescent="0.25">
      <c r="A661" s="59" t="s">
        <v>863</v>
      </c>
      <c r="B661" s="3" t="s">
        <v>17</v>
      </c>
      <c r="C661" s="43" t="s">
        <v>813</v>
      </c>
      <c r="D661" s="43" t="s">
        <v>1352</v>
      </c>
      <c r="E661" s="78">
        <v>0.63</v>
      </c>
      <c r="F661" s="3" t="s">
        <v>54</v>
      </c>
      <c r="G661" s="78">
        <v>592.66999999999996</v>
      </c>
      <c r="H661" s="20">
        <f>ROUND(E661*G661,2)</f>
        <v>373.38</v>
      </c>
    </row>
    <row r="662" spans="1:9" ht="20.100000000000001" customHeight="1" x14ac:dyDescent="0.25">
      <c r="A662" s="52"/>
      <c r="B662" s="9"/>
      <c r="C662" s="44" t="s">
        <v>864</v>
      </c>
      <c r="D662" s="44" t="s">
        <v>864</v>
      </c>
      <c r="E662" s="78">
        <v>1</v>
      </c>
      <c r="F662" s="9"/>
      <c r="G662" s="79">
        <f>SUM(H660:H661)</f>
        <v>420.08</v>
      </c>
      <c r="H662" s="29">
        <f>ROUND(E662*G662,2)</f>
        <v>420.08</v>
      </c>
    </row>
    <row r="663" spans="1:9" ht="20.100000000000001" customHeight="1" x14ac:dyDescent="0.25">
      <c r="A663" s="60"/>
      <c r="B663" s="12"/>
      <c r="C663" s="45"/>
      <c r="D663" s="45"/>
      <c r="E663" s="34"/>
      <c r="F663" s="12"/>
      <c r="G663" s="34"/>
      <c r="H663" s="30"/>
    </row>
    <row r="664" spans="1:9" ht="20.100000000000001" customHeight="1" x14ac:dyDescent="0.25">
      <c r="A664" s="62" t="s">
        <v>865</v>
      </c>
      <c r="B664" s="7" t="s">
        <v>9</v>
      </c>
      <c r="C664" s="47" t="s">
        <v>866</v>
      </c>
      <c r="D664" s="47" t="s">
        <v>1357</v>
      </c>
      <c r="E664" s="81">
        <f>E671</f>
        <v>1</v>
      </c>
      <c r="F664" s="7" t="s">
        <v>10</v>
      </c>
      <c r="G664" s="81">
        <f>G671</f>
        <v>143.19</v>
      </c>
      <c r="H664" s="21">
        <f>H671</f>
        <v>143.19</v>
      </c>
    </row>
    <row r="665" spans="1:9" ht="20.100000000000001" customHeight="1" x14ac:dyDescent="0.25">
      <c r="A665" s="59" t="s">
        <v>867</v>
      </c>
      <c r="B665" s="3" t="s">
        <v>17</v>
      </c>
      <c r="C665" s="43" t="s">
        <v>828</v>
      </c>
      <c r="D665" s="43" t="s">
        <v>1358</v>
      </c>
      <c r="E665" s="78">
        <v>3.64</v>
      </c>
      <c r="F665" s="3" t="s">
        <v>35</v>
      </c>
      <c r="G665" s="78">
        <v>4.1900000000000004</v>
      </c>
      <c r="H665" s="20">
        <f t="shared" ref="H665:H671" si="26">ROUND(E665*G665,2)</f>
        <v>15.25</v>
      </c>
    </row>
    <row r="666" spans="1:9" ht="20.100000000000001" customHeight="1" x14ac:dyDescent="0.25">
      <c r="A666" s="59" t="s">
        <v>868</v>
      </c>
      <c r="B666" s="3" t="s">
        <v>17</v>
      </c>
      <c r="C666" s="43" t="s">
        <v>830</v>
      </c>
      <c r="D666" s="43" t="s">
        <v>1174</v>
      </c>
      <c r="E666" s="78">
        <v>3.64</v>
      </c>
      <c r="F666" s="3" t="s">
        <v>35</v>
      </c>
      <c r="G666" s="78">
        <v>13.33</v>
      </c>
      <c r="H666" s="20">
        <f t="shared" si="26"/>
        <v>48.52</v>
      </c>
    </row>
    <row r="667" spans="1:9" ht="20.100000000000001" customHeight="1" x14ac:dyDescent="0.25">
      <c r="A667" s="59" t="s">
        <v>869</v>
      </c>
      <c r="B667" s="3" t="s">
        <v>17</v>
      </c>
      <c r="C667" s="43" t="s">
        <v>870</v>
      </c>
      <c r="D667" s="43" t="s">
        <v>1359</v>
      </c>
      <c r="E667" s="78">
        <v>6.2</v>
      </c>
      <c r="F667" s="3" t="s">
        <v>277</v>
      </c>
      <c r="G667" s="78">
        <v>4.41</v>
      </c>
      <c r="H667" s="20">
        <f t="shared" si="26"/>
        <v>27.34</v>
      </c>
    </row>
    <row r="668" spans="1:9" ht="20.100000000000001" customHeight="1" x14ac:dyDescent="0.25">
      <c r="A668" s="59" t="s">
        <v>871</v>
      </c>
      <c r="B668" s="3" t="s">
        <v>17</v>
      </c>
      <c r="C668" s="43" t="s">
        <v>872</v>
      </c>
      <c r="D668" s="43" t="s">
        <v>1360</v>
      </c>
      <c r="E668" s="78">
        <v>2.6</v>
      </c>
      <c r="F668" s="3" t="s">
        <v>277</v>
      </c>
      <c r="G668" s="78">
        <v>6.54</v>
      </c>
      <c r="H668" s="20">
        <f t="shared" si="26"/>
        <v>17</v>
      </c>
    </row>
    <row r="669" spans="1:9" ht="20.100000000000001" customHeight="1" x14ac:dyDescent="0.25">
      <c r="A669" s="59" t="s">
        <v>873</v>
      </c>
      <c r="B669" s="3" t="s">
        <v>17</v>
      </c>
      <c r="C669" s="43" t="s">
        <v>874</v>
      </c>
      <c r="D669" s="43" t="s">
        <v>1187</v>
      </c>
      <c r="E669" s="78">
        <v>1.4</v>
      </c>
      <c r="F669" s="3" t="s">
        <v>35</v>
      </c>
      <c r="G669" s="78">
        <v>17.93</v>
      </c>
      <c r="H669" s="20">
        <f t="shared" si="26"/>
        <v>25.1</v>
      </c>
    </row>
    <row r="670" spans="1:9" ht="20.100000000000001" customHeight="1" x14ac:dyDescent="0.25">
      <c r="A670" s="59" t="s">
        <v>875</v>
      </c>
      <c r="B670" s="3" t="s">
        <v>17</v>
      </c>
      <c r="C670" s="43" t="s">
        <v>838</v>
      </c>
      <c r="D670" s="43" t="s">
        <v>1361</v>
      </c>
      <c r="E670" s="78">
        <v>2.6</v>
      </c>
      <c r="F670" s="3" t="s">
        <v>277</v>
      </c>
      <c r="G670" s="78">
        <v>3.84</v>
      </c>
      <c r="H670" s="20">
        <f t="shared" si="26"/>
        <v>9.98</v>
      </c>
    </row>
    <row r="671" spans="1:9" ht="20.100000000000001" customHeight="1" x14ac:dyDescent="0.25">
      <c r="A671" s="52"/>
      <c r="B671" s="9"/>
      <c r="C671" s="44" t="s">
        <v>876</v>
      </c>
      <c r="D671" s="44" t="s">
        <v>876</v>
      </c>
      <c r="E671" s="78">
        <v>1</v>
      </c>
      <c r="F671" s="9"/>
      <c r="G671" s="79">
        <f>SUM(H665:H670)</f>
        <v>143.19</v>
      </c>
      <c r="H671" s="29">
        <f t="shared" si="26"/>
        <v>143.19</v>
      </c>
    </row>
    <row r="672" spans="1:9" ht="20.100000000000001" customHeight="1" x14ac:dyDescent="0.25">
      <c r="A672" s="60"/>
      <c r="B672" s="12"/>
      <c r="C672" s="45"/>
      <c r="D672" s="45"/>
      <c r="E672" s="34"/>
      <c r="F672" s="12"/>
      <c r="G672" s="34"/>
      <c r="H672" s="30"/>
    </row>
    <row r="673" spans="1:8" ht="20.100000000000001" customHeight="1" x14ac:dyDescent="0.25">
      <c r="A673" s="62" t="s">
        <v>877</v>
      </c>
      <c r="B673" s="7" t="s">
        <v>9</v>
      </c>
      <c r="C673" s="47" t="s">
        <v>878</v>
      </c>
      <c r="D673" s="47" t="s">
        <v>1373</v>
      </c>
      <c r="E673" s="81">
        <f>E677</f>
        <v>1</v>
      </c>
      <c r="F673" s="7" t="s">
        <v>10</v>
      </c>
      <c r="G673" s="81">
        <f>G677</f>
        <v>1431.87</v>
      </c>
      <c r="H673" s="21">
        <f>H677</f>
        <v>1431.87</v>
      </c>
    </row>
    <row r="674" spans="1:8" ht="20.100000000000001" customHeight="1" x14ac:dyDescent="0.25">
      <c r="A674" s="59" t="s">
        <v>879</v>
      </c>
      <c r="B674" s="3" t="s">
        <v>17</v>
      </c>
      <c r="C674" s="43" t="s">
        <v>880</v>
      </c>
      <c r="D674" s="43" t="s">
        <v>1374</v>
      </c>
      <c r="E674" s="78">
        <v>9.6</v>
      </c>
      <c r="F674" s="3" t="s">
        <v>18</v>
      </c>
      <c r="G674" s="78">
        <v>110.29</v>
      </c>
      <c r="H674" s="20">
        <f>ROUND(E674*G674,2)</f>
        <v>1058.78</v>
      </c>
    </row>
    <row r="675" spans="1:8" ht="20.100000000000001" customHeight="1" x14ac:dyDescent="0.25">
      <c r="A675" s="59" t="s">
        <v>881</v>
      </c>
      <c r="B675" s="3" t="s">
        <v>17</v>
      </c>
      <c r="C675" s="43" t="s">
        <v>882</v>
      </c>
      <c r="D675" s="43" t="s">
        <v>1375</v>
      </c>
      <c r="E675" s="78">
        <v>3.4</v>
      </c>
      <c r="F675" s="3" t="s">
        <v>277</v>
      </c>
      <c r="G675" s="78">
        <v>68.09</v>
      </c>
      <c r="H675" s="20">
        <f>ROUND(E675*G675,2)</f>
        <v>231.51</v>
      </c>
    </row>
    <row r="676" spans="1:8" ht="20.100000000000001" customHeight="1" x14ac:dyDescent="0.25">
      <c r="A676" s="59" t="s">
        <v>883</v>
      </c>
      <c r="B676" s="3" t="s">
        <v>17</v>
      </c>
      <c r="C676" s="43" t="s">
        <v>884</v>
      </c>
      <c r="D676" s="43" t="s">
        <v>1376</v>
      </c>
      <c r="E676" s="78">
        <v>1</v>
      </c>
      <c r="F676" s="3" t="s">
        <v>433</v>
      </c>
      <c r="G676" s="78">
        <v>141.58000000000001</v>
      </c>
      <c r="H676" s="20">
        <f>ROUND(E676*G676,2)</f>
        <v>141.58000000000001</v>
      </c>
    </row>
    <row r="677" spans="1:8" ht="20.100000000000001" customHeight="1" x14ac:dyDescent="0.25">
      <c r="A677" s="52"/>
      <c r="B677" s="9"/>
      <c r="C677" s="44" t="s">
        <v>885</v>
      </c>
      <c r="D677" s="44" t="s">
        <v>885</v>
      </c>
      <c r="E677" s="78">
        <v>1</v>
      </c>
      <c r="F677" s="9"/>
      <c r="G677" s="79">
        <f>SUM(H674:H676)</f>
        <v>1431.87</v>
      </c>
      <c r="H677" s="29">
        <f>ROUND(E677*G677,2)</f>
        <v>1431.87</v>
      </c>
    </row>
    <row r="678" spans="1:8" ht="20.100000000000001" customHeight="1" x14ac:dyDescent="0.25">
      <c r="A678" s="60"/>
      <c r="B678" s="12"/>
      <c r="C678" s="45"/>
      <c r="D678" s="45"/>
      <c r="E678" s="34"/>
      <c r="F678" s="12"/>
      <c r="G678" s="34"/>
      <c r="H678" s="30"/>
    </row>
    <row r="679" spans="1:8" ht="20.100000000000001" customHeight="1" x14ac:dyDescent="0.25">
      <c r="A679" s="62" t="s">
        <v>886</v>
      </c>
      <c r="B679" s="7" t="s">
        <v>9</v>
      </c>
      <c r="C679" s="47" t="s">
        <v>771</v>
      </c>
      <c r="D679" s="93" t="s">
        <v>1049</v>
      </c>
      <c r="E679" s="81">
        <f>E683</f>
        <v>1</v>
      </c>
      <c r="F679" s="7" t="s">
        <v>433</v>
      </c>
      <c r="G679" s="81">
        <f>G683</f>
        <v>1826.85</v>
      </c>
      <c r="H679" s="21">
        <f>H683</f>
        <v>1826.85</v>
      </c>
    </row>
    <row r="680" spans="1:8" ht="20.100000000000001" customHeight="1" x14ac:dyDescent="0.25">
      <c r="A680" s="59" t="s">
        <v>1377</v>
      </c>
      <c r="B680" s="3" t="s">
        <v>17</v>
      </c>
      <c r="C680" s="43" t="s">
        <v>888</v>
      </c>
      <c r="D680" s="43" t="s">
        <v>1368</v>
      </c>
      <c r="E680" s="78">
        <v>6.51</v>
      </c>
      <c r="F680" s="3" t="s">
        <v>18</v>
      </c>
      <c r="G680" s="78">
        <v>14.65</v>
      </c>
      <c r="H680" s="20">
        <f>ROUND(E680*G680,2)</f>
        <v>95.37</v>
      </c>
    </row>
    <row r="681" spans="1:8" ht="20.100000000000001" customHeight="1" x14ac:dyDescent="0.25">
      <c r="A681" s="59" t="s">
        <v>1378</v>
      </c>
      <c r="B681" s="3" t="s">
        <v>17</v>
      </c>
      <c r="C681" s="43" t="s">
        <v>857</v>
      </c>
      <c r="D681" s="43" t="s">
        <v>1369</v>
      </c>
      <c r="E681" s="78">
        <v>1</v>
      </c>
      <c r="F681" s="3" t="s">
        <v>26</v>
      </c>
      <c r="G681" s="78">
        <v>111.48</v>
      </c>
      <c r="H681" s="20">
        <f>ROUND(E681*G681,2)</f>
        <v>111.48</v>
      </c>
    </row>
    <row r="682" spans="1:8" ht="20.100000000000001" customHeight="1" x14ac:dyDescent="0.25">
      <c r="A682" s="59" t="s">
        <v>1379</v>
      </c>
      <c r="B682" s="3" t="s">
        <v>17</v>
      </c>
      <c r="C682" s="43" t="s">
        <v>891</v>
      </c>
      <c r="D682" s="97" t="s">
        <v>1380</v>
      </c>
      <c r="E682" s="78">
        <v>3</v>
      </c>
      <c r="F682" s="3" t="s">
        <v>10</v>
      </c>
      <c r="G682" s="78">
        <v>540</v>
      </c>
      <c r="H682" s="20">
        <f>ROUND(E682*G682,2)</f>
        <v>1620</v>
      </c>
    </row>
    <row r="683" spans="1:8" ht="20.100000000000001" customHeight="1" x14ac:dyDescent="0.25">
      <c r="A683" s="52"/>
      <c r="B683" s="9"/>
      <c r="C683" s="44" t="s">
        <v>892</v>
      </c>
      <c r="D683" s="44"/>
      <c r="E683" s="78">
        <v>1</v>
      </c>
      <c r="F683" s="9"/>
      <c r="G683" s="79">
        <f>SUM(H680:H682)</f>
        <v>1826.85</v>
      </c>
      <c r="H683" s="29">
        <f>ROUND(E683*G683,2)</f>
        <v>1826.85</v>
      </c>
    </row>
    <row r="684" spans="1:8" ht="20.100000000000001" customHeight="1" x14ac:dyDescent="0.25">
      <c r="A684" s="60"/>
      <c r="B684" s="12"/>
      <c r="C684" s="45"/>
      <c r="D684" s="45"/>
      <c r="E684" s="34"/>
      <c r="F684" s="12"/>
      <c r="G684" s="34"/>
      <c r="H684" s="30"/>
    </row>
    <row r="685" spans="1:8" s="8" customFormat="1" ht="20.100000000000001" customHeight="1" x14ac:dyDescent="0.25">
      <c r="A685" s="52"/>
      <c r="B685" s="9"/>
      <c r="C685" s="44" t="s">
        <v>893</v>
      </c>
      <c r="D685" s="44"/>
      <c r="E685" s="78">
        <v>1</v>
      </c>
      <c r="F685" s="9"/>
      <c r="G685" s="79">
        <f>H659+H664+H673+H679</f>
        <v>3821.99</v>
      </c>
      <c r="H685" s="29">
        <f>ROUND(E685*G685,2)</f>
        <v>3821.99</v>
      </c>
    </row>
    <row r="686" spans="1:8" ht="20.100000000000001" customHeight="1" x14ac:dyDescent="0.25">
      <c r="A686" s="60"/>
      <c r="B686" s="12"/>
      <c r="C686" s="45"/>
      <c r="D686" s="45"/>
      <c r="E686" s="34"/>
      <c r="F686" s="12"/>
      <c r="G686" s="34"/>
      <c r="H686" s="30"/>
    </row>
    <row r="687" spans="1:8" s="8" customFormat="1" ht="20.100000000000001" customHeight="1" x14ac:dyDescent="0.25">
      <c r="A687" s="52"/>
      <c r="B687" s="9"/>
      <c r="C687" s="44" t="s">
        <v>894</v>
      </c>
      <c r="D687" s="44"/>
      <c r="E687" s="78">
        <v>1</v>
      </c>
      <c r="F687" s="9"/>
      <c r="G687" s="79">
        <f>H609+H658</f>
        <v>72853.67</v>
      </c>
      <c r="H687" s="29">
        <f>ROUND(E687*G687,2)</f>
        <v>72853.67</v>
      </c>
    </row>
    <row r="688" spans="1:8" ht="20.100000000000001" customHeight="1" x14ac:dyDescent="0.25">
      <c r="A688" s="60"/>
      <c r="B688" s="12"/>
      <c r="C688" s="45"/>
      <c r="D688" s="45"/>
      <c r="E688" s="34"/>
      <c r="F688" s="12"/>
      <c r="G688" s="34"/>
      <c r="H688" s="30"/>
    </row>
    <row r="689" spans="1:8" ht="20.100000000000001" customHeight="1" x14ac:dyDescent="0.25">
      <c r="A689" s="58"/>
      <c r="B689" s="5" t="s">
        <v>9</v>
      </c>
      <c r="C689" s="42" t="s">
        <v>895</v>
      </c>
      <c r="D689" s="42" t="s">
        <v>1381</v>
      </c>
      <c r="E689" s="77">
        <f>E695</f>
        <v>1</v>
      </c>
      <c r="F689" s="5" t="s">
        <v>10</v>
      </c>
      <c r="G689" s="77">
        <f>G695</f>
        <v>7786.42</v>
      </c>
      <c r="H689" s="28">
        <f>H695</f>
        <v>7786.42</v>
      </c>
    </row>
    <row r="690" spans="1:8" ht="20.100000000000001" customHeight="1" x14ac:dyDescent="0.25">
      <c r="A690" s="61" t="s">
        <v>896</v>
      </c>
      <c r="B690" s="17" t="s">
        <v>9</v>
      </c>
      <c r="C690" s="46" t="s">
        <v>897</v>
      </c>
      <c r="D690" s="94" t="s">
        <v>897</v>
      </c>
      <c r="E690" s="80">
        <f>E693</f>
        <v>1</v>
      </c>
      <c r="F690" s="17" t="s">
        <v>10</v>
      </c>
      <c r="G690" s="80">
        <f>G693</f>
        <v>7786.42</v>
      </c>
      <c r="H690" s="31">
        <f>H693</f>
        <v>7786.42</v>
      </c>
    </row>
    <row r="691" spans="1:8" ht="20.100000000000001" customHeight="1" x14ac:dyDescent="0.25">
      <c r="A691" s="59" t="s">
        <v>898</v>
      </c>
      <c r="B691" s="3" t="s">
        <v>17</v>
      </c>
      <c r="C691" s="43" t="s">
        <v>899</v>
      </c>
      <c r="D691" s="91" t="s">
        <v>899</v>
      </c>
      <c r="E691" s="78">
        <v>19.3</v>
      </c>
      <c r="F691" s="3" t="s">
        <v>54</v>
      </c>
      <c r="G691" s="78">
        <v>22.94</v>
      </c>
      <c r="H691" s="20">
        <f>ROUND(E691*G691,2)</f>
        <v>442.74</v>
      </c>
    </row>
    <row r="692" spans="1:8" ht="20.100000000000001" customHeight="1" x14ac:dyDescent="0.25">
      <c r="A692" s="59" t="s">
        <v>900</v>
      </c>
      <c r="B692" s="3" t="s">
        <v>17</v>
      </c>
      <c r="C692" s="43" t="s">
        <v>901</v>
      </c>
      <c r="D692" s="91" t="s">
        <v>1457</v>
      </c>
      <c r="E692" s="78">
        <v>192.95</v>
      </c>
      <c r="F692" s="3" t="s">
        <v>35</v>
      </c>
      <c r="G692" s="78">
        <v>38.06</v>
      </c>
      <c r="H692" s="20">
        <f>ROUND(E692*G692,2)</f>
        <v>7343.68</v>
      </c>
    </row>
    <row r="693" spans="1:8" ht="20.100000000000001" customHeight="1" x14ac:dyDescent="0.25">
      <c r="A693" s="52"/>
      <c r="B693" s="9"/>
      <c r="C693" s="44" t="s">
        <v>902</v>
      </c>
      <c r="D693" s="44" t="s">
        <v>902</v>
      </c>
      <c r="E693" s="78">
        <v>1</v>
      </c>
      <c r="F693" s="9"/>
      <c r="G693" s="79">
        <f>SUM(H691:H692)</f>
        <v>7786.42</v>
      </c>
      <c r="H693" s="29">
        <f>ROUND(E693*G693,2)</f>
        <v>7786.42</v>
      </c>
    </row>
    <row r="694" spans="1:8" ht="20.100000000000001" customHeight="1" x14ac:dyDescent="0.25">
      <c r="A694" s="60"/>
      <c r="B694" s="12"/>
      <c r="C694" s="45"/>
      <c r="D694" s="45"/>
      <c r="E694" s="34"/>
      <c r="F694" s="12"/>
      <c r="G694" s="34"/>
      <c r="H694" s="30"/>
    </row>
    <row r="695" spans="1:8" s="8" customFormat="1" ht="20.100000000000001" customHeight="1" x14ac:dyDescent="0.25">
      <c r="A695" s="52"/>
      <c r="B695" s="9"/>
      <c r="C695" s="44" t="s">
        <v>903</v>
      </c>
      <c r="D695" s="44" t="s">
        <v>903</v>
      </c>
      <c r="E695" s="78">
        <v>1</v>
      </c>
      <c r="F695" s="9"/>
      <c r="G695" s="79">
        <f>H690</f>
        <v>7786.42</v>
      </c>
      <c r="H695" s="29">
        <f>ROUND(E695*G695,2)</f>
        <v>7786.42</v>
      </c>
    </row>
    <row r="696" spans="1:8" ht="20.100000000000001" customHeight="1" x14ac:dyDescent="0.25">
      <c r="A696" s="60"/>
      <c r="B696" s="12"/>
      <c r="C696" s="45"/>
      <c r="D696" s="45"/>
      <c r="E696" s="34"/>
      <c r="F696" s="12"/>
      <c r="G696" s="34"/>
      <c r="H696" s="30"/>
    </row>
    <row r="697" spans="1:8" ht="20.100000000000001" customHeight="1" x14ac:dyDescent="0.25">
      <c r="A697" s="58"/>
      <c r="B697" s="5" t="s">
        <v>9</v>
      </c>
      <c r="C697" s="42" t="s">
        <v>904</v>
      </c>
      <c r="D697" s="42" t="s">
        <v>1382</v>
      </c>
      <c r="E697" s="77">
        <f>E711</f>
        <v>1</v>
      </c>
      <c r="F697" s="5" t="s">
        <v>10</v>
      </c>
      <c r="G697" s="77">
        <f>G711</f>
        <v>29447.42</v>
      </c>
      <c r="H697" s="28">
        <f>H711</f>
        <v>29447.42</v>
      </c>
    </row>
    <row r="698" spans="1:8" ht="20.100000000000001" customHeight="1" x14ac:dyDescent="0.25">
      <c r="A698" s="61" t="s">
        <v>905</v>
      </c>
      <c r="B698" s="17" t="s">
        <v>9</v>
      </c>
      <c r="C698" s="46" t="s">
        <v>906</v>
      </c>
      <c r="D698" s="46" t="s">
        <v>1383</v>
      </c>
      <c r="E698" s="80">
        <f>E709</f>
        <v>1</v>
      </c>
      <c r="F698" s="17" t="s">
        <v>65</v>
      </c>
      <c r="G698" s="80">
        <f>G709</f>
        <v>29447.42</v>
      </c>
      <c r="H698" s="31">
        <f>H709</f>
        <v>29447.42</v>
      </c>
    </row>
    <row r="699" spans="1:8" ht="20.100000000000001" customHeight="1" x14ac:dyDescent="0.25">
      <c r="A699" s="59" t="s">
        <v>907</v>
      </c>
      <c r="B699" s="3" t="s">
        <v>17</v>
      </c>
      <c r="C699" s="43" t="s">
        <v>908</v>
      </c>
      <c r="D699" s="91" t="s">
        <v>1384</v>
      </c>
      <c r="E699" s="78">
        <v>10</v>
      </c>
      <c r="F699" s="3" t="s">
        <v>10</v>
      </c>
      <c r="G699" s="78">
        <v>358.42</v>
      </c>
      <c r="H699" s="20">
        <f t="shared" ref="H699:H709" si="27">ROUND(E699*G699,2)</f>
        <v>3584.2</v>
      </c>
    </row>
    <row r="700" spans="1:8" ht="20.100000000000001" customHeight="1" x14ac:dyDescent="0.25">
      <c r="A700" s="59" t="s">
        <v>909</v>
      </c>
      <c r="B700" s="3" t="s">
        <v>17</v>
      </c>
      <c r="C700" s="43" t="s">
        <v>910</v>
      </c>
      <c r="D700" s="91" t="s">
        <v>1385</v>
      </c>
      <c r="E700" s="78">
        <v>18</v>
      </c>
      <c r="F700" s="3" t="s">
        <v>10</v>
      </c>
      <c r="G700" s="78">
        <v>358.42</v>
      </c>
      <c r="H700" s="20">
        <f t="shared" si="27"/>
        <v>6451.56</v>
      </c>
    </row>
    <row r="701" spans="1:8" ht="20.100000000000001" customHeight="1" x14ac:dyDescent="0.25">
      <c r="A701" s="59" t="s">
        <v>911</v>
      </c>
      <c r="B701" s="3" t="s">
        <v>17</v>
      </c>
      <c r="C701" s="43" t="s">
        <v>912</v>
      </c>
      <c r="D701" s="91" t="s">
        <v>1386</v>
      </c>
      <c r="E701" s="78">
        <v>2</v>
      </c>
      <c r="F701" s="3" t="s">
        <v>10</v>
      </c>
      <c r="G701" s="78">
        <v>885.24</v>
      </c>
      <c r="H701" s="20">
        <f t="shared" si="27"/>
        <v>1770.48</v>
      </c>
    </row>
    <row r="702" spans="1:8" ht="20.100000000000001" customHeight="1" x14ac:dyDescent="0.25">
      <c r="A702" s="59" t="s">
        <v>913</v>
      </c>
      <c r="B702" s="3" t="s">
        <v>17</v>
      </c>
      <c r="C702" s="43" t="s">
        <v>914</v>
      </c>
      <c r="D702" s="91" t="s">
        <v>1387</v>
      </c>
      <c r="E702" s="78">
        <v>2</v>
      </c>
      <c r="F702" s="3" t="s">
        <v>10</v>
      </c>
      <c r="G702" s="78">
        <v>863.92</v>
      </c>
      <c r="H702" s="20">
        <f t="shared" si="27"/>
        <v>1727.84</v>
      </c>
    </row>
    <row r="703" spans="1:8" ht="20.100000000000001" customHeight="1" x14ac:dyDescent="0.25">
      <c r="A703" s="59" t="s">
        <v>915</v>
      </c>
      <c r="B703" s="3" t="s">
        <v>17</v>
      </c>
      <c r="C703" s="43" t="s">
        <v>916</v>
      </c>
      <c r="D703" s="91" t="s">
        <v>1388</v>
      </c>
      <c r="E703" s="78">
        <v>1</v>
      </c>
      <c r="F703" s="3" t="s">
        <v>10</v>
      </c>
      <c r="G703" s="78">
        <v>1191.99</v>
      </c>
      <c r="H703" s="20">
        <f t="shared" si="27"/>
        <v>1191.99</v>
      </c>
    </row>
    <row r="704" spans="1:8" ht="20.100000000000001" customHeight="1" x14ac:dyDescent="0.25">
      <c r="A704" s="59" t="s">
        <v>917</v>
      </c>
      <c r="B704" s="3" t="s">
        <v>17</v>
      </c>
      <c r="C704" s="43" t="s">
        <v>918</v>
      </c>
      <c r="D704" s="91" t="s">
        <v>1389</v>
      </c>
      <c r="E704" s="78">
        <v>1</v>
      </c>
      <c r="F704" s="3" t="s">
        <v>10</v>
      </c>
      <c r="G704" s="78">
        <v>935.24</v>
      </c>
      <c r="H704" s="20">
        <f t="shared" si="27"/>
        <v>935.24</v>
      </c>
    </row>
    <row r="705" spans="1:9" ht="20.100000000000001" customHeight="1" x14ac:dyDescent="0.25">
      <c r="A705" s="59" t="s">
        <v>919</v>
      </c>
      <c r="B705" s="3" t="s">
        <v>17</v>
      </c>
      <c r="C705" s="43" t="s">
        <v>920</v>
      </c>
      <c r="D705" s="91" t="s">
        <v>1390</v>
      </c>
      <c r="E705" s="78">
        <v>2</v>
      </c>
      <c r="F705" s="3" t="s">
        <v>10</v>
      </c>
      <c r="G705" s="78">
        <v>1371.74</v>
      </c>
      <c r="H705" s="20">
        <f t="shared" si="27"/>
        <v>2743.48</v>
      </c>
    </row>
    <row r="706" spans="1:9" ht="39.950000000000003" customHeight="1" x14ac:dyDescent="0.25">
      <c r="A706" s="59" t="s">
        <v>921</v>
      </c>
      <c r="B706" s="3" t="s">
        <v>17</v>
      </c>
      <c r="C706" s="43" t="s">
        <v>922</v>
      </c>
      <c r="D706" s="43" t="s">
        <v>1391</v>
      </c>
      <c r="E706" s="78">
        <v>103.14</v>
      </c>
      <c r="F706" s="3" t="s">
        <v>48</v>
      </c>
      <c r="G706" s="78">
        <v>23.47</v>
      </c>
      <c r="H706" s="20">
        <f t="shared" si="27"/>
        <v>2420.6999999999998</v>
      </c>
    </row>
    <row r="707" spans="1:9" ht="20.100000000000001" customHeight="1" x14ac:dyDescent="0.25">
      <c r="A707" s="59" t="s">
        <v>923</v>
      </c>
      <c r="B707" s="3" t="s">
        <v>17</v>
      </c>
      <c r="C707" s="43" t="s">
        <v>924</v>
      </c>
      <c r="D707" s="43" t="s">
        <v>1392</v>
      </c>
      <c r="E707" s="78">
        <v>1</v>
      </c>
      <c r="F707" s="3" t="s">
        <v>10</v>
      </c>
      <c r="G707" s="78">
        <v>7790</v>
      </c>
      <c r="H707" s="20">
        <f t="shared" si="27"/>
        <v>7790</v>
      </c>
    </row>
    <row r="708" spans="1:9" ht="20.100000000000001" customHeight="1" x14ac:dyDescent="0.25">
      <c r="A708" s="59" t="s">
        <v>925</v>
      </c>
      <c r="B708" s="3" t="s">
        <v>17</v>
      </c>
      <c r="C708" s="43" t="s">
        <v>926</v>
      </c>
      <c r="D708" s="43" t="s">
        <v>1393</v>
      </c>
      <c r="E708" s="78">
        <v>1</v>
      </c>
      <c r="F708" s="3" t="s">
        <v>10</v>
      </c>
      <c r="G708" s="78">
        <v>831.93</v>
      </c>
      <c r="H708" s="20">
        <f t="shared" si="27"/>
        <v>831.93</v>
      </c>
    </row>
    <row r="709" spans="1:9" ht="20.100000000000001" customHeight="1" x14ac:dyDescent="0.25">
      <c r="A709" s="52"/>
      <c r="B709" s="9"/>
      <c r="C709" s="44" t="s">
        <v>927</v>
      </c>
      <c r="D709" s="44" t="s">
        <v>927</v>
      </c>
      <c r="E709" s="78">
        <v>1</v>
      </c>
      <c r="F709" s="9"/>
      <c r="G709" s="79">
        <f>SUM(H699:H708)</f>
        <v>29447.42</v>
      </c>
      <c r="H709" s="29">
        <f t="shared" si="27"/>
        <v>29447.42</v>
      </c>
    </row>
    <row r="710" spans="1:9" ht="20.100000000000001" customHeight="1" x14ac:dyDescent="0.25">
      <c r="A710" s="60"/>
      <c r="B710" s="12"/>
      <c r="C710" s="45"/>
      <c r="D710" s="45"/>
      <c r="E710" s="34"/>
      <c r="F710" s="12"/>
      <c r="G710" s="34"/>
      <c r="H710" s="30"/>
    </row>
    <row r="711" spans="1:9" s="8" customFormat="1" ht="20.100000000000001" customHeight="1" x14ac:dyDescent="0.25">
      <c r="A711" s="52"/>
      <c r="B711" s="9"/>
      <c r="C711" s="44" t="s">
        <v>928</v>
      </c>
      <c r="D711" s="44" t="s">
        <v>928</v>
      </c>
      <c r="E711" s="78">
        <v>1</v>
      </c>
      <c r="F711" s="9"/>
      <c r="G711" s="79">
        <f>H698</f>
        <v>29447.42</v>
      </c>
      <c r="H711" s="29">
        <f>ROUND(E711*G711,2)</f>
        <v>29447.42</v>
      </c>
    </row>
    <row r="712" spans="1:9" ht="20.100000000000001" customHeight="1" x14ac:dyDescent="0.25">
      <c r="A712" s="60"/>
      <c r="B712" s="12"/>
      <c r="C712" s="45"/>
      <c r="D712" s="45"/>
      <c r="E712" s="34"/>
      <c r="F712" s="12"/>
      <c r="G712" s="34"/>
      <c r="H712" s="30"/>
    </row>
    <row r="713" spans="1:9" s="8" customFormat="1" ht="20.100000000000001" customHeight="1" x14ac:dyDescent="0.25">
      <c r="A713" s="52"/>
      <c r="B713" s="9"/>
      <c r="C713" s="44" t="s">
        <v>929</v>
      </c>
      <c r="D713" s="44" t="s">
        <v>929</v>
      </c>
      <c r="E713" s="78">
        <v>1</v>
      </c>
      <c r="F713" s="9"/>
      <c r="G713" s="79">
        <f>H608+H689+H697</f>
        <v>110087.51</v>
      </c>
      <c r="H713" s="29">
        <f>ROUND(E713*G713,2)</f>
        <v>110087.51</v>
      </c>
    </row>
    <row r="714" spans="1:9" ht="20.100000000000001" customHeight="1" x14ac:dyDescent="0.25">
      <c r="A714" s="60"/>
      <c r="B714" s="12"/>
      <c r="C714" s="45"/>
      <c r="D714" s="45"/>
      <c r="E714" s="34"/>
      <c r="F714" s="12"/>
      <c r="G714" s="34"/>
      <c r="H714" s="30"/>
    </row>
    <row r="715" spans="1:9" ht="20.100000000000001" customHeight="1" x14ac:dyDescent="0.25">
      <c r="A715" s="57"/>
      <c r="B715" s="16" t="s">
        <v>9</v>
      </c>
      <c r="C715" s="41" t="s">
        <v>930</v>
      </c>
      <c r="D715" s="41" t="s">
        <v>1394</v>
      </c>
      <c r="E715" s="76">
        <f>E779</f>
        <v>1</v>
      </c>
      <c r="F715" s="16" t="s">
        <v>10</v>
      </c>
      <c r="G715" s="76">
        <f>G779</f>
        <v>1000554.91</v>
      </c>
      <c r="H715" s="27">
        <f>H779</f>
        <v>1000554.91</v>
      </c>
      <c r="I715" s="99"/>
    </row>
    <row r="716" spans="1:9" ht="20.100000000000001" customHeight="1" x14ac:dyDescent="0.25">
      <c r="A716" s="58"/>
      <c r="B716" s="5" t="s">
        <v>9</v>
      </c>
      <c r="C716" s="42" t="s">
        <v>931</v>
      </c>
      <c r="D716" s="42" t="s">
        <v>1395</v>
      </c>
      <c r="E716" s="77">
        <f>E727</f>
        <v>1</v>
      </c>
      <c r="F716" s="5" t="s">
        <v>10</v>
      </c>
      <c r="G716" s="77">
        <f>G727</f>
        <v>365331.02</v>
      </c>
      <c r="H716" s="28">
        <f>H727</f>
        <v>365331.02</v>
      </c>
    </row>
    <row r="717" spans="1:9" ht="20.100000000000001" customHeight="1" x14ac:dyDescent="0.25">
      <c r="A717" s="59" t="s">
        <v>932</v>
      </c>
      <c r="B717" s="3" t="s">
        <v>17</v>
      </c>
      <c r="C717" s="43" t="s">
        <v>933</v>
      </c>
      <c r="D717" s="43" t="s">
        <v>1396</v>
      </c>
      <c r="E717" s="78">
        <v>0</v>
      </c>
      <c r="F717" s="3" t="s">
        <v>10</v>
      </c>
      <c r="G717" s="78">
        <v>92236.05</v>
      </c>
      <c r="H717" s="20">
        <f t="shared" ref="H717:H727" si="28">ROUND(E717*G717,2)</f>
        <v>0</v>
      </c>
    </row>
    <row r="718" spans="1:9" ht="20.100000000000001" customHeight="1" x14ac:dyDescent="0.25">
      <c r="A718" s="59" t="s">
        <v>934</v>
      </c>
      <c r="B718" s="3" t="s">
        <v>17</v>
      </c>
      <c r="C718" s="43" t="s">
        <v>935</v>
      </c>
      <c r="D718" s="43" t="s">
        <v>1447</v>
      </c>
      <c r="E718" s="78">
        <v>1</v>
      </c>
      <c r="F718" s="3" t="s">
        <v>10</v>
      </c>
      <c r="G718" s="78">
        <v>55341.63</v>
      </c>
      <c r="H718" s="20">
        <f t="shared" si="28"/>
        <v>55341.63</v>
      </c>
    </row>
    <row r="719" spans="1:9" ht="20.100000000000001" customHeight="1" x14ac:dyDescent="0.25">
      <c r="A719" s="59" t="s">
        <v>936</v>
      </c>
      <c r="B719" s="3" t="s">
        <v>17</v>
      </c>
      <c r="C719" s="43" t="s">
        <v>937</v>
      </c>
      <c r="D719" s="43" t="s">
        <v>1448</v>
      </c>
      <c r="E719" s="78">
        <v>1</v>
      </c>
      <c r="F719" s="3" t="s">
        <v>10</v>
      </c>
      <c r="G719" s="78">
        <v>36894.42</v>
      </c>
      <c r="H719" s="20">
        <f t="shared" si="28"/>
        <v>36894.42</v>
      </c>
    </row>
    <row r="720" spans="1:9" ht="20.100000000000001" customHeight="1" x14ac:dyDescent="0.25">
      <c r="A720" s="59" t="s">
        <v>938</v>
      </c>
      <c r="B720" s="3" t="s">
        <v>17</v>
      </c>
      <c r="C720" s="43" t="s">
        <v>939</v>
      </c>
      <c r="D720" s="6" t="s">
        <v>1397</v>
      </c>
      <c r="E720" s="78">
        <v>0</v>
      </c>
      <c r="F720" s="3" t="s">
        <v>10</v>
      </c>
      <c r="G720" s="78">
        <v>133628.09</v>
      </c>
      <c r="H720" s="20">
        <f t="shared" si="28"/>
        <v>0</v>
      </c>
    </row>
    <row r="721" spans="1:8" ht="20.100000000000001" customHeight="1" x14ac:dyDescent="0.25">
      <c r="A721" s="59" t="s">
        <v>940</v>
      </c>
      <c r="B721" s="3" t="s">
        <v>17</v>
      </c>
      <c r="C721" s="43" t="s">
        <v>941</v>
      </c>
      <c r="D721" s="6" t="s">
        <v>1449</v>
      </c>
      <c r="E721" s="78">
        <v>1</v>
      </c>
      <c r="F721" s="3" t="s">
        <v>10</v>
      </c>
      <c r="G721" s="78">
        <v>66814.05</v>
      </c>
      <c r="H721" s="20">
        <f t="shared" si="28"/>
        <v>66814.05</v>
      </c>
    </row>
    <row r="722" spans="1:8" ht="20.100000000000001" customHeight="1" x14ac:dyDescent="0.25">
      <c r="A722" s="59" t="s">
        <v>942</v>
      </c>
      <c r="B722" s="3" t="s">
        <v>17</v>
      </c>
      <c r="C722" s="43" t="s">
        <v>943</v>
      </c>
      <c r="D722" s="6" t="s">
        <v>1450</v>
      </c>
      <c r="E722" s="78">
        <v>1</v>
      </c>
      <c r="F722" s="3" t="s">
        <v>10</v>
      </c>
      <c r="G722" s="78">
        <v>66814.05</v>
      </c>
      <c r="H722" s="20">
        <f t="shared" si="28"/>
        <v>66814.05</v>
      </c>
    </row>
    <row r="723" spans="1:8" ht="20.100000000000001" customHeight="1" x14ac:dyDescent="0.25">
      <c r="A723" s="59" t="s">
        <v>944</v>
      </c>
      <c r="B723" s="3" t="s">
        <v>17</v>
      </c>
      <c r="C723" s="43" t="s">
        <v>945</v>
      </c>
      <c r="D723" s="6" t="s">
        <v>1398</v>
      </c>
      <c r="E723" s="78">
        <v>1</v>
      </c>
      <c r="F723" s="3" t="s">
        <v>10</v>
      </c>
      <c r="G723" s="78">
        <v>12381.95</v>
      </c>
      <c r="H723" s="20">
        <f t="shared" si="28"/>
        <v>12381.95</v>
      </c>
    </row>
    <row r="724" spans="1:8" ht="20.100000000000001" customHeight="1" x14ac:dyDescent="0.25">
      <c r="A724" s="59" t="s">
        <v>946</v>
      </c>
      <c r="B724" s="3" t="s">
        <v>17</v>
      </c>
      <c r="C724" s="43" t="s">
        <v>947</v>
      </c>
      <c r="D724" s="6" t="s">
        <v>1399</v>
      </c>
      <c r="E724" s="78">
        <v>0</v>
      </c>
      <c r="F724" s="3" t="s">
        <v>10</v>
      </c>
      <c r="G724" s="78">
        <v>127084.92</v>
      </c>
      <c r="H724" s="20">
        <f t="shared" si="28"/>
        <v>0</v>
      </c>
    </row>
    <row r="725" spans="1:8" ht="20.100000000000001" customHeight="1" x14ac:dyDescent="0.25">
      <c r="A725" s="59" t="s">
        <v>948</v>
      </c>
      <c r="B725" s="3" t="s">
        <v>17</v>
      </c>
      <c r="C725" s="43" t="s">
        <v>949</v>
      </c>
      <c r="D725" s="6" t="s">
        <v>1451</v>
      </c>
      <c r="E725" s="78">
        <v>1</v>
      </c>
      <c r="F725" s="3" t="s">
        <v>10</v>
      </c>
      <c r="G725" s="78">
        <v>31771.23</v>
      </c>
      <c r="H725" s="20">
        <f t="shared" si="28"/>
        <v>31771.23</v>
      </c>
    </row>
    <row r="726" spans="1:8" ht="20.100000000000001" customHeight="1" x14ac:dyDescent="0.25">
      <c r="A726" s="59" t="s">
        <v>950</v>
      </c>
      <c r="B726" s="3" t="s">
        <v>17</v>
      </c>
      <c r="C726" s="43" t="s">
        <v>949</v>
      </c>
      <c r="D726" s="6" t="s">
        <v>1452</v>
      </c>
      <c r="E726" s="78">
        <v>1</v>
      </c>
      <c r="F726" s="3" t="s">
        <v>10</v>
      </c>
      <c r="G726" s="78">
        <v>95313.69</v>
      </c>
      <c r="H726" s="20">
        <f t="shared" si="28"/>
        <v>95313.69</v>
      </c>
    </row>
    <row r="727" spans="1:8" ht="20.100000000000001" customHeight="1" x14ac:dyDescent="0.25">
      <c r="A727" s="52"/>
      <c r="B727" s="9"/>
      <c r="C727" s="44" t="s">
        <v>1400</v>
      </c>
      <c r="D727" s="44" t="s">
        <v>1595</v>
      </c>
      <c r="E727" s="78">
        <v>1</v>
      </c>
      <c r="F727" s="9"/>
      <c r="G727" s="79">
        <f>SUM(H717:H726)</f>
        <v>365331.02</v>
      </c>
      <c r="H727" s="29">
        <f t="shared" si="28"/>
        <v>365331.02</v>
      </c>
    </row>
    <row r="728" spans="1:8" ht="20.100000000000001" customHeight="1" x14ac:dyDescent="0.25">
      <c r="A728" s="60"/>
      <c r="B728" s="12"/>
      <c r="C728" s="45"/>
      <c r="D728" s="45"/>
      <c r="E728" s="34"/>
      <c r="F728" s="12"/>
      <c r="G728" s="34"/>
      <c r="H728" s="30"/>
    </row>
    <row r="729" spans="1:8" ht="20.100000000000001" customHeight="1" x14ac:dyDescent="0.25">
      <c r="A729" s="58"/>
      <c r="B729" s="5" t="s">
        <v>9</v>
      </c>
      <c r="C729" s="42" t="s">
        <v>951</v>
      </c>
      <c r="D729" s="42" t="s">
        <v>1401</v>
      </c>
      <c r="E729" s="77">
        <f>E741</f>
        <v>1</v>
      </c>
      <c r="F729" s="5" t="s">
        <v>65</v>
      </c>
      <c r="G729" s="77">
        <f>G741</f>
        <v>471664.1</v>
      </c>
      <c r="H729" s="28">
        <f>H741</f>
        <v>471664.1</v>
      </c>
    </row>
    <row r="730" spans="1:8" ht="20.100000000000001" customHeight="1" x14ac:dyDescent="0.25">
      <c r="A730" s="61" t="s">
        <v>952</v>
      </c>
      <c r="B730" s="17" t="s">
        <v>9</v>
      </c>
      <c r="C730" s="46" t="s">
        <v>953</v>
      </c>
      <c r="D730" s="46" t="s">
        <v>1402</v>
      </c>
      <c r="E730" s="80">
        <f>E734</f>
        <v>1</v>
      </c>
      <c r="F730" s="17" t="s">
        <v>65</v>
      </c>
      <c r="G730" s="80">
        <f>G734</f>
        <v>458130.12</v>
      </c>
      <c r="H730" s="31">
        <f>H734</f>
        <v>458130.12</v>
      </c>
    </row>
    <row r="731" spans="1:8" ht="20.100000000000001" customHeight="1" x14ac:dyDescent="0.25">
      <c r="A731" s="59" t="s">
        <v>954</v>
      </c>
      <c r="B731" s="3" t="s">
        <v>17</v>
      </c>
      <c r="C731" s="43" t="s">
        <v>955</v>
      </c>
      <c r="D731" s="43" t="s">
        <v>1403</v>
      </c>
      <c r="E731" s="78">
        <v>1</v>
      </c>
      <c r="F731" s="3" t="s">
        <v>433</v>
      </c>
      <c r="G731" s="78">
        <v>347764.27</v>
      </c>
      <c r="H731" s="20">
        <f>ROUND(E731*G731,2)</f>
        <v>347764.27</v>
      </c>
    </row>
    <row r="732" spans="1:8" ht="20.100000000000001" customHeight="1" x14ac:dyDescent="0.25">
      <c r="A732" s="59" t="s">
        <v>956</v>
      </c>
      <c r="B732" s="3" t="s">
        <v>17</v>
      </c>
      <c r="C732" s="43" t="s">
        <v>957</v>
      </c>
      <c r="D732" s="43" t="s">
        <v>1404</v>
      </c>
      <c r="E732" s="78">
        <v>1</v>
      </c>
      <c r="F732" s="3" t="s">
        <v>433</v>
      </c>
      <c r="G732" s="78">
        <v>68634.14</v>
      </c>
      <c r="H732" s="20">
        <f>ROUND(E732*G732,2)</f>
        <v>68634.14</v>
      </c>
    </row>
    <row r="733" spans="1:8" ht="20.100000000000001" customHeight="1" x14ac:dyDescent="0.25">
      <c r="A733" s="59" t="s">
        <v>958</v>
      </c>
      <c r="B733" s="3" t="s">
        <v>17</v>
      </c>
      <c r="C733" s="43" t="s">
        <v>959</v>
      </c>
      <c r="D733" s="43" t="s">
        <v>1405</v>
      </c>
      <c r="E733" s="78">
        <v>1</v>
      </c>
      <c r="F733" s="3" t="s">
        <v>433</v>
      </c>
      <c r="G733" s="78">
        <v>41731.71</v>
      </c>
      <c r="H733" s="20">
        <f>ROUND(E733*G733,2)</f>
        <v>41731.71</v>
      </c>
    </row>
    <row r="734" spans="1:8" ht="20.100000000000001" customHeight="1" x14ac:dyDescent="0.25">
      <c r="A734" s="52"/>
      <c r="B734" s="9"/>
      <c r="C734" s="44" t="s">
        <v>960</v>
      </c>
      <c r="D734" s="44" t="s">
        <v>960</v>
      </c>
      <c r="E734" s="78">
        <v>1</v>
      </c>
      <c r="F734" s="9"/>
      <c r="G734" s="79">
        <f>SUM(H731:H733)</f>
        <v>458130.12</v>
      </c>
      <c r="H734" s="29">
        <f>ROUND(E734*G734,2)</f>
        <v>458130.12</v>
      </c>
    </row>
    <row r="735" spans="1:8" ht="20.100000000000001" customHeight="1" x14ac:dyDescent="0.25">
      <c r="A735" s="60"/>
      <c r="B735" s="12"/>
      <c r="C735" s="45"/>
      <c r="D735" s="45"/>
      <c r="E735" s="34"/>
      <c r="F735" s="12"/>
      <c r="G735" s="34"/>
      <c r="H735" s="30"/>
    </row>
    <row r="736" spans="1:8" ht="20.100000000000001" customHeight="1" x14ac:dyDescent="0.25">
      <c r="A736" s="61" t="s">
        <v>961</v>
      </c>
      <c r="B736" s="17" t="s">
        <v>9</v>
      </c>
      <c r="C736" s="46" t="s">
        <v>962</v>
      </c>
      <c r="D736" s="46" t="s">
        <v>1410</v>
      </c>
      <c r="E736" s="80">
        <v>1</v>
      </c>
      <c r="F736" s="17" t="s">
        <v>65</v>
      </c>
      <c r="G736" s="80">
        <f>+G739</f>
        <v>13533.98</v>
      </c>
      <c r="H736" s="31">
        <f>ROUND(E736*G736,2)</f>
        <v>13533.98</v>
      </c>
    </row>
    <row r="737" spans="1:8" s="8" customFormat="1" ht="20.100000000000001" customHeight="1" x14ac:dyDescent="0.25">
      <c r="A737" s="65" t="s">
        <v>1406</v>
      </c>
      <c r="B737" s="19"/>
      <c r="C737" s="43" t="s">
        <v>1407</v>
      </c>
      <c r="D737" s="43" t="s">
        <v>1411</v>
      </c>
      <c r="E737" s="78">
        <v>1</v>
      </c>
      <c r="F737" s="3" t="s">
        <v>10</v>
      </c>
      <c r="G737" s="78">
        <v>10060.76</v>
      </c>
      <c r="H737" s="20">
        <f>ROUND(E737*G737,2)</f>
        <v>10060.76</v>
      </c>
    </row>
    <row r="738" spans="1:8" s="8" customFormat="1" ht="20.100000000000001" customHeight="1" x14ac:dyDescent="0.25">
      <c r="A738" s="65" t="s">
        <v>1406</v>
      </c>
      <c r="B738" s="19"/>
      <c r="C738" s="43" t="s">
        <v>1408</v>
      </c>
      <c r="D738" s="43" t="s">
        <v>1412</v>
      </c>
      <c r="E738" s="78">
        <v>1</v>
      </c>
      <c r="F738" s="3" t="s">
        <v>10</v>
      </c>
      <c r="G738" s="78">
        <v>3473.22</v>
      </c>
      <c r="H738" s="20">
        <f>ROUND(E738*G738,2)</f>
        <v>3473.22</v>
      </c>
    </row>
    <row r="739" spans="1:8" s="8" customFormat="1" ht="20.100000000000001" customHeight="1" x14ac:dyDescent="0.25">
      <c r="A739" s="65"/>
      <c r="B739" s="19"/>
      <c r="C739" s="44" t="s">
        <v>1409</v>
      </c>
      <c r="D739" s="44" t="s">
        <v>1409</v>
      </c>
      <c r="E739" s="79">
        <v>1</v>
      </c>
      <c r="F739" s="19"/>
      <c r="G739" s="79">
        <f>SUM(H737:H738)</f>
        <v>13533.98</v>
      </c>
      <c r="H739" s="29">
        <f>ROUND(E739*G739,2)</f>
        <v>13533.98</v>
      </c>
    </row>
    <row r="740" spans="1:8" s="8" customFormat="1" ht="20.100000000000001" customHeight="1" x14ac:dyDescent="0.25">
      <c r="A740" s="65"/>
      <c r="B740" s="19"/>
      <c r="C740" s="44"/>
      <c r="D740" s="44"/>
      <c r="E740" s="79"/>
      <c r="F740" s="19"/>
      <c r="G740" s="79"/>
      <c r="H740" s="29"/>
    </row>
    <row r="741" spans="1:8" ht="20.100000000000001" customHeight="1" x14ac:dyDescent="0.25">
      <c r="A741" s="52"/>
      <c r="B741" s="9"/>
      <c r="C741" s="44" t="s">
        <v>963</v>
      </c>
      <c r="D741" s="44" t="s">
        <v>963</v>
      </c>
      <c r="E741" s="78">
        <v>1</v>
      </c>
      <c r="F741" s="9"/>
      <c r="G741" s="79">
        <f>H730+H736</f>
        <v>471664.1</v>
      </c>
      <c r="H741" s="29">
        <f>ROUND(E741*G741,2)</f>
        <v>471664.1</v>
      </c>
    </row>
    <row r="742" spans="1:8" ht="20.100000000000001" customHeight="1" x14ac:dyDescent="0.25">
      <c r="A742" s="60"/>
      <c r="B742" s="12"/>
      <c r="C742" s="45"/>
      <c r="D742" s="45"/>
      <c r="E742" s="34"/>
      <c r="F742" s="12"/>
      <c r="G742" s="34"/>
      <c r="H742" s="30"/>
    </row>
    <row r="743" spans="1:8" ht="20.100000000000001" customHeight="1" x14ac:dyDescent="0.25">
      <c r="A743" s="58" t="s">
        <v>964</v>
      </c>
      <c r="B743" s="5" t="s">
        <v>9</v>
      </c>
      <c r="C743" s="42" t="s">
        <v>965</v>
      </c>
      <c r="D743" s="42" t="s">
        <v>1413</v>
      </c>
      <c r="E743" s="77">
        <f>E759</f>
        <v>1</v>
      </c>
      <c r="F743" s="5" t="s">
        <v>10</v>
      </c>
      <c r="G743" s="77">
        <f>G759</f>
        <v>140499.10999999999</v>
      </c>
      <c r="H743" s="28">
        <f>H759</f>
        <v>140499.10999999999</v>
      </c>
    </row>
    <row r="744" spans="1:8" ht="20.100000000000001" customHeight="1" x14ac:dyDescent="0.25">
      <c r="A744" s="61" t="s">
        <v>966</v>
      </c>
      <c r="B744" s="17" t="s">
        <v>9</v>
      </c>
      <c r="C744" s="46" t="s">
        <v>967</v>
      </c>
      <c r="D744" s="42" t="s">
        <v>1413</v>
      </c>
      <c r="E744" s="80">
        <f>E749</f>
        <v>1</v>
      </c>
      <c r="F744" s="17" t="s">
        <v>10</v>
      </c>
      <c r="G744" s="80">
        <f>G749</f>
        <v>129423.45</v>
      </c>
      <c r="H744" s="31">
        <f>H749</f>
        <v>129423.45</v>
      </c>
    </row>
    <row r="745" spans="1:8" ht="20.100000000000001" customHeight="1" x14ac:dyDescent="0.25">
      <c r="A745" s="59" t="s">
        <v>887</v>
      </c>
      <c r="B745" s="3" t="s">
        <v>17</v>
      </c>
      <c r="C745" s="43" t="s">
        <v>1440</v>
      </c>
      <c r="D745" s="95" t="s">
        <v>1453</v>
      </c>
      <c r="E745" s="78">
        <v>1</v>
      </c>
      <c r="F745" s="3" t="s">
        <v>10</v>
      </c>
      <c r="G745" s="78">
        <v>56132.480000000003</v>
      </c>
      <c r="H745" s="20">
        <f>ROUND(E745*G745,2)</f>
        <v>56132.480000000003</v>
      </c>
    </row>
    <row r="746" spans="1:8" ht="20.100000000000001" customHeight="1" x14ac:dyDescent="0.25">
      <c r="A746" s="59" t="s">
        <v>889</v>
      </c>
      <c r="B746" s="3" t="s">
        <v>17</v>
      </c>
      <c r="C746" s="43" t="s">
        <v>1441</v>
      </c>
      <c r="D746" s="95" t="s">
        <v>1454</v>
      </c>
      <c r="E746" s="78">
        <v>1</v>
      </c>
      <c r="F746" s="3" t="s">
        <v>10</v>
      </c>
      <c r="G746" s="78">
        <v>37759.29</v>
      </c>
      <c r="H746" s="20">
        <f>ROUND(E746*G746,2)</f>
        <v>37759.29</v>
      </c>
    </row>
    <row r="747" spans="1:8" ht="20.100000000000001" customHeight="1" x14ac:dyDescent="0.25">
      <c r="A747" s="59" t="s">
        <v>890</v>
      </c>
      <c r="B747" s="3" t="s">
        <v>17</v>
      </c>
      <c r="C747" s="43" t="s">
        <v>1442</v>
      </c>
      <c r="D747" s="95" t="s">
        <v>1455</v>
      </c>
      <c r="E747" s="78">
        <v>1</v>
      </c>
      <c r="F747" s="3" t="s">
        <v>10</v>
      </c>
      <c r="G747" s="78">
        <v>8843.0400000000009</v>
      </c>
      <c r="H747" s="20">
        <f>ROUND(E747*G747,2)</f>
        <v>8843.0400000000009</v>
      </c>
    </row>
    <row r="748" spans="1:8" ht="20.100000000000001" customHeight="1" x14ac:dyDescent="0.25">
      <c r="A748" s="59" t="s">
        <v>968</v>
      </c>
      <c r="B748" s="3" t="s">
        <v>17</v>
      </c>
      <c r="C748" s="43" t="s">
        <v>969</v>
      </c>
      <c r="D748" s="43" t="s">
        <v>1456</v>
      </c>
      <c r="E748" s="78">
        <v>1</v>
      </c>
      <c r="F748" s="3" t="s">
        <v>10</v>
      </c>
      <c r="G748" s="78">
        <v>26688.639999999999</v>
      </c>
      <c r="H748" s="20">
        <f>ROUND(E748*G748,2)</f>
        <v>26688.639999999999</v>
      </c>
    </row>
    <row r="749" spans="1:8" ht="20.100000000000001" customHeight="1" x14ac:dyDescent="0.25">
      <c r="A749" s="52"/>
      <c r="B749" s="9"/>
      <c r="C749" s="44" t="s">
        <v>970</v>
      </c>
      <c r="D749" s="44" t="s">
        <v>970</v>
      </c>
      <c r="E749" s="78">
        <v>1</v>
      </c>
      <c r="F749" s="9"/>
      <c r="G749" s="79">
        <f>SUM(H745:H748)</f>
        <v>129423.45</v>
      </c>
      <c r="H749" s="29">
        <f>ROUND(E749*G749,2)</f>
        <v>129423.45</v>
      </c>
    </row>
    <row r="750" spans="1:8" ht="20.100000000000001" customHeight="1" x14ac:dyDescent="0.25">
      <c r="A750" s="60"/>
      <c r="B750" s="12"/>
      <c r="C750" s="45"/>
      <c r="D750" s="45"/>
      <c r="E750" s="34"/>
      <c r="F750" s="12"/>
      <c r="G750" s="34"/>
      <c r="H750" s="30"/>
    </row>
    <row r="751" spans="1:8" ht="20.100000000000001" customHeight="1" x14ac:dyDescent="0.25">
      <c r="A751" s="61" t="s">
        <v>971</v>
      </c>
      <c r="B751" s="17" t="s">
        <v>9</v>
      </c>
      <c r="C751" s="46" t="s">
        <v>972</v>
      </c>
      <c r="D751" s="46" t="s">
        <v>1414</v>
      </c>
      <c r="E751" s="80">
        <f>E757</f>
        <v>1</v>
      </c>
      <c r="F751" s="17" t="s">
        <v>10</v>
      </c>
      <c r="G751" s="80">
        <f>G757</f>
        <v>11075.66</v>
      </c>
      <c r="H751" s="31">
        <f>H757</f>
        <v>11075.66</v>
      </c>
    </row>
    <row r="752" spans="1:8" ht="20.100000000000001" customHeight="1" x14ac:dyDescent="0.25">
      <c r="A752" s="59" t="s">
        <v>973</v>
      </c>
      <c r="B752" s="3" t="s">
        <v>17</v>
      </c>
      <c r="C752" s="43" t="s">
        <v>974</v>
      </c>
      <c r="D752" s="43" t="s">
        <v>1415</v>
      </c>
      <c r="E752" s="78">
        <v>1</v>
      </c>
      <c r="F752" s="3" t="s">
        <v>10</v>
      </c>
      <c r="G752" s="78">
        <v>4927.43</v>
      </c>
      <c r="H752" s="20">
        <f t="shared" ref="H752:H757" si="29">ROUND(E752*G752,2)</f>
        <v>4927.43</v>
      </c>
    </row>
    <row r="753" spans="1:8" ht="20.100000000000001" customHeight="1" x14ac:dyDescent="0.25">
      <c r="A753" s="59" t="s">
        <v>975</v>
      </c>
      <c r="B753" s="3" t="s">
        <v>17</v>
      </c>
      <c r="C753" s="43" t="s">
        <v>976</v>
      </c>
      <c r="D753" s="43" t="s">
        <v>1416</v>
      </c>
      <c r="E753" s="78">
        <v>1</v>
      </c>
      <c r="F753" s="3" t="s">
        <v>10</v>
      </c>
      <c r="G753" s="78">
        <v>601.86</v>
      </c>
      <c r="H753" s="20">
        <f t="shared" si="29"/>
        <v>601.86</v>
      </c>
    </row>
    <row r="754" spans="1:8" ht="20.100000000000001" customHeight="1" x14ac:dyDescent="0.25">
      <c r="A754" s="59" t="s">
        <v>977</v>
      </c>
      <c r="B754" s="3" t="s">
        <v>17</v>
      </c>
      <c r="C754" s="43" t="s">
        <v>978</v>
      </c>
      <c r="D754" s="43" t="s">
        <v>1417</v>
      </c>
      <c r="E754" s="78">
        <v>4</v>
      </c>
      <c r="F754" s="3" t="s">
        <v>10</v>
      </c>
      <c r="G754" s="78">
        <v>774.58</v>
      </c>
      <c r="H754" s="20">
        <f t="shared" si="29"/>
        <v>3098.32</v>
      </c>
    </row>
    <row r="755" spans="1:8" ht="20.100000000000001" customHeight="1" x14ac:dyDescent="0.25">
      <c r="A755" s="59" t="s">
        <v>979</v>
      </c>
      <c r="B755" s="3" t="s">
        <v>17</v>
      </c>
      <c r="C755" s="43" t="s">
        <v>980</v>
      </c>
      <c r="D755" s="43" t="s">
        <v>1418</v>
      </c>
      <c r="E755" s="78">
        <v>1</v>
      </c>
      <c r="F755" s="3" t="s">
        <v>10</v>
      </c>
      <c r="G755" s="78">
        <v>482.3</v>
      </c>
      <c r="H755" s="20">
        <f t="shared" si="29"/>
        <v>482.3</v>
      </c>
    </row>
    <row r="756" spans="1:8" ht="20.100000000000001" customHeight="1" x14ac:dyDescent="0.25">
      <c r="A756" s="59" t="s">
        <v>981</v>
      </c>
      <c r="B756" s="3" t="s">
        <v>17</v>
      </c>
      <c r="C756" s="43" t="s">
        <v>982</v>
      </c>
      <c r="D756" s="43" t="s">
        <v>1419</v>
      </c>
      <c r="E756" s="78">
        <v>1</v>
      </c>
      <c r="F756" s="3" t="s">
        <v>433</v>
      </c>
      <c r="G756" s="78">
        <v>1965.75</v>
      </c>
      <c r="H756" s="20">
        <f t="shared" si="29"/>
        <v>1965.75</v>
      </c>
    </row>
    <row r="757" spans="1:8" ht="20.100000000000001" customHeight="1" x14ac:dyDescent="0.25">
      <c r="A757" s="52"/>
      <c r="B757" s="9"/>
      <c r="C757" s="44" t="s">
        <v>983</v>
      </c>
      <c r="D757" s="44" t="s">
        <v>983</v>
      </c>
      <c r="E757" s="78">
        <v>1</v>
      </c>
      <c r="F757" s="9"/>
      <c r="G757" s="79">
        <f>SUM(H752:H756)</f>
        <v>11075.66</v>
      </c>
      <c r="H757" s="29">
        <f t="shared" si="29"/>
        <v>11075.66</v>
      </c>
    </row>
    <row r="758" spans="1:8" ht="20.100000000000001" customHeight="1" x14ac:dyDescent="0.25">
      <c r="A758" s="60"/>
      <c r="B758" s="12"/>
      <c r="C758" s="45"/>
      <c r="D758" s="45"/>
      <c r="E758" s="34"/>
      <c r="F758" s="12"/>
      <c r="G758" s="34"/>
      <c r="H758" s="30"/>
    </row>
    <row r="759" spans="1:8" s="8" customFormat="1" ht="20.100000000000001" customHeight="1" x14ac:dyDescent="0.25">
      <c r="A759" s="52"/>
      <c r="B759" s="9"/>
      <c r="C759" s="44" t="s">
        <v>984</v>
      </c>
      <c r="D759" s="44" t="s">
        <v>984</v>
      </c>
      <c r="E759" s="78">
        <v>1</v>
      </c>
      <c r="F759" s="9"/>
      <c r="G759" s="79">
        <f>H744+H751</f>
        <v>140499.10999999999</v>
      </c>
      <c r="H759" s="29">
        <f>ROUND(E759*G759,2)</f>
        <v>140499.10999999999</v>
      </c>
    </row>
    <row r="760" spans="1:8" ht="20.100000000000001" customHeight="1" x14ac:dyDescent="0.25">
      <c r="A760" s="60"/>
      <c r="B760" s="12"/>
      <c r="C760" s="45"/>
      <c r="D760" s="45"/>
      <c r="E760" s="34"/>
      <c r="F760" s="12"/>
      <c r="G760" s="34"/>
      <c r="H760" s="30"/>
    </row>
    <row r="761" spans="1:8" ht="20.100000000000001" customHeight="1" x14ac:dyDescent="0.25">
      <c r="A761" s="58"/>
      <c r="B761" s="5" t="s">
        <v>9</v>
      </c>
      <c r="C761" s="42" t="s">
        <v>985</v>
      </c>
      <c r="D761" s="42" t="s">
        <v>1420</v>
      </c>
      <c r="E761" s="77">
        <f>E777</f>
        <v>1</v>
      </c>
      <c r="F761" s="5" t="s">
        <v>10</v>
      </c>
      <c r="G761" s="77">
        <f>G777</f>
        <v>23060.68</v>
      </c>
      <c r="H761" s="28">
        <f>H777</f>
        <v>23060.68</v>
      </c>
    </row>
    <row r="762" spans="1:8" ht="39.950000000000003" customHeight="1" x14ac:dyDescent="0.25">
      <c r="A762" s="61" t="s">
        <v>986</v>
      </c>
      <c r="B762" s="17" t="s">
        <v>9</v>
      </c>
      <c r="C762" s="46" t="s">
        <v>987</v>
      </c>
      <c r="D762" s="46" t="s">
        <v>1421</v>
      </c>
      <c r="E762" s="80">
        <f>E767</f>
        <v>1</v>
      </c>
      <c r="F762" s="17" t="s">
        <v>10</v>
      </c>
      <c r="G762" s="80">
        <f>G767</f>
        <v>15425.05</v>
      </c>
      <c r="H762" s="31">
        <f>H767</f>
        <v>15425.05</v>
      </c>
    </row>
    <row r="763" spans="1:8" ht="20.100000000000001" customHeight="1" x14ac:dyDescent="0.25">
      <c r="A763" s="59" t="s">
        <v>988</v>
      </c>
      <c r="B763" s="3" t="s">
        <v>17</v>
      </c>
      <c r="C763" s="43" t="s">
        <v>989</v>
      </c>
      <c r="D763" s="43" t="s">
        <v>1422</v>
      </c>
      <c r="E763" s="78">
        <v>1</v>
      </c>
      <c r="F763" s="3" t="s">
        <v>10</v>
      </c>
      <c r="G763" s="78">
        <v>8205.07</v>
      </c>
      <c r="H763" s="20">
        <f>ROUND(E763*G763,2)</f>
        <v>8205.07</v>
      </c>
    </row>
    <row r="764" spans="1:8" ht="20.100000000000001" customHeight="1" x14ac:dyDescent="0.25">
      <c r="A764" s="59" t="s">
        <v>990</v>
      </c>
      <c r="B764" s="3" t="s">
        <v>17</v>
      </c>
      <c r="C764" s="43" t="s">
        <v>991</v>
      </c>
      <c r="D764" s="43" t="s">
        <v>1423</v>
      </c>
      <c r="E764" s="78">
        <v>1</v>
      </c>
      <c r="F764" s="3" t="s">
        <v>10</v>
      </c>
      <c r="G764" s="78">
        <v>3961.32</v>
      </c>
      <c r="H764" s="20">
        <f>ROUND(E764*G764,2)</f>
        <v>3961.32</v>
      </c>
    </row>
    <row r="765" spans="1:8" ht="20.100000000000001" customHeight="1" x14ac:dyDescent="0.25">
      <c r="A765" s="59" t="s">
        <v>992</v>
      </c>
      <c r="B765" s="3" t="s">
        <v>17</v>
      </c>
      <c r="C765" s="43" t="s">
        <v>993</v>
      </c>
      <c r="D765" s="43" t="s">
        <v>1424</v>
      </c>
      <c r="E765" s="78">
        <v>1</v>
      </c>
      <c r="F765" s="3" t="s">
        <v>10</v>
      </c>
      <c r="G765" s="78">
        <v>1195.58</v>
      </c>
      <c r="H765" s="20">
        <f>ROUND(E765*G765,2)</f>
        <v>1195.58</v>
      </c>
    </row>
    <row r="766" spans="1:8" ht="20.100000000000001" customHeight="1" x14ac:dyDescent="0.25">
      <c r="A766" s="59" t="s">
        <v>994</v>
      </c>
      <c r="B766" s="3" t="s">
        <v>17</v>
      </c>
      <c r="C766" s="43" t="s">
        <v>995</v>
      </c>
      <c r="D766" s="43" t="s">
        <v>1425</v>
      </c>
      <c r="E766" s="78">
        <v>1</v>
      </c>
      <c r="F766" s="3" t="s">
        <v>10</v>
      </c>
      <c r="G766" s="78">
        <v>2063.08</v>
      </c>
      <c r="H766" s="20">
        <f>ROUND(E766*G766,2)</f>
        <v>2063.08</v>
      </c>
    </row>
    <row r="767" spans="1:8" ht="20.100000000000001" customHeight="1" x14ac:dyDescent="0.25">
      <c r="A767" s="52"/>
      <c r="B767" s="9"/>
      <c r="C767" s="44" t="s">
        <v>996</v>
      </c>
      <c r="D767" s="44" t="s">
        <v>996</v>
      </c>
      <c r="E767" s="78">
        <v>1</v>
      </c>
      <c r="F767" s="9"/>
      <c r="G767" s="79">
        <f>SUM(H763:H766)</f>
        <v>15425.05</v>
      </c>
      <c r="H767" s="29">
        <f>ROUND(E767*G767,2)</f>
        <v>15425.05</v>
      </c>
    </row>
    <row r="768" spans="1:8" ht="20.100000000000001" customHeight="1" x14ac:dyDescent="0.25">
      <c r="A768" s="60"/>
      <c r="B768" s="12"/>
      <c r="C768" s="45"/>
      <c r="D768" s="45"/>
      <c r="E768" s="34"/>
      <c r="F768" s="12"/>
      <c r="G768" s="34"/>
      <c r="H768" s="30"/>
    </row>
    <row r="769" spans="1:9" ht="20.100000000000001" customHeight="1" x14ac:dyDescent="0.25">
      <c r="A769" s="61" t="s">
        <v>997</v>
      </c>
      <c r="B769" s="17" t="s">
        <v>9</v>
      </c>
      <c r="C769" s="46" t="s">
        <v>998</v>
      </c>
      <c r="D769" s="46" t="s">
        <v>1426</v>
      </c>
      <c r="E769" s="80">
        <f>E775</f>
        <v>1</v>
      </c>
      <c r="F769" s="17" t="s">
        <v>10</v>
      </c>
      <c r="G769" s="80">
        <f>G775</f>
        <v>7635.63</v>
      </c>
      <c r="H769" s="31">
        <f>H775</f>
        <v>7635.63</v>
      </c>
    </row>
    <row r="770" spans="1:9" ht="20.100000000000001" customHeight="1" x14ac:dyDescent="0.25">
      <c r="A770" s="59" t="s">
        <v>999</v>
      </c>
      <c r="B770" s="3" t="s">
        <v>17</v>
      </c>
      <c r="C770" s="43" t="s">
        <v>1443</v>
      </c>
      <c r="D770" s="43" t="s">
        <v>1445</v>
      </c>
      <c r="E770" s="78">
        <v>1</v>
      </c>
      <c r="F770" s="3" t="s">
        <v>10</v>
      </c>
      <c r="G770" s="78">
        <v>1334.35</v>
      </c>
      <c r="H770" s="20">
        <f t="shared" ref="H770:H775" si="30">ROUND(E770*G770,2)</f>
        <v>1334.35</v>
      </c>
    </row>
    <row r="771" spans="1:9" ht="20.100000000000001" customHeight="1" x14ac:dyDescent="0.25">
      <c r="A771" s="59" t="s">
        <v>1000</v>
      </c>
      <c r="B771" s="3" t="s">
        <v>17</v>
      </c>
      <c r="C771" s="43" t="s">
        <v>1444</v>
      </c>
      <c r="D771" s="43" t="s">
        <v>1446</v>
      </c>
      <c r="E771" s="78">
        <v>1</v>
      </c>
      <c r="F771" s="3" t="s">
        <v>10</v>
      </c>
      <c r="G771" s="78">
        <v>666.98</v>
      </c>
      <c r="H771" s="20">
        <f t="shared" si="30"/>
        <v>666.98</v>
      </c>
    </row>
    <row r="772" spans="1:9" ht="20.100000000000001" customHeight="1" x14ac:dyDescent="0.25">
      <c r="A772" s="59" t="s">
        <v>1001</v>
      </c>
      <c r="B772" s="3" t="s">
        <v>17</v>
      </c>
      <c r="C772" s="43" t="s">
        <v>1002</v>
      </c>
      <c r="D772" s="43" t="s">
        <v>1427</v>
      </c>
      <c r="E772" s="78">
        <v>1</v>
      </c>
      <c r="F772" s="3" t="s">
        <v>10</v>
      </c>
      <c r="G772" s="78">
        <v>987.9</v>
      </c>
      <c r="H772" s="20">
        <f t="shared" si="30"/>
        <v>987.9</v>
      </c>
    </row>
    <row r="773" spans="1:9" ht="20.100000000000001" customHeight="1" x14ac:dyDescent="0.25">
      <c r="A773" s="59" t="s">
        <v>1003</v>
      </c>
      <c r="B773" s="3" t="s">
        <v>17</v>
      </c>
      <c r="C773" s="43" t="s">
        <v>1004</v>
      </c>
      <c r="D773" s="43" t="s">
        <v>1428</v>
      </c>
      <c r="E773" s="78">
        <v>3</v>
      </c>
      <c r="F773" s="3" t="s">
        <v>10</v>
      </c>
      <c r="G773" s="78">
        <v>803.9</v>
      </c>
      <c r="H773" s="20">
        <f t="shared" si="30"/>
        <v>2411.6999999999998</v>
      </c>
    </row>
    <row r="774" spans="1:9" ht="20.100000000000001" customHeight="1" x14ac:dyDescent="0.25">
      <c r="A774" s="59" t="s">
        <v>1005</v>
      </c>
      <c r="B774" s="3" t="s">
        <v>17</v>
      </c>
      <c r="C774" s="43" t="s">
        <v>1006</v>
      </c>
      <c r="D774" s="43" t="s">
        <v>1429</v>
      </c>
      <c r="E774" s="78">
        <v>3</v>
      </c>
      <c r="F774" s="3" t="s">
        <v>10</v>
      </c>
      <c r="G774" s="78">
        <v>744.9</v>
      </c>
      <c r="H774" s="20">
        <f t="shared" si="30"/>
        <v>2234.6999999999998</v>
      </c>
    </row>
    <row r="775" spans="1:9" ht="20.100000000000001" customHeight="1" x14ac:dyDescent="0.25">
      <c r="A775" s="52"/>
      <c r="B775" s="9"/>
      <c r="C775" s="44" t="s">
        <v>1007</v>
      </c>
      <c r="D775" s="44" t="s">
        <v>1007</v>
      </c>
      <c r="E775" s="78">
        <v>1</v>
      </c>
      <c r="F775" s="9"/>
      <c r="G775" s="79">
        <f>SUM(H770:H774)</f>
        <v>7635.63</v>
      </c>
      <c r="H775" s="29">
        <f t="shared" si="30"/>
        <v>7635.63</v>
      </c>
    </row>
    <row r="776" spans="1:9" ht="20.100000000000001" customHeight="1" x14ac:dyDescent="0.25">
      <c r="A776" s="60"/>
      <c r="B776" s="12"/>
      <c r="C776" s="45"/>
      <c r="D776" s="45"/>
      <c r="E776" s="34"/>
      <c r="F776" s="12"/>
      <c r="G776" s="34"/>
      <c r="H776" s="30"/>
    </row>
    <row r="777" spans="1:9" ht="20.100000000000001" customHeight="1" x14ac:dyDescent="0.25">
      <c r="A777" s="52"/>
      <c r="B777" s="9"/>
      <c r="C777" s="44" t="s">
        <v>1008</v>
      </c>
      <c r="D777" s="44" t="s">
        <v>1008</v>
      </c>
      <c r="E777" s="78">
        <v>1</v>
      </c>
      <c r="F777" s="9"/>
      <c r="G777" s="79">
        <f>H762+H769</f>
        <v>23060.68</v>
      </c>
      <c r="H777" s="29">
        <f>ROUND(E777*G777,2)</f>
        <v>23060.68</v>
      </c>
    </row>
    <row r="778" spans="1:9" ht="20.100000000000001" customHeight="1" x14ac:dyDescent="0.25">
      <c r="A778" s="60"/>
      <c r="B778" s="12"/>
      <c r="C778" s="45"/>
      <c r="D778" s="45"/>
      <c r="E778" s="34"/>
      <c r="F778" s="12"/>
      <c r="G778" s="34"/>
      <c r="H778" s="30"/>
    </row>
    <row r="779" spans="1:9" ht="20.100000000000001" customHeight="1" x14ac:dyDescent="0.25">
      <c r="A779" s="52"/>
      <c r="B779" s="9"/>
      <c r="C779" s="44" t="s">
        <v>1009</v>
      </c>
      <c r="D779" s="44" t="s">
        <v>1009</v>
      </c>
      <c r="E779" s="78">
        <v>1</v>
      </c>
      <c r="F779" s="9"/>
      <c r="G779" s="79">
        <f>H716+H729+H743+H761</f>
        <v>1000554.91</v>
      </c>
      <c r="H779" s="29">
        <f>ROUND(E779*G779,2)</f>
        <v>1000554.91</v>
      </c>
    </row>
    <row r="780" spans="1:9" ht="20.100000000000001" customHeight="1" x14ac:dyDescent="0.25">
      <c r="A780" s="60"/>
      <c r="B780" s="12"/>
      <c r="C780" s="45"/>
      <c r="D780" s="45"/>
      <c r="E780" s="34"/>
      <c r="F780" s="12"/>
      <c r="G780" s="34"/>
      <c r="H780" s="30"/>
    </row>
    <row r="781" spans="1:9" ht="20.100000000000001" customHeight="1" x14ac:dyDescent="0.25">
      <c r="A781" s="52"/>
      <c r="B781" s="9"/>
      <c r="C781" s="44" t="s">
        <v>1010</v>
      </c>
      <c r="D781" s="44" t="s">
        <v>1010</v>
      </c>
      <c r="E781" s="89">
        <v>1</v>
      </c>
      <c r="F781" s="9"/>
      <c r="G781" s="79">
        <f>H8+H37+H607+H715</f>
        <v>2422882.1</v>
      </c>
      <c r="H781" s="29">
        <f>ROUND(E781*G781,2)</f>
        <v>2422882.1</v>
      </c>
      <c r="I781" s="99"/>
    </row>
    <row r="782" spans="1:9" ht="20.100000000000001" customHeight="1" thickBot="1" x14ac:dyDescent="0.3">
      <c r="A782" s="60"/>
      <c r="B782" s="12"/>
      <c r="C782" s="45"/>
      <c r="D782" s="45"/>
      <c r="E782" s="34"/>
      <c r="F782" s="12"/>
      <c r="G782" s="34"/>
      <c r="H782" s="30"/>
    </row>
    <row r="783" spans="1:9" ht="20.100000000000001" customHeight="1" x14ac:dyDescent="0.25">
      <c r="A783" s="56" t="s">
        <v>1011</v>
      </c>
      <c r="B783" s="15" t="s">
        <v>9</v>
      </c>
      <c r="C783" s="40" t="s">
        <v>1012</v>
      </c>
      <c r="D783" s="40" t="s">
        <v>1430</v>
      </c>
      <c r="E783" s="88">
        <f>E795</f>
        <v>1</v>
      </c>
      <c r="F783" s="15" t="s">
        <v>10</v>
      </c>
      <c r="G783" s="75">
        <f>G795</f>
        <v>499286.4</v>
      </c>
      <c r="H783" s="26">
        <f>H795</f>
        <v>499286.4</v>
      </c>
    </row>
    <row r="784" spans="1:9" ht="20.100000000000001" customHeight="1" x14ac:dyDescent="0.25">
      <c r="A784" s="57" t="s">
        <v>1013</v>
      </c>
      <c r="B784" s="16" t="s">
        <v>9</v>
      </c>
      <c r="C784" s="41" t="s">
        <v>1012</v>
      </c>
      <c r="D784" s="41" t="s">
        <v>1430</v>
      </c>
      <c r="E784" s="76">
        <f>E793</f>
        <v>1</v>
      </c>
      <c r="F784" s="16" t="s">
        <v>10</v>
      </c>
      <c r="G784" s="76">
        <f>G793</f>
        <v>499286.4</v>
      </c>
      <c r="H784" s="27">
        <f>H793</f>
        <v>499286.4</v>
      </c>
    </row>
    <row r="785" spans="1:9" ht="20.100000000000001" customHeight="1" x14ac:dyDescent="0.25">
      <c r="A785" s="59" t="s">
        <v>1014</v>
      </c>
      <c r="B785" s="3" t="s">
        <v>17</v>
      </c>
      <c r="C785" s="43" t="s">
        <v>1015</v>
      </c>
      <c r="D785" s="95" t="s">
        <v>1431</v>
      </c>
      <c r="E785" s="78">
        <v>24</v>
      </c>
      <c r="F785" s="3" t="s">
        <v>38</v>
      </c>
      <c r="G785" s="78">
        <v>670.05</v>
      </c>
      <c r="H785" s="20">
        <f t="shared" ref="H785:H793" si="31">ROUND(E785*G785,2)</f>
        <v>16081.2</v>
      </c>
    </row>
    <row r="786" spans="1:9" ht="20.100000000000001" customHeight="1" x14ac:dyDescent="0.25">
      <c r="A786" s="59" t="s">
        <v>1016</v>
      </c>
      <c r="B786" s="3" t="s">
        <v>17</v>
      </c>
      <c r="C786" s="43" t="s">
        <v>1017</v>
      </c>
      <c r="D786" s="6" t="s">
        <v>1432</v>
      </c>
      <c r="E786" s="78">
        <v>1</v>
      </c>
      <c r="F786" s="3" t="s">
        <v>26</v>
      </c>
      <c r="G786" s="78">
        <v>9353.4</v>
      </c>
      <c r="H786" s="20">
        <f t="shared" si="31"/>
        <v>9353.4</v>
      </c>
    </row>
    <row r="787" spans="1:9" ht="20.100000000000001" customHeight="1" x14ac:dyDescent="0.25">
      <c r="A787" s="59" t="s">
        <v>1018</v>
      </c>
      <c r="B787" s="3" t="s">
        <v>17</v>
      </c>
      <c r="C787" s="43" t="s">
        <v>1019</v>
      </c>
      <c r="D787" s="6" t="s">
        <v>1433</v>
      </c>
      <c r="E787" s="78">
        <v>24</v>
      </c>
      <c r="F787" s="3" t="s">
        <v>38</v>
      </c>
      <c r="G787" s="78">
        <v>877.19</v>
      </c>
      <c r="H787" s="20">
        <f t="shared" si="31"/>
        <v>21052.560000000001</v>
      </c>
    </row>
    <row r="788" spans="1:9" ht="20.100000000000001" customHeight="1" x14ac:dyDescent="0.25">
      <c r="A788" s="59" t="s">
        <v>1020</v>
      </c>
      <c r="B788" s="3" t="s">
        <v>17</v>
      </c>
      <c r="C788" s="43" t="s">
        <v>1021</v>
      </c>
      <c r="D788" s="6" t="s">
        <v>1434</v>
      </c>
      <c r="E788" s="78">
        <v>24</v>
      </c>
      <c r="F788" s="3" t="s">
        <v>38</v>
      </c>
      <c r="G788" s="78">
        <v>695.02</v>
      </c>
      <c r="H788" s="20">
        <f t="shared" si="31"/>
        <v>16680.48</v>
      </c>
    </row>
    <row r="789" spans="1:9" ht="20.100000000000001" customHeight="1" x14ac:dyDescent="0.25">
      <c r="A789" s="59" t="s">
        <v>1022</v>
      </c>
      <c r="B789" s="3" t="s">
        <v>17</v>
      </c>
      <c r="C789" s="43" t="s">
        <v>1024</v>
      </c>
      <c r="D789" s="95" t="s">
        <v>1435</v>
      </c>
      <c r="E789" s="78">
        <v>2</v>
      </c>
      <c r="F789" s="3" t="s">
        <v>1023</v>
      </c>
      <c r="G789" s="78">
        <f>+H781/100</f>
        <v>24228.82</v>
      </c>
      <c r="H789" s="20">
        <f t="shared" si="31"/>
        <v>48457.64</v>
      </c>
    </row>
    <row r="790" spans="1:9" ht="20.100000000000001" customHeight="1" x14ac:dyDescent="0.25">
      <c r="A790" s="59" t="s">
        <v>1025</v>
      </c>
      <c r="B790" s="3" t="s">
        <v>17</v>
      </c>
      <c r="C790" s="43" t="s">
        <v>1026</v>
      </c>
      <c r="D790" s="95" t="s">
        <v>1436</v>
      </c>
      <c r="E790" s="78">
        <v>3</v>
      </c>
      <c r="F790" s="3" t="s">
        <v>1023</v>
      </c>
      <c r="G790" s="78">
        <f>+H781/100</f>
        <v>24228.82</v>
      </c>
      <c r="H790" s="20">
        <f t="shared" si="31"/>
        <v>72686.460000000006</v>
      </c>
    </row>
    <row r="791" spans="1:9" ht="20.100000000000001" customHeight="1" x14ac:dyDescent="0.25">
      <c r="A791" s="59" t="s">
        <v>1027</v>
      </c>
      <c r="B791" s="3" t="s">
        <v>17</v>
      </c>
      <c r="C791" s="43" t="s">
        <v>1028</v>
      </c>
      <c r="D791" s="95" t="s">
        <v>1437</v>
      </c>
      <c r="E791" s="78">
        <v>3</v>
      </c>
      <c r="F791" s="3" t="s">
        <v>1023</v>
      </c>
      <c r="G791" s="78">
        <f>+H781/100</f>
        <v>24228.82</v>
      </c>
      <c r="H791" s="20">
        <f t="shared" si="31"/>
        <v>72686.460000000006</v>
      </c>
    </row>
    <row r="792" spans="1:9" ht="20.100000000000001" customHeight="1" x14ac:dyDescent="0.25">
      <c r="A792" s="59" t="s">
        <v>1029</v>
      </c>
      <c r="B792" s="3" t="s">
        <v>17</v>
      </c>
      <c r="C792" s="43" t="s">
        <v>1030</v>
      </c>
      <c r="D792" s="95" t="s">
        <v>1438</v>
      </c>
      <c r="E792" s="78">
        <v>10</v>
      </c>
      <c r="F792" s="3" t="s">
        <v>1023</v>
      </c>
      <c r="G792" s="78">
        <f>+H781/100</f>
        <v>24228.82</v>
      </c>
      <c r="H792" s="20">
        <f t="shared" si="31"/>
        <v>242288.2</v>
      </c>
    </row>
    <row r="793" spans="1:9" ht="20.100000000000001" customHeight="1" x14ac:dyDescent="0.25">
      <c r="A793" s="52"/>
      <c r="B793" s="9"/>
      <c r="C793" s="44" t="s">
        <v>1031</v>
      </c>
      <c r="D793" s="44"/>
      <c r="E793" s="78">
        <v>1</v>
      </c>
      <c r="F793" s="9"/>
      <c r="G793" s="79">
        <f>SUM(H785:H792)</f>
        <v>499286.4</v>
      </c>
      <c r="H793" s="29">
        <f t="shared" si="31"/>
        <v>499286.4</v>
      </c>
    </row>
    <row r="794" spans="1:9" ht="20.100000000000001" customHeight="1" x14ac:dyDescent="0.25">
      <c r="A794" s="60"/>
      <c r="B794" s="12"/>
      <c r="C794" s="45"/>
      <c r="D794" s="45"/>
      <c r="E794" s="34"/>
      <c r="F794" s="12"/>
      <c r="G794" s="34"/>
      <c r="H794" s="30"/>
    </row>
    <row r="795" spans="1:9" s="8" customFormat="1" ht="20.100000000000001" customHeight="1" x14ac:dyDescent="0.25">
      <c r="A795" s="52"/>
      <c r="B795" s="9"/>
      <c r="C795" s="44" t="s">
        <v>1032</v>
      </c>
      <c r="D795" s="44" t="s">
        <v>1032</v>
      </c>
      <c r="E795" s="89">
        <v>1</v>
      </c>
      <c r="F795" s="9"/>
      <c r="G795" s="79">
        <f>H784</f>
        <v>499286.4</v>
      </c>
      <c r="H795" s="29">
        <f>ROUND(E795*G795,2)</f>
        <v>499286.4</v>
      </c>
    </row>
    <row r="796" spans="1:9" ht="20.100000000000001" customHeight="1" x14ac:dyDescent="0.25">
      <c r="A796" s="60"/>
      <c r="B796" s="12"/>
      <c r="C796" s="45"/>
      <c r="D796" s="45"/>
      <c r="E796" s="34"/>
      <c r="F796" s="12"/>
      <c r="G796" s="34"/>
      <c r="H796" s="30"/>
    </row>
    <row r="797" spans="1:9" ht="20.100000000000001" customHeight="1" thickBot="1" x14ac:dyDescent="0.3">
      <c r="A797" s="59"/>
      <c r="B797" s="3"/>
      <c r="C797" s="95" t="s">
        <v>1439</v>
      </c>
      <c r="D797" s="95" t="s">
        <v>1439</v>
      </c>
      <c r="E797" s="89">
        <f>+(H781+H793)/100</f>
        <v>29222</v>
      </c>
      <c r="F797" s="3" t="s">
        <v>1023</v>
      </c>
      <c r="G797" s="78">
        <v>1.8</v>
      </c>
      <c r="H797" s="20">
        <f>ROUND(E797*G797,2)</f>
        <v>52599.6</v>
      </c>
    </row>
    <row r="798" spans="1:9" s="8" customFormat="1" ht="20.100000000000001" customHeight="1" thickBot="1" x14ac:dyDescent="0.3">
      <c r="A798" s="67"/>
      <c r="B798" s="68"/>
      <c r="C798" s="69" t="s">
        <v>1033</v>
      </c>
      <c r="D798" s="69"/>
      <c r="E798" s="90">
        <v>1</v>
      </c>
      <c r="F798" s="68"/>
      <c r="G798" s="85">
        <f>H7+H783+H797</f>
        <v>2974768.1</v>
      </c>
      <c r="H798" s="70">
        <f>ROUND(E798*G798,2)</f>
        <v>2974768.1</v>
      </c>
      <c r="I798" s="111">
        <f>+'OBRA GRIS (2)'!H798+TERMINACIONES!H798</f>
        <v>2907286.06</v>
      </c>
    </row>
    <row r="799" spans="1:9" ht="20.100000000000001" customHeight="1" x14ac:dyDescent="0.25">
      <c r="A799" s="66"/>
      <c r="B799" s="12"/>
      <c r="C799" s="45"/>
      <c r="D799" s="45"/>
      <c r="E799" s="34"/>
      <c r="F799" s="12"/>
      <c r="G799" s="34"/>
      <c r="H799" s="34"/>
    </row>
    <row r="801" spans="3:13" ht="20.100000000000001" customHeight="1" x14ac:dyDescent="0.25">
      <c r="C801" s="1"/>
      <c r="D801" s="1" t="s">
        <v>1459</v>
      </c>
      <c r="E801" s="96">
        <v>972.98</v>
      </c>
      <c r="F801" s="13" t="s">
        <v>1460</v>
      </c>
      <c r="G801" s="2"/>
      <c r="H801" s="84">
        <f>+'OBRA GRIS'!H798+TERMINACIONES!H798</f>
        <v>2974768.1</v>
      </c>
    </row>
    <row r="802" spans="3:13" ht="20.100000000000001" customHeight="1" x14ac:dyDescent="0.25">
      <c r="C802" s="1"/>
      <c r="D802" s="1" t="s">
        <v>1461</v>
      </c>
      <c r="E802" s="96">
        <f>+H798/E801</f>
        <v>3057.38</v>
      </c>
      <c r="F802" s="13" t="s">
        <v>1462</v>
      </c>
      <c r="G802" s="2"/>
    </row>
    <row r="803" spans="3:13" ht="20.100000000000001" customHeight="1" x14ac:dyDescent="0.25">
      <c r="H803" s="84">
        <f>+H801-H798</f>
        <v>0</v>
      </c>
    </row>
    <row r="804" spans="3:13" ht="20.100000000000001" customHeight="1" x14ac:dyDescent="0.25">
      <c r="I804" s="106"/>
      <c r="J804" s="106">
        <v>10000</v>
      </c>
      <c r="K804" s="106"/>
      <c r="L804" s="106"/>
      <c r="M804" s="106"/>
    </row>
    <row r="805" spans="3:13" ht="20.100000000000001" customHeight="1" x14ac:dyDescent="0.25">
      <c r="I805" s="106"/>
      <c r="J805" s="106">
        <f>+J804*9.18/100</f>
        <v>918</v>
      </c>
      <c r="K805" s="106"/>
      <c r="L805" s="106"/>
      <c r="M805" s="106"/>
    </row>
    <row r="806" spans="3:13" ht="20.100000000000001" customHeight="1" x14ac:dyDescent="0.25">
      <c r="I806" s="106"/>
      <c r="J806" s="106">
        <f>+J805/12</f>
        <v>76.5</v>
      </c>
      <c r="K806" s="106"/>
      <c r="L806" s="106"/>
      <c r="M806" s="106"/>
    </row>
    <row r="807" spans="3:13" ht="20.100000000000001" customHeight="1" x14ac:dyDescent="0.25">
      <c r="I807" s="106"/>
      <c r="J807" s="106">
        <f>+J806/30</f>
        <v>2.5499999999999998</v>
      </c>
      <c r="K807" s="106"/>
      <c r="L807" s="106"/>
      <c r="M807" s="106"/>
    </row>
    <row r="808" spans="3:13" ht="20.100000000000001" customHeight="1" x14ac:dyDescent="0.25">
      <c r="I808" s="106"/>
      <c r="J808" s="106">
        <f>+J807*5</f>
        <v>12.75</v>
      </c>
      <c r="K808" s="106"/>
      <c r="L808" s="106"/>
      <c r="M808" s="106"/>
    </row>
    <row r="809" spans="3:13" ht="20.100000000000001" customHeight="1" x14ac:dyDescent="0.25">
      <c r="I809" s="106"/>
      <c r="J809" s="106"/>
      <c r="K809" s="106"/>
      <c r="L809" s="106"/>
      <c r="M809" s="106"/>
    </row>
    <row r="810" spans="3:13" ht="20.100000000000001" customHeight="1" x14ac:dyDescent="0.25">
      <c r="I810" s="106"/>
      <c r="J810" s="106"/>
      <c r="K810" s="106"/>
      <c r="L810" s="106"/>
      <c r="M810" s="106"/>
    </row>
    <row r="811" spans="3:13" ht="20.100000000000001" customHeight="1" x14ac:dyDescent="0.25">
      <c r="I811" s="106"/>
      <c r="J811" s="106"/>
      <c r="K811" s="106"/>
      <c r="L811" s="106"/>
      <c r="M811" s="106"/>
    </row>
    <row r="812" spans="3:13" ht="20.100000000000001" customHeight="1" x14ac:dyDescent="0.25">
      <c r="I812" s="106"/>
      <c r="J812" s="106"/>
      <c r="K812" s="106"/>
      <c r="L812" s="106"/>
      <c r="M812" s="106"/>
    </row>
  </sheetData>
  <phoneticPr fontId="8" type="noConversion"/>
  <dataValidations disablePrompts="1" count="1">
    <dataValidation type="list" allowBlank="1" showInputMessage="1" showErrorMessage="1" sqref="B7:B799" xr:uid="{054225E4-B6C6-42CC-B209-EDC567643547}">
      <formula1>"Capítulo,Partida,Mano de obra,Maquinaria,Material,Otros,Tarea,"</formula1>
    </dataValidation>
  </dataValidations>
  <pageMargins left="0.70866141732283472" right="0.70866141732283472" top="0.74803149606299213" bottom="0.74803149606299213" header="0.31496062992125984" footer="0.31496062992125984"/>
  <pageSetup paperSize="9" scale="43" orientation="portrait" r:id="rId1"/>
  <rowBreaks count="1" manualBreakCount="1">
    <brk id="149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OBRA GRIS (2)</vt:lpstr>
      <vt:lpstr>OBRA GRIS</vt:lpstr>
      <vt:lpstr>TERMINACIONES</vt:lpstr>
      <vt:lpstr>GENERAL</vt:lpstr>
      <vt:lpstr>GENERAL!Print_Area</vt:lpstr>
      <vt:lpstr>'OBRA GRIS'!Print_Area</vt:lpstr>
      <vt:lpstr>'OBRA GRIS (2)'!Print_Area</vt:lpstr>
      <vt:lpstr>TERMINACIONES!Print_Area</vt:lpstr>
      <vt:lpstr>'OBRA GRIS'!Print_Titles</vt:lpstr>
      <vt:lpstr>'OBRA GRIS (2)'!Print_Titles</vt:lpstr>
      <vt:lpstr>TERMINACIONES!Print_Titles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Krismelly De la Rosa</dc:creator>
  <cp:lastModifiedBy>Maria C. Baez</cp:lastModifiedBy>
  <cp:lastPrinted>2026-02-19T17:00:47Z</cp:lastPrinted>
  <dcterms:created xsi:type="dcterms:W3CDTF">2025-12-19T17:39:14Z</dcterms:created>
  <dcterms:modified xsi:type="dcterms:W3CDTF">2026-04-13T18:31:39Z</dcterms:modified>
</cp:coreProperties>
</file>